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<sst xmlns="http://schemas.openxmlformats.org/spreadsheetml/2006/main" count="3024" uniqueCount="1379">
  <si>
    <t>pickup_longitude</t>
  </si>
  <si>
    <t>pickup_latitude</t>
  </si>
  <si>
    <t>Adress</t>
  </si>
  <si>
    <t>Cost</t>
  </si>
  <si>
    <t>Flood_Score</t>
  </si>
  <si>
    <t>CostofFloodRisk_2day</t>
  </si>
  <si>
    <t>CostofFloodRisk_future</t>
  </si>
  <si>
    <t>EPC</t>
  </si>
  <si>
    <t>Scenario</t>
  </si>
  <si>
    <t>Risk</t>
  </si>
  <si>
    <t>Outstanding loan</t>
  </si>
  <si>
    <t>ECL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</si>
  <si>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</si>
  <si>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</si>
  <si>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</si>
  <si>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</si>
  <si>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</si>
  <si>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</si>
  <si>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</si>
  <si>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</si>
  <si>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</si>
  <si>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</si>
  <si>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</si>
  <si>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</si>
  <si>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</si>
  <si>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</si>
  <si>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</si>
  <si>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</si>
  <si>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</si>
  <si>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</si>
  <si>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</si>
  <si>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</si>
  <si>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</si>
  <si>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</si>
  <si>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</si>
  <si>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</si>
  <si>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</si>
  <si>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</si>
  <si>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</si>
  <si>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</si>
  <si>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</si>
  <si>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</si>
  <si>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</si>
  <si>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</si>
  <si>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</si>
  <si>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</si>
  <si>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</si>
  <si>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</si>
  <si>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</si>
  <si>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</si>
  <si>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</si>
  <si>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</si>
  <si>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</si>
  <si>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</si>
  <si>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</si>
  <si>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</si>
  <si>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</si>
  <si>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</si>
  <si>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</si>
  <si>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</si>
  <si>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</si>
  <si>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</si>
  <si>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</si>
  <si>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</si>
  <si>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</si>
  <si>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</si>
  <si>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</si>
  <si>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</si>
  <si>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</si>
  <si>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</si>
  <si>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</si>
  <si>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</si>
  <si>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</si>
  <si>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</si>
  <si>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</si>
  <si>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</si>
  <si>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</si>
  <si>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</si>
  <si>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</si>
  <si>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</si>
  <si>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</si>
  <si>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</si>
  <si>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</si>
  <si>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</si>
  <si>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</si>
  <si>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</si>
  <si>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</si>
  <si>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</si>
  <si>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</si>
  <si>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</si>
  <si>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</si>
  <si>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</si>
  <si>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</si>
  <si>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</si>
  <si>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</si>
  <si>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</si>
  <si>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</si>
  <si>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</si>
  <si>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</si>
  <si>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</si>
  <si>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</si>
  <si>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</si>
  <si>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</si>
  <si>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</si>
  <si>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</si>
  <si>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</si>
  <si>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</si>
  <si>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</si>
  <si>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</si>
  <si>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</si>
  <si>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</si>
  <si>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</si>
  <si>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</si>
  <si>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</si>
  <si>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</si>
  <si>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</si>
  <si>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</si>
  <si>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</si>
  <si>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</si>
  <si>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</si>
  <si>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</si>
  <si>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</si>
  <si>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</si>
  <si>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</si>
  <si>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</si>
  <si>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</si>
  <si>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</si>
  <si>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</si>
  <si>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</si>
  <si>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</si>
  <si>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</si>
  <si>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</si>
  <si>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</si>
  <si>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</si>
  <si>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</si>
  <si>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</si>
  <si>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</si>
  <si>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</si>
  <si>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</si>
  <si>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</si>
  <si>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</si>
  <si>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</si>
  <si>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</si>
  <si>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</si>
  <si>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</si>
  <si>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</si>
  <si>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</si>
  <si>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</si>
  <si>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</si>
  <si>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</si>
  <si>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</si>
  <si>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</si>
  <si>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</si>
  <si>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</si>
  <si>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</si>
  <si>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</si>
  <si>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</si>
  <si>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</si>
  <si>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</si>
  <si>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</si>
  <si>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</si>
  <si>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</si>
  <si>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</si>
  <si>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</si>
  <si>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</si>
  <si>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</si>
  <si>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</si>
  <si>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</si>
  <si>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</si>
  <si>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</si>
  <si>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</si>
  <si>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</si>
  <si>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</si>
  <si>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</si>
  <si>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</si>
  <si>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</si>
  <si>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</si>
  <si>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</si>
  <si>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</si>
  <si>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</si>
  <si>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</si>
  <si>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</si>
  <si>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</si>
  <si>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</si>
  <si>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</si>
  <si>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</si>
  <si>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</si>
  <si>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</si>
  <si>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</si>
  <si>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</si>
  <si>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</si>
  <si>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</si>
  <si>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</si>
  <si>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</si>
  <si>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</si>
  <si>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</si>
  <si>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</si>
  <si>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</si>
  <si>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</si>
  <si>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</si>
  <si>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</si>
  <si>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</si>
  <si>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</si>
  <si>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</si>
  <si>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</si>
  <si>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</si>
  <si>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</si>
  <si>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</si>
  <si>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</si>
  <si>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</si>
  <si>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</si>
  <si>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</si>
  <si>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</si>
  <si>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</si>
  <si>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</si>
  <si>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</si>
  <si>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</si>
  <si>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</si>
  <si>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</si>
  <si>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</si>
  <si>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</si>
  <si>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</si>
  <si>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</si>
  <si>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</si>
  <si>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</si>
  <si>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</si>
  <si>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</si>
  <si>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</si>
  <si>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</si>
  <si>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</si>
  <si>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</si>
  <si>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</si>
  <si>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</si>
  <si>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</si>
  <si>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</si>
  <si>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</si>
  <si>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</si>
  <si>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</si>
  <si>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</si>
  <si>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</si>
  <si>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</si>
  <si>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</si>
  <si>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</si>
  <si>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</si>
  <si>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</si>
  <si>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</si>
  <si>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</si>
  <si>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</si>
  <si>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</si>
  <si>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</si>
  <si>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</si>
  <si>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</si>
  <si>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</si>
  <si>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</si>
  <si>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</si>
  <si>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</si>
  <si>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</si>
  <si>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</si>
  <si>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</si>
  <si>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</si>
  <si>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</si>
  <si>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</si>
  <si>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</si>
  <si>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</si>
  <si>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</si>
  <si>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</si>
  <si>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</si>
  <si>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</si>
  <si>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</si>
  <si>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</si>
  <si>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</si>
  <si>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</si>
  <si>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</si>
  <si>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</si>
  <si>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</si>
  <si>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</si>
  <si>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</si>
  <si>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</si>
  <si>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</si>
  <si>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</si>
  <si>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</si>
  <si>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</si>
  <si>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</si>
  <si>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</si>
  <si>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</si>
  <si>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</si>
  <si>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</si>
  <si>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</si>
  <si>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</si>
  <si>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</si>
  <si>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</si>
  <si>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</si>
  <si>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</si>
  <si>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</si>
  <si>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</si>
  <si>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</si>
  <si>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</si>
  <si>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</si>
  <si>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</si>
  <si>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</si>
  <si>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</si>
  <si>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</si>
  <si>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</si>
  <si>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</si>
  <si>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</si>
  <si>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</si>
  <si>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</si>
  <si>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</si>
  <si>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</si>
  <si>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</si>
  <si>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</si>
  <si>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</si>
  <si>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</si>
  <si>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</si>
  <si>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</si>
  <si>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</si>
  <si>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</si>
  <si>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</si>
  <si>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</si>
  <si>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</si>
  <si>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</si>
  <si>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</si>
  <si>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</si>
  <si>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</si>
  <si>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</si>
  <si>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</si>
  <si>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</si>
  <si>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</si>
  <si>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</si>
  <si>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</si>
  <si>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</si>
  <si>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</si>
  <si>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</si>
  <si>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</si>
  <si>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</si>
  <si>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</si>
  <si>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</si>
  <si>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</si>
  <si>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</si>
  <si>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</si>
  <si>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</si>
  <si>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</si>
  <si>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</si>
  <si>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</si>
  <si>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</si>
  <si>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</si>
  <si>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</si>
  <si>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</si>
  <si>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</si>
  <si>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</si>
  <si>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</si>
  <si>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</si>
  <si>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</si>
  <si>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</si>
  <si>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</si>
  <si>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</si>
  <si>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</si>
  <si>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</si>
  <si>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</si>
  <si>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</si>
  <si>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</si>
  <si>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</si>
  <si>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</si>
  <si>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</si>
  <si>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</si>
  <si>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</si>
  <si>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</si>
  <si>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</si>
  <si>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</si>
  <si>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</si>
  <si>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</si>
  <si>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</si>
  <si>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</si>
  <si>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</si>
  <si>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</si>
  <si>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</si>
  <si>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</si>
  <si>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</si>
  <si>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</si>
  <si>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</si>
  <si>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</si>
  <si>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</si>
  <si>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</si>
  <si>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</si>
  <si>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</si>
  <si>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</si>
  <si>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</si>
  <si>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</si>
  <si>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</si>
  <si>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</si>
  <si>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</si>
  <si>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</si>
  <si>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</si>
  <si>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</si>
  <si>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</si>
  <si>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</si>
  <si>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</si>
  <si>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</si>
  <si>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</si>
  <si>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</si>
  <si>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</si>
  <si>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</si>
  <si>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</si>
  <si>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</si>
  <si>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</si>
  <si>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</si>
  <si>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</si>
  <si>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</si>
  <si>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</si>
  <si>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</si>
  <si>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</si>
  <si>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</si>
  <si>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</si>
  <si>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</si>
  <si>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</si>
  <si>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</si>
  <si>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</si>
  <si>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</si>
  <si>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</si>
  <si>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</si>
  <si>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</si>
  <si>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</si>
  <si>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</si>
  <si>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</si>
  <si>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</si>
  <si>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</si>
  <si>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</si>
  <si>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</si>
  <si>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</si>
  <si>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</si>
  <si>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</si>
  <si>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</si>
  <si>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</si>
  <si>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</si>
  <si>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</si>
  <si>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</si>
  <si>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</si>
  <si>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</si>
  <si>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</si>
  <si>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</si>
  <si>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</si>
  <si>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</si>
  <si>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</si>
  <si>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</si>
  <si>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</si>
  <si>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</si>
  <si>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</si>
  <si>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</si>
  <si>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</si>
  <si>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</si>
  <si>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</si>
  <si>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</si>
  <si>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</si>
  <si>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</si>
  <si>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</si>
  <si>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</si>
  <si>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</si>
  <si>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</si>
  <si>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</si>
  <si>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</si>
  <si>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</si>
  <si>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</si>
  <si>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</si>
  <si>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</si>
  <si>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</si>
  <si>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</si>
  <si>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</si>
  <si>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</si>
  <si>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</si>
  <si>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</si>
  <si>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</si>
  <si>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</si>
  <si>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</si>
  <si>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</si>
  <si>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</si>
  <si>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</si>
  <si>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</si>
  <si>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</si>
  <si>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</si>
  <si>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</si>
  <si>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</si>
  <si>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</si>
  <si>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</si>
  <si>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</si>
  <si>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</si>
  <si>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</si>
  <si>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</si>
  <si>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</si>
  <si>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</si>
  <si>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</si>
  <si>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</si>
  <si>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</si>
  <si>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</si>
  <si>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</si>
  <si>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</si>
  <si>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</si>
  <si>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</si>
  <si>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</si>
  <si>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</si>
  <si>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</si>
  <si>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</si>
  <si>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</si>
  <si>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</si>
  <si>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</si>
  <si>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</si>
  <si>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</si>
  <si>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</si>
  <si>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</si>
  <si>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</si>
  <si>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</si>
  <si>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</si>
  <si>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</si>
  <si>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</si>
  <si>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</si>
  <si>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</si>
  <si>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</si>
  <si>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</si>
  <si>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</si>
  <si>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</si>
  <si>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</si>
  <si>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</si>
  <si>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</si>
  <si>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</si>
  <si>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</si>
  <si>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</si>
  <si>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</si>
  <si>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</si>
  <si>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</si>
  <si>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</si>
  <si>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</si>
  <si>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</si>
  <si>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</si>
  <si>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</si>
  <si>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</si>
  <si>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</si>
  <si>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</si>
  <si>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</si>
  <si>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</si>
  <si>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</si>
  <si>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</si>
  <si>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</si>
  <si>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</si>
  <si>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</si>
  <si>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</si>
  <si>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</si>
  <si>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</si>
  <si>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</si>
  <si>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</si>
  <si>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</si>
  <si>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</si>
  <si>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</si>
  <si>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</si>
  <si>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</si>
  <si>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</si>
  <si>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</si>
  <si>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</si>
  <si>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</si>
  <si>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</si>
  <si>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</si>
  <si>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</si>
  <si>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</si>
  <si>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</si>
  <si>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</si>
  <si>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</si>
  <si>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</si>
  <si>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</si>
  <si>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</si>
  <si>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</si>
  <si>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</si>
  <si>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</si>
  <si>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</si>
  <si>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</si>
  <si>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</si>
  <si>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</si>
  <si>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</si>
  <si>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</si>
  <si>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</si>
  <si>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</si>
  <si>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</si>
  <si>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</si>
  <si>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</si>
  <si>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</si>
  <si>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</si>
  <si>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</si>
  <si>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</si>
  <si>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</si>
  <si>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</si>
  <si>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</si>
  <si>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</si>
  <si>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</si>
  <si>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</si>
  <si>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</si>
  <si>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</si>
  <si>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</si>
  <si>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</si>
  <si>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</si>
  <si>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</si>
  <si>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</si>
  <si>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</si>
  <si>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</si>
  <si>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</si>
  <si>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</si>
  <si>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</si>
  <si>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</si>
  <si>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</si>
  <si>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</si>
  <si>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</si>
  <si>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</si>
  <si>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</si>
  <si>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</si>
  <si>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</si>
  <si>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</si>
  <si>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</si>
  <si>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</si>
  <si>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</si>
  <si>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</si>
  <si>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</si>
  <si>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</si>
  <si>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</si>
  <si>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</si>
  <si>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</si>
  <si>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</si>
  <si>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</si>
  <si>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</si>
  <si>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</si>
  <si>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</si>
  <si>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</si>
  <si>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</si>
  <si>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</si>
  <si>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</si>
  <si>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</si>
  <si>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</si>
  <si>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</si>
  <si>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</si>
  <si>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</si>
  <si>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</si>
  <si>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</si>
  <si>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</si>
  <si>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</si>
  <si>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</si>
  <si>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</si>
  <si>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</si>
  <si>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</si>
  <si>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</si>
  <si>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</si>
  <si>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</si>
  <si>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</si>
  <si>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</si>
  <si>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</si>
  <si>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</si>
  <si>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</si>
  <si>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</si>
  <si>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</si>
  <si>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</si>
  <si>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</si>
  <si>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</si>
  <si>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</si>
  <si>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</si>
  <si>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</si>
  <si>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</si>
  <si>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</si>
  <si>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</si>
  <si>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</si>
  <si>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</si>
  <si>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</si>
  <si>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</si>
  <si>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</si>
  <si>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</si>
  <si>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</si>
  <si>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</si>
  <si>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</si>
  <si>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</si>
  <si>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</si>
  <si>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</si>
  <si>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</si>
  <si>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</si>
  <si>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</si>
  <si>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</si>
  <si>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</si>
  <si>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</si>
  <si>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</si>
  <si>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</si>
  <si>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</si>
  <si>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</si>
  <si>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</si>
  <si>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</si>
  <si>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</si>
  <si>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</si>
  <si>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</si>
  <si>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</si>
  <si>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</si>
  <si>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</si>
  <si>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</si>
  <si>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</si>
  <si>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</si>
  <si>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</si>
  <si>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</si>
  <si>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</si>
  <si>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</si>
  <si>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</si>
  <si>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</si>
  <si>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</si>
  <si>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</si>
  <si>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</si>
  <si>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</si>
  <si>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</si>
  <si>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</si>
  <si>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</si>
  <si>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</si>
  <si>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</si>
  <si>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</si>
  <si>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</si>
  <si>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</si>
  <si>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</si>
  <si>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</si>
  <si>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</si>
  <si>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</si>
  <si>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</si>
  <si>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</si>
  <si>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</si>
  <si>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</si>
  <si>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</si>
  <si>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</si>
  <si>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</si>
  <si>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</si>
  <si>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</si>
  <si>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</si>
  <si>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</si>
  <si>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</si>
  <si>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</si>
  <si>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</si>
  <si>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</si>
  <si>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</si>
  <si>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</si>
  <si>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</si>
  <si>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</si>
  <si>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</si>
  <si>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</si>
  <si>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</si>
  <si>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</si>
  <si>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</si>
  <si>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</si>
  <si>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</si>
  <si>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</si>
  <si>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</si>
  <si>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</si>
  <si>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</si>
  <si>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</si>
  <si>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</si>
  <si>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</si>
  <si>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</si>
  <si>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</si>
  <si>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</si>
  <si>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</si>
  <si>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</si>
  <si>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</si>
  <si>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</si>
  <si>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</si>
  <si>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</si>
  <si>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</si>
  <si>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</si>
  <si>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</si>
  <si>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</si>
  <si>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</si>
  <si>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</si>
  <si>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</si>
  <si>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</si>
  <si>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</si>
  <si>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</si>
  <si>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</si>
  <si>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</si>
  <si>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</si>
  <si>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</si>
  <si>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</si>
  <si>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</si>
  <si>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</si>
  <si>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</si>
  <si>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</si>
  <si>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</si>
  <si>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</si>
  <si>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</si>
  <si>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</si>
  <si>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</si>
  <si>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</si>
  <si>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</si>
  <si>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</si>
  <si>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</si>
  <si>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</si>
  <si>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</si>
  <si>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</si>
  <si>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</si>
  <si>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</si>
  <si>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</si>
  <si>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</si>
  <si>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</si>
  <si>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</si>
  <si>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</si>
  <si>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</si>
  <si>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</si>
  <si>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</si>
  <si>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</si>
  <si>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</si>
  <si>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</si>
  <si>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</si>
  <si>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</si>
  <si>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</si>
  <si>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</si>
  <si>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</si>
  <si>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</si>
  <si>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</si>
  <si>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</si>
  <si>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</si>
  <si>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</si>
  <si>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</si>
  <si>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</si>
  <si>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</si>
  <si>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</si>
  <si>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</si>
  <si>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</si>
  <si>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</si>
  <si>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</si>
  <si>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</si>
  <si>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</si>
  <si>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</si>
  <si>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</si>
  <si>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</si>
  <si>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</si>
  <si>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</si>
  <si>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</si>
  <si>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</si>
  <si>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</si>
  <si>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</si>
  <si>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</si>
  <si>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</si>
  <si>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</si>
  <si>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</si>
  <si>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</si>
  <si>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</si>
  <si>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</si>
  <si>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</si>
  <si>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</si>
  <si>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</si>
  <si>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</si>
  <si>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</si>
  <si>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</si>
  <si>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</si>
  <si>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</si>
  <si>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</si>
  <si>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</si>
  <si>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</si>
  <si>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</si>
  <si>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</si>
  <si>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</si>
  <si>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</si>
  <si>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</si>
  <si>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</si>
  <si>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</si>
  <si>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</si>
  <si>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</si>
  <si>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</si>
  <si>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</si>
  <si>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</si>
  <si>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</si>
  <si>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</si>
  <si>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</si>
  <si>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</si>
  <si>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</si>
  <si>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</si>
  <si>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</si>
  <si>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</si>
  <si>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</si>
  <si>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</si>
  <si>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</si>
  <si>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</si>
  <si>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</si>
  <si>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</si>
  <si>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</si>
  <si>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</si>
  <si>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</si>
  <si>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</si>
  <si>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</si>
  <si>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</si>
  <si>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</si>
  <si>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</si>
  <si>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</si>
  <si>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</si>
  <si>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</si>
  <si>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</si>
  <si>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</si>
  <si>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</si>
  <si>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</si>
  <si>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</si>
  <si>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</si>
  <si>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</si>
  <si>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</si>
  <si>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</si>
  <si>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</si>
  <si>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</si>
  <si>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</si>
  <si>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</si>
  <si>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</si>
  <si>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</si>
  <si>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</si>
  <si>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</si>
  <si>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</si>
  <si>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</si>
  <si>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</si>
  <si>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</si>
  <si>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</si>
  <si>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</si>
  <si>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</si>
  <si>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</si>
  <si>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</si>
  <si>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</si>
  <si>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</si>
  <si>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</si>
  <si>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</si>
  <si>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</si>
  <si>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</si>
  <si>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</si>
  <si>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</si>
  <si>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</si>
  <si>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</si>
  <si>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</si>
  <si>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</si>
  <si>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</si>
  <si>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</si>
  <si>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</si>
  <si>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</si>
  <si>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</si>
  <si>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</si>
  <si>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</si>
  <si>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</si>
  <si>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</si>
  <si>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</si>
  <si>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</si>
  <si>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</si>
  <si>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</si>
  <si>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</si>
  <si>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</si>
  <si>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</si>
  <si>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</si>
  <si>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</si>
  <si>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</si>
  <si>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</si>
  <si>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</si>
  <si>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</si>
  <si>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</si>
  <si>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</si>
  <si>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</si>
  <si>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</si>
  <si>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</si>
  <si>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</si>
  <si>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</si>
  <si>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</si>
  <si>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</si>
  <si>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</si>
  <si>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</si>
  <si>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</si>
  <si>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</si>
  <si>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</si>
  <si>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</si>
  <si>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</si>
  <si>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</si>
  <si>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</si>
  <si>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</si>
  <si>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</si>
  <si>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</si>
  <si>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</si>
  <si>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</si>
  <si>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</si>
  <si>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</si>
  <si>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</si>
  <si>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</si>
  <si>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</si>
  <si>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</si>
  <si>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</si>
  <si>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</si>
  <si>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</si>
  <si>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</si>
  <si>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</si>
  <si>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</si>
  <si>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</si>
  <si>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</si>
  <si>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</si>
  <si>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</si>
  <si>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</si>
  <si>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</si>
  <si>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</si>
  <si>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</si>
  <si>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</si>
  <si>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</si>
  <si>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</si>
  <si>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</si>
  <si>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</si>
  <si>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</si>
  <si>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</si>
  <si>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</si>
  <si>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</si>
  <si>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</si>
  <si>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</si>
  <si>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</si>
  <si>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</si>
  <si>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</si>
  <si>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</si>
  <si>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</si>
  <si>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</si>
  <si>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</si>
  <si>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</si>
  <si>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</si>
  <si>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</si>
  <si>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</si>
  <si>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</si>
  <si>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</si>
  <si>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</si>
  <si>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</si>
  <si>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</si>
  <si>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</si>
  <si>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</si>
  <si>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</si>
  <si>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</si>
  <si>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</si>
  <si>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</si>
  <si>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</si>
  <si>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</si>
  <si>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</si>
  <si>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</si>
  <si>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</si>
  <si>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</si>
  <si>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</si>
  <si>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</si>
  <si>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</si>
  <si>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</si>
  <si>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</si>
  <si>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</si>
  <si>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</si>
  <si>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</si>
  <si>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</si>
  <si>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</si>
  <si>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</si>
  <si>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</si>
  <si>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</si>
  <si>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</si>
  <si>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</si>
  <si>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</si>
  <si>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</si>
  <si>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</si>
  <si>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</si>
  <si>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</si>
  <si>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</si>
  <si>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</si>
  <si>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</si>
  <si>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</si>
  <si>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</si>
  <si>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</si>
  <si>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</si>
  <si>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</si>
  <si>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</si>
  <si>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</si>
  <si>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</si>
  <si>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</si>
  <si>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</si>
  <si>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</si>
  <si>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</si>
  <si>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</si>
  <si>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</si>
  <si>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</si>
  <si>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</si>
  <si>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</si>
  <si>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</si>
  <si>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</si>
  <si>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</si>
  <si>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</si>
  <si>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</si>
  <si>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</si>
  <si>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</si>
  <si>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</si>
  <si>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</si>
  <si>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</si>
  <si>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</si>
  <si>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</si>
  <si>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</si>
  <si>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</si>
  <si>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</si>
  <si>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</si>
  <si>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</si>
  <si>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</si>
  <si>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</si>
  <si>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</si>
  <si>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</si>
  <si>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</si>
  <si>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</si>
  <si>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</si>
  <si>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</si>
  <si>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</si>
  <si>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</si>
  <si>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</si>
  <si>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</si>
  <si>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</si>
  <si>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</si>
  <si>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</si>
  <si>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</si>
  <si>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</si>
  <si>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</si>
  <si>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</si>
  <si>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</si>
  <si>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</si>
  <si>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</si>
  <si>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</si>
  <si>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</si>
  <si>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</si>
  <si>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</si>
  <si>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</si>
  <si>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</si>
  <si>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</si>
  <si>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</si>
  <si>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</si>
  <si>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</si>
  <si>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</si>
  <si>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</si>
  <si>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</si>
  <si>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</si>
  <si>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</si>
  <si>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</si>
  <si>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</si>
  <si>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</si>
  <si>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</si>
  <si>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</si>
  <si>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</si>
  <si>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</si>
  <si>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</si>
  <si>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</si>
  <si>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</si>
  <si>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</si>
  <si>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</si>
  <si>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</si>
  <si>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</si>
  <si>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</si>
  <si>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</si>
  <si>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</si>
  <si>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</si>
  <si>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</si>
  <si>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</si>
  <si>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</si>
  <si>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</si>
  <si>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</si>
  <si>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</si>
  <si>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</si>
  <si>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</si>
  <si>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</si>
  <si>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</si>
  <si>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</si>
  <si>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</si>
  <si>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</si>
  <si>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</si>
  <si>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</si>
  <si>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</si>
  <si>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</si>
  <si>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</si>
  <si>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</si>
  <si>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</si>
  <si>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</si>
  <si>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</si>
  <si>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</si>
  <si>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</si>
  <si>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</si>
  <si>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</si>
  <si>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</si>
  <si>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</si>
  <si>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</si>
  <si>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</si>
  <si>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</si>
  <si>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</si>
  <si>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</si>
  <si>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</si>
  <si>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</si>
  <si>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</si>
  <si>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</si>
  <si>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</si>
  <si>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</si>
  <si>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</si>
  <si>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</si>
  <si>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</si>
  <si>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</si>
  <si>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</si>
  <si>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</si>
  <si>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</si>
  <si>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</si>
  <si>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</si>
  <si>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</si>
  <si>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</si>
  <si>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</si>
  <si>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</si>
  <si>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</si>
  <si>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</si>
  <si>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</si>
  <si>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</si>
  <si>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</si>
  <si>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</si>
  <si>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</si>
  <si>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</si>
  <si>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</si>
  <si>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</si>
  <si>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</si>
  <si>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</si>
  <si>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</si>
  <si>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</si>
  <si>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</si>
  <si>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</si>
  <si>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</si>
  <si>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</si>
  <si>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</si>
  <si>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</si>
  <si>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</si>
  <si>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</si>
  <si>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</si>
  <si>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</si>
  <si>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</si>
  <si>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</si>
  <si>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</si>
  <si>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</si>
  <si>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</si>
  <si>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</si>
  <si>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</si>
  <si>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</si>
  <si>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</si>
  <si>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</si>
  <si>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</si>
  <si>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</si>
  <si>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</si>
  <si>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</si>
  <si>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</si>
  <si>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</si>
  <si>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</si>
  <si>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</si>
  <si>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</si>
  <si>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</si>
  <si>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</si>
  <si>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</si>
  <si>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</si>
  <si>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</si>
  <si>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</si>
  <si>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</si>
  <si>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</si>
  <si>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</si>
  <si>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</si>
  <si>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</si>
  <si>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</si>
  <si>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</si>
  <si>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</si>
  <si>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</si>
  <si>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</si>
  <si>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</si>
  <si>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</si>
  <si>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</si>
  <si>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</si>
  <si>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</si>
  <si>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</si>
  <si>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</si>
  <si>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</si>
  <si>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</si>
  <si>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</si>
  <si>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</si>
  <si>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</si>
  <si>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</si>
  <si>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</si>
  <si>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</si>
  <si>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</si>
  <si>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</si>
  <si>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</si>
  <si>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</si>
  <si>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</si>
  <si>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</si>
  <si>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</si>
  <si>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</si>
  <si>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</si>
  <si>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</si>
  <si>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</si>
  <si>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</si>
  <si>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</si>
  <si>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</si>
  <si>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</si>
  <si>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</si>
  <si>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</si>
  <si>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</si>
  <si>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</si>
  <si>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</si>
  <si>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</si>
  <si>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</si>
  <si>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</si>
  <si>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</si>
  <si>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</si>
  <si>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</si>
  <si>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</si>
  <si>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</si>
  <si>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</si>
  <si>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</si>
  <si>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</si>
  <si>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</si>
  <si>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</si>
  <si>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</si>
  <si>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</si>
  <si>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</si>
  <si>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</si>
  <si>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</si>
  <si>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</si>
  <si>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</si>
  <si>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</si>
  <si>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</si>
  <si>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</si>
  <si>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</si>
  <si>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</si>
  <si>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</si>
  <si>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</si>
  <si>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</si>
  <si>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</si>
  <si>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</si>
  <si>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</si>
  <si>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</si>
  <si>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</si>
  <si>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</si>
  <si>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</si>
  <si>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</si>
  <si>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</si>
  <si>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</si>
  <si>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</si>
  <si>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</si>
  <si>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</si>
  <si>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</si>
  <si>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</si>
  <si>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</si>
  <si>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</si>
  <si>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</si>
  <si>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</si>
  <si>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</si>
  <si>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</si>
  <si>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</si>
  <si>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</si>
  <si>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</si>
  <si>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</si>
  <si>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</si>
  <si>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</si>
  <si>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</si>
  <si>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</si>
  <si>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</si>
  <si>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</si>
  <si>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</si>
  <si>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</si>
  <si>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</si>
  <si>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</si>
  <si>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</si>
  <si>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</si>
  <si>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</si>
  <si>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</si>
  <si>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</si>
  <si>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</si>
  <si>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</si>
  <si>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</si>
  <si>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</si>
  <si>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</si>
  <si>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</si>
  <si>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</si>
  <si>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</si>
  <si>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</si>
  <si>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</si>
  <si>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</si>
  <si>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</si>
  <si>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</si>
  <si>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</si>
  <si>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</si>
  <si>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</si>
  <si>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</si>
  <si>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</si>
  <si>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</si>
  <si>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</si>
  <si>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</si>
  <si>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Property value</t>
  </si>
  <si>
    <t>Monthly mortgage payment</t>
  </si>
  <si>
    <t>Property valuation haircut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</si>
</sst>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7" width="25.71"/>
    <col customWidth="1" min="8" max="9" width="22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12</v>
      </c>
      <c r="B2" s="4" t="s">
        <v>13</v>
      </c>
      <c r="C2" s="4" t="s">
        <v>14</v>
      </c>
      <c r="D2" s="5">
        <v>17100.0</v>
      </c>
      <c r="E2" s="6">
        <f t="shared" ref="E2:E501" si="1">RANDBETWEEN(1,5)</f>
        <v>2</v>
      </c>
      <c r="F2" s="6">
        <f t="shared" ref="F2:F501" si="2">RANDBETWEEN(2000,100000)</f>
        <v>85992</v>
      </c>
      <c r="G2" s="6">
        <f t="shared" ref="G2:G501" si="3">SQRT(POWER(F2-RANDBETWEEN(-200,90000),2))</f>
        <v>66732</v>
      </c>
      <c r="H2" s="6" t="str">
        <f t="shared" ref="H2:H501" si="4">CHOOSE(RANDBETWEEN(1,7),"A","B","C","D","E","F","G")</f>
        <v>F</v>
      </c>
      <c r="I2" s="6" t="str">
        <f t="shared" ref="I2:I501" si="5">CHOOSE(RANDBETWEEN(1,6),"Transformative change","High ambition","Transformative change","Transformative change","Transformative change","Transformative change")</f>
        <v>Transformative change</v>
      </c>
      <c r="J2" s="6" t="str">
        <f t="shared" ref="J2:J501" si="6">CHOOSE(RANDBETWEEN(1,3),"Low","Medium","High")</f>
        <v>Medium</v>
      </c>
      <c r="K2" s="6">
        <f t="shared" ref="K2:K501" si="7">RANDBETWEEN(40000,4000000)</f>
        <v>1127766</v>
      </c>
      <c r="L2" s="6">
        <f t="shared" ref="L2:L501" si="8">K2*RAND()</f>
        <v>1072840.385</v>
      </c>
    </row>
    <row r="3">
      <c r="A3" s="4" t="s">
        <v>15</v>
      </c>
      <c r="B3" s="4" t="s">
        <v>16</v>
      </c>
      <c r="C3" s="4" t="s">
        <v>17</v>
      </c>
      <c r="D3" s="5">
        <v>89592.0</v>
      </c>
      <c r="E3" s="6">
        <f t="shared" si="1"/>
        <v>2</v>
      </c>
      <c r="F3" s="6">
        <f t="shared" si="2"/>
        <v>4914</v>
      </c>
      <c r="G3" s="6">
        <f t="shared" si="3"/>
        <v>54416</v>
      </c>
      <c r="H3" s="6" t="str">
        <f t="shared" si="4"/>
        <v>G</v>
      </c>
      <c r="I3" s="6" t="str">
        <f t="shared" si="5"/>
        <v>Transformative change</v>
      </c>
      <c r="J3" s="6" t="str">
        <f t="shared" si="6"/>
        <v>Medium</v>
      </c>
      <c r="K3" s="6">
        <f t="shared" si="7"/>
        <v>1198353</v>
      </c>
      <c r="L3" s="6">
        <f t="shared" si="8"/>
        <v>447509.9789</v>
      </c>
    </row>
    <row r="4">
      <c r="A4" s="4" t="s">
        <v>18</v>
      </c>
      <c r="B4" s="4" t="s">
        <v>19</v>
      </c>
      <c r="C4" s="4" t="s">
        <v>20</v>
      </c>
      <c r="D4" s="5">
        <v>23688.0</v>
      </c>
      <c r="E4" s="6">
        <f t="shared" si="1"/>
        <v>3</v>
      </c>
      <c r="F4" s="6">
        <f t="shared" si="2"/>
        <v>72770</v>
      </c>
      <c r="G4" s="6">
        <f t="shared" si="3"/>
        <v>40297</v>
      </c>
      <c r="H4" s="6" t="str">
        <f t="shared" si="4"/>
        <v>F</v>
      </c>
      <c r="I4" s="6" t="str">
        <f t="shared" si="5"/>
        <v>Transformative change</v>
      </c>
      <c r="J4" s="6" t="str">
        <f t="shared" si="6"/>
        <v>Low</v>
      </c>
      <c r="K4" s="6">
        <f t="shared" si="7"/>
        <v>2753114</v>
      </c>
      <c r="L4" s="6">
        <f t="shared" si="8"/>
        <v>1071938.498</v>
      </c>
    </row>
    <row r="5">
      <c r="A5" s="4" t="s">
        <v>21</v>
      </c>
      <c r="B5" s="4" t="s">
        <v>22</v>
      </c>
      <c r="C5" s="4" t="s">
        <v>23</v>
      </c>
      <c r="D5" s="5">
        <v>707515.0</v>
      </c>
      <c r="E5" s="6">
        <f t="shared" si="1"/>
        <v>4</v>
      </c>
      <c r="F5" s="6">
        <f t="shared" si="2"/>
        <v>7154</v>
      </c>
      <c r="G5" s="6">
        <f t="shared" si="3"/>
        <v>18062</v>
      </c>
      <c r="H5" s="6" t="str">
        <f t="shared" si="4"/>
        <v>E</v>
      </c>
      <c r="I5" s="6" t="str">
        <f t="shared" si="5"/>
        <v>Transformative change</v>
      </c>
      <c r="J5" s="6" t="str">
        <f t="shared" si="6"/>
        <v>High</v>
      </c>
      <c r="K5" s="6">
        <f t="shared" si="7"/>
        <v>2212473</v>
      </c>
      <c r="L5" s="6">
        <f t="shared" si="8"/>
        <v>48605.05912</v>
      </c>
    </row>
    <row r="6">
      <c r="A6" s="4" t="s">
        <v>24</v>
      </c>
      <c r="B6" s="4" t="s">
        <v>25</v>
      </c>
      <c r="C6" s="4" t="s">
        <v>26</v>
      </c>
      <c r="D6" s="5">
        <v>8954.0</v>
      </c>
      <c r="E6" s="6">
        <f t="shared" si="1"/>
        <v>1</v>
      </c>
      <c r="F6" s="6">
        <f t="shared" si="2"/>
        <v>99570</v>
      </c>
      <c r="G6" s="6">
        <f t="shared" si="3"/>
        <v>58562</v>
      </c>
      <c r="H6" s="6" t="str">
        <f t="shared" si="4"/>
        <v>G</v>
      </c>
      <c r="I6" s="6" t="str">
        <f t="shared" si="5"/>
        <v>High ambition</v>
      </c>
      <c r="J6" s="6" t="str">
        <f t="shared" si="6"/>
        <v>Medium</v>
      </c>
      <c r="K6" s="6">
        <f t="shared" si="7"/>
        <v>272849</v>
      </c>
      <c r="L6" s="6">
        <f t="shared" si="8"/>
        <v>12670.06369</v>
      </c>
    </row>
    <row r="7">
      <c r="A7" s="4" t="s">
        <v>27</v>
      </c>
      <c r="B7" s="4" t="s">
        <v>28</v>
      </c>
      <c r="C7" s="4" t="s">
        <v>29</v>
      </c>
      <c r="D7" s="5">
        <v>77325.0</v>
      </c>
      <c r="E7" s="6">
        <f t="shared" si="1"/>
        <v>1</v>
      </c>
      <c r="F7" s="6">
        <f t="shared" si="2"/>
        <v>75690</v>
      </c>
      <c r="G7" s="6">
        <f t="shared" si="3"/>
        <v>57240</v>
      </c>
      <c r="H7" s="6" t="str">
        <f t="shared" si="4"/>
        <v>E</v>
      </c>
      <c r="I7" s="6" t="str">
        <f t="shared" si="5"/>
        <v>Transformative change</v>
      </c>
      <c r="J7" s="6" t="str">
        <f t="shared" si="6"/>
        <v>Medium</v>
      </c>
      <c r="K7" s="6">
        <f t="shared" si="7"/>
        <v>3198575</v>
      </c>
      <c r="L7" s="6">
        <f t="shared" si="8"/>
        <v>1355339.504</v>
      </c>
    </row>
    <row r="8">
      <c r="A8" s="4" t="s">
        <v>30</v>
      </c>
      <c r="B8" s="4" t="s">
        <v>31</v>
      </c>
      <c r="C8" s="4" t="s">
        <v>32</v>
      </c>
      <c r="D8" s="5">
        <v>19336.0</v>
      </c>
      <c r="E8" s="6">
        <f t="shared" si="1"/>
        <v>1</v>
      </c>
      <c r="F8" s="6">
        <f t="shared" si="2"/>
        <v>53111</v>
      </c>
      <c r="G8" s="6">
        <f t="shared" si="3"/>
        <v>49326</v>
      </c>
      <c r="H8" s="6" t="str">
        <f t="shared" si="4"/>
        <v>G</v>
      </c>
      <c r="I8" s="6" t="str">
        <f t="shared" si="5"/>
        <v>Transformative change</v>
      </c>
      <c r="J8" s="6" t="str">
        <f t="shared" si="6"/>
        <v>Medium</v>
      </c>
      <c r="K8" s="6">
        <f t="shared" si="7"/>
        <v>1007603</v>
      </c>
      <c r="L8" s="6">
        <f t="shared" si="8"/>
        <v>731508.5988</v>
      </c>
    </row>
    <row r="9">
      <c r="A9" s="4" t="s">
        <v>33</v>
      </c>
      <c r="B9" s="4" t="s">
        <v>34</v>
      </c>
      <c r="C9" s="4" t="s">
        <v>35</v>
      </c>
      <c r="D9" s="5">
        <v>234404.0</v>
      </c>
      <c r="E9" s="6">
        <f t="shared" si="1"/>
        <v>2</v>
      </c>
      <c r="F9" s="6">
        <f t="shared" si="2"/>
        <v>75088</v>
      </c>
      <c r="G9" s="6">
        <f t="shared" si="3"/>
        <v>50936</v>
      </c>
      <c r="H9" s="6" t="str">
        <f t="shared" si="4"/>
        <v>G</v>
      </c>
      <c r="I9" s="6" t="str">
        <f t="shared" si="5"/>
        <v>Transformative change</v>
      </c>
      <c r="J9" s="6" t="str">
        <f t="shared" si="6"/>
        <v>High</v>
      </c>
      <c r="K9" s="6">
        <f t="shared" si="7"/>
        <v>2137743</v>
      </c>
      <c r="L9" s="6">
        <f t="shared" si="8"/>
        <v>1726230.061</v>
      </c>
    </row>
    <row r="10">
      <c r="A10" s="4" t="s">
        <v>36</v>
      </c>
      <c r="B10" s="4" t="s">
        <v>37</v>
      </c>
      <c r="C10" s="4" t="s">
        <v>38</v>
      </c>
      <c r="D10" s="5">
        <v>14081.0</v>
      </c>
      <c r="E10" s="6">
        <f t="shared" si="1"/>
        <v>3</v>
      </c>
      <c r="F10" s="6">
        <f t="shared" si="2"/>
        <v>15279</v>
      </c>
      <c r="G10" s="6">
        <f t="shared" si="3"/>
        <v>27227</v>
      </c>
      <c r="H10" s="6" t="str">
        <f t="shared" si="4"/>
        <v>A</v>
      </c>
      <c r="I10" s="6" t="str">
        <f t="shared" si="5"/>
        <v>Transformative change</v>
      </c>
      <c r="J10" s="6" t="str">
        <f t="shared" si="6"/>
        <v>High</v>
      </c>
      <c r="K10" s="6">
        <f t="shared" si="7"/>
        <v>3210115</v>
      </c>
      <c r="L10" s="6">
        <f t="shared" si="8"/>
        <v>723260.0139</v>
      </c>
    </row>
    <row r="11">
      <c r="A11" s="4" t="s">
        <v>39</v>
      </c>
      <c r="B11" s="4" t="s">
        <v>40</v>
      </c>
      <c r="C11" s="4" t="s">
        <v>41</v>
      </c>
      <c r="D11" s="5">
        <v>14001.0</v>
      </c>
      <c r="E11" s="6">
        <f t="shared" si="1"/>
        <v>1</v>
      </c>
      <c r="F11" s="6">
        <f t="shared" si="2"/>
        <v>6988</v>
      </c>
      <c r="G11" s="6">
        <f t="shared" si="3"/>
        <v>29847</v>
      </c>
      <c r="H11" s="6" t="str">
        <f t="shared" si="4"/>
        <v>C</v>
      </c>
      <c r="I11" s="6" t="str">
        <f t="shared" si="5"/>
        <v>Transformative change</v>
      </c>
      <c r="J11" s="6" t="str">
        <f t="shared" si="6"/>
        <v>Medium</v>
      </c>
      <c r="K11" s="6">
        <f t="shared" si="7"/>
        <v>3176569</v>
      </c>
      <c r="L11" s="6">
        <f t="shared" si="8"/>
        <v>518551.4638</v>
      </c>
    </row>
    <row r="12">
      <c r="A12" s="4" t="s">
        <v>42</v>
      </c>
      <c r="B12" s="4" t="s">
        <v>43</v>
      </c>
      <c r="C12" s="4" t="s">
        <v>44</v>
      </c>
      <c r="D12" s="5">
        <v>12157.0</v>
      </c>
      <c r="E12" s="6">
        <f t="shared" si="1"/>
        <v>3</v>
      </c>
      <c r="F12" s="6">
        <f t="shared" si="2"/>
        <v>6930</v>
      </c>
      <c r="G12" s="6">
        <f t="shared" si="3"/>
        <v>81522</v>
      </c>
      <c r="H12" s="6" t="str">
        <f t="shared" si="4"/>
        <v>E</v>
      </c>
      <c r="I12" s="6" t="str">
        <f t="shared" si="5"/>
        <v>Transformative change</v>
      </c>
      <c r="J12" s="6" t="str">
        <f t="shared" si="6"/>
        <v>Low</v>
      </c>
      <c r="K12" s="6">
        <f t="shared" si="7"/>
        <v>1847768</v>
      </c>
      <c r="L12" s="6">
        <f t="shared" si="8"/>
        <v>1595345.123</v>
      </c>
    </row>
    <row r="13">
      <c r="A13" s="4" t="s">
        <v>45</v>
      </c>
      <c r="B13" s="4" t="s">
        <v>46</v>
      </c>
      <c r="C13" s="4" t="s">
        <v>47</v>
      </c>
      <c r="D13" s="5">
        <v>7259.0</v>
      </c>
      <c r="E13" s="6">
        <f t="shared" si="1"/>
        <v>4</v>
      </c>
      <c r="F13" s="6">
        <f t="shared" si="2"/>
        <v>68011</v>
      </c>
      <c r="G13" s="6">
        <f t="shared" si="3"/>
        <v>42113</v>
      </c>
      <c r="H13" s="6" t="str">
        <f t="shared" si="4"/>
        <v>D</v>
      </c>
      <c r="I13" s="6" t="str">
        <f t="shared" si="5"/>
        <v>Transformative change</v>
      </c>
      <c r="J13" s="6" t="str">
        <f t="shared" si="6"/>
        <v>High</v>
      </c>
      <c r="K13" s="6">
        <f t="shared" si="7"/>
        <v>2988667</v>
      </c>
      <c r="L13" s="6">
        <f t="shared" si="8"/>
        <v>2447147.274</v>
      </c>
    </row>
    <row r="14">
      <c r="A14" s="4" t="s">
        <v>48</v>
      </c>
      <c r="B14" s="4" t="s">
        <v>49</v>
      </c>
      <c r="C14" s="4" t="s">
        <v>50</v>
      </c>
      <c r="D14" s="5">
        <v>15765.0</v>
      </c>
      <c r="E14" s="6">
        <f t="shared" si="1"/>
        <v>5</v>
      </c>
      <c r="F14" s="6">
        <f t="shared" si="2"/>
        <v>78143</v>
      </c>
      <c r="G14" s="6">
        <f t="shared" si="3"/>
        <v>9607</v>
      </c>
      <c r="H14" s="6" t="str">
        <f t="shared" si="4"/>
        <v>C</v>
      </c>
      <c r="I14" s="6" t="str">
        <f t="shared" si="5"/>
        <v>Transformative change</v>
      </c>
      <c r="J14" s="6" t="str">
        <f t="shared" si="6"/>
        <v>High</v>
      </c>
      <c r="K14" s="6">
        <f t="shared" si="7"/>
        <v>3558093</v>
      </c>
      <c r="L14" s="6">
        <f t="shared" si="8"/>
        <v>823584.9229</v>
      </c>
    </row>
    <row r="15">
      <c r="A15" s="4" t="s">
        <v>51</v>
      </c>
      <c r="B15" s="4" t="s">
        <v>52</v>
      </c>
      <c r="C15" s="4" t="s">
        <v>53</v>
      </c>
      <c r="D15" s="5">
        <v>11233.0</v>
      </c>
      <c r="E15" s="6">
        <f t="shared" si="1"/>
        <v>2</v>
      </c>
      <c r="F15" s="6">
        <f t="shared" si="2"/>
        <v>98601</v>
      </c>
      <c r="G15" s="6">
        <f t="shared" si="3"/>
        <v>67462</v>
      </c>
      <c r="H15" s="6" t="str">
        <f t="shared" si="4"/>
        <v>A</v>
      </c>
      <c r="I15" s="6" t="str">
        <f t="shared" si="5"/>
        <v>Transformative change</v>
      </c>
      <c r="J15" s="6" t="str">
        <f t="shared" si="6"/>
        <v>Medium</v>
      </c>
      <c r="K15" s="6">
        <f t="shared" si="7"/>
        <v>3139162</v>
      </c>
      <c r="L15" s="6">
        <f t="shared" si="8"/>
        <v>1535943.523</v>
      </c>
    </row>
    <row r="16">
      <c r="A16" s="4" t="s">
        <v>54</v>
      </c>
      <c r="B16" s="4" t="s">
        <v>55</v>
      </c>
      <c r="C16" s="4" t="s">
        <v>56</v>
      </c>
      <c r="D16" s="5">
        <v>5414.0</v>
      </c>
      <c r="E16" s="6">
        <f t="shared" si="1"/>
        <v>4</v>
      </c>
      <c r="F16" s="6">
        <f t="shared" si="2"/>
        <v>9914</v>
      </c>
      <c r="G16" s="6">
        <f t="shared" si="3"/>
        <v>78690</v>
      </c>
      <c r="H16" s="6" t="str">
        <f t="shared" si="4"/>
        <v>A</v>
      </c>
      <c r="I16" s="6" t="str">
        <f t="shared" si="5"/>
        <v>Transformative change</v>
      </c>
      <c r="J16" s="6" t="str">
        <f t="shared" si="6"/>
        <v>Low</v>
      </c>
      <c r="K16" s="6">
        <f t="shared" si="7"/>
        <v>1277234</v>
      </c>
      <c r="L16" s="6">
        <f t="shared" si="8"/>
        <v>850853.7596</v>
      </c>
    </row>
    <row r="17">
      <c r="A17" s="4" t="s">
        <v>57</v>
      </c>
      <c r="B17" s="4" t="s">
        <v>58</v>
      </c>
      <c r="C17" s="4" t="s">
        <v>59</v>
      </c>
      <c r="D17" s="5">
        <v>10706.0</v>
      </c>
      <c r="E17" s="6">
        <f t="shared" si="1"/>
        <v>1</v>
      </c>
      <c r="F17" s="6">
        <f t="shared" si="2"/>
        <v>39825</v>
      </c>
      <c r="G17" s="6">
        <f t="shared" si="3"/>
        <v>32749</v>
      </c>
      <c r="H17" s="6" t="str">
        <f t="shared" si="4"/>
        <v>B</v>
      </c>
      <c r="I17" s="6" t="str">
        <f t="shared" si="5"/>
        <v>Transformative change</v>
      </c>
      <c r="J17" s="6" t="str">
        <f t="shared" si="6"/>
        <v>Low</v>
      </c>
      <c r="K17" s="6">
        <f t="shared" si="7"/>
        <v>2912141</v>
      </c>
      <c r="L17" s="6">
        <f t="shared" si="8"/>
        <v>870698.7043</v>
      </c>
    </row>
    <row r="18">
      <c r="A18" s="4" t="s">
        <v>60</v>
      </c>
      <c r="B18" s="4" t="s">
        <v>61</v>
      </c>
      <c r="C18" s="4" t="s">
        <v>62</v>
      </c>
      <c r="D18" s="5">
        <v>8842.0</v>
      </c>
      <c r="E18" s="6">
        <f t="shared" si="1"/>
        <v>2</v>
      </c>
      <c r="F18" s="6">
        <f t="shared" si="2"/>
        <v>48301</v>
      </c>
      <c r="G18" s="6">
        <f t="shared" si="3"/>
        <v>26887</v>
      </c>
      <c r="H18" s="6" t="str">
        <f t="shared" si="4"/>
        <v>E</v>
      </c>
      <c r="I18" s="6" t="str">
        <f t="shared" si="5"/>
        <v>Transformative change</v>
      </c>
      <c r="J18" s="6" t="str">
        <f t="shared" si="6"/>
        <v>High</v>
      </c>
      <c r="K18" s="6">
        <f t="shared" si="7"/>
        <v>1601392</v>
      </c>
      <c r="L18" s="6">
        <f t="shared" si="8"/>
        <v>1513884.98</v>
      </c>
    </row>
    <row r="19">
      <c r="A19" s="4" t="s">
        <v>63</v>
      </c>
      <c r="B19" s="4" t="s">
        <v>64</v>
      </c>
      <c r="C19" s="4" t="s">
        <v>65</v>
      </c>
      <c r="D19" s="5">
        <v>184035.0</v>
      </c>
      <c r="E19" s="6">
        <f t="shared" si="1"/>
        <v>1</v>
      </c>
      <c r="F19" s="6">
        <f t="shared" si="2"/>
        <v>75114</v>
      </c>
      <c r="G19" s="6">
        <f t="shared" si="3"/>
        <v>65234</v>
      </c>
      <c r="H19" s="6" t="str">
        <f t="shared" si="4"/>
        <v>G</v>
      </c>
      <c r="I19" s="6" t="str">
        <f t="shared" si="5"/>
        <v>Transformative change</v>
      </c>
      <c r="J19" s="6" t="str">
        <f t="shared" si="6"/>
        <v>High</v>
      </c>
      <c r="K19" s="6">
        <f t="shared" si="7"/>
        <v>2301084</v>
      </c>
      <c r="L19" s="6">
        <f t="shared" si="8"/>
        <v>635414.7351</v>
      </c>
    </row>
    <row r="20">
      <c r="A20" s="4" t="s">
        <v>66</v>
      </c>
      <c r="B20" s="4" t="s">
        <v>67</v>
      </c>
      <c r="C20" s="4" t="s">
        <v>68</v>
      </c>
      <c r="D20" s="5">
        <v>23265.0</v>
      </c>
      <c r="E20" s="6">
        <f t="shared" si="1"/>
        <v>4</v>
      </c>
      <c r="F20" s="6">
        <f t="shared" si="2"/>
        <v>74008</v>
      </c>
      <c r="G20" s="6">
        <f t="shared" si="3"/>
        <v>29702</v>
      </c>
      <c r="H20" s="6" t="str">
        <f t="shared" si="4"/>
        <v>C</v>
      </c>
      <c r="I20" s="6" t="str">
        <f t="shared" si="5"/>
        <v>Transformative change</v>
      </c>
      <c r="J20" s="6" t="str">
        <f t="shared" si="6"/>
        <v>Low</v>
      </c>
      <c r="K20" s="6">
        <f t="shared" si="7"/>
        <v>3901233</v>
      </c>
      <c r="L20" s="6">
        <f t="shared" si="8"/>
        <v>2756652.705</v>
      </c>
    </row>
    <row r="21">
      <c r="A21" s="4" t="s">
        <v>69</v>
      </c>
      <c r="B21" s="4" t="s">
        <v>70</v>
      </c>
      <c r="C21" s="4" t="s">
        <v>71</v>
      </c>
      <c r="D21" s="5">
        <v>346162.0</v>
      </c>
      <c r="E21" s="6">
        <f t="shared" si="1"/>
        <v>1</v>
      </c>
      <c r="F21" s="6">
        <f t="shared" si="2"/>
        <v>15939</v>
      </c>
      <c r="G21" s="6">
        <f t="shared" si="3"/>
        <v>12013</v>
      </c>
      <c r="H21" s="6" t="str">
        <f t="shared" si="4"/>
        <v>D</v>
      </c>
      <c r="I21" s="6" t="str">
        <f t="shared" si="5"/>
        <v>Transformative change</v>
      </c>
      <c r="J21" s="6" t="str">
        <f t="shared" si="6"/>
        <v>High</v>
      </c>
      <c r="K21" s="6">
        <f t="shared" si="7"/>
        <v>1302247</v>
      </c>
      <c r="L21" s="6">
        <f t="shared" si="8"/>
        <v>1068041.906</v>
      </c>
    </row>
    <row r="22">
      <c r="A22" s="4" t="s">
        <v>72</v>
      </c>
      <c r="B22" s="4" t="s">
        <v>73</v>
      </c>
      <c r="C22" s="4" t="s">
        <v>74</v>
      </c>
      <c r="D22" s="5">
        <v>8699.0</v>
      </c>
      <c r="E22" s="6">
        <f t="shared" si="1"/>
        <v>2</v>
      </c>
      <c r="F22" s="6">
        <f t="shared" si="2"/>
        <v>98420</v>
      </c>
      <c r="G22" s="6">
        <f t="shared" si="3"/>
        <v>89305</v>
      </c>
      <c r="H22" s="6" t="str">
        <f t="shared" si="4"/>
        <v>C</v>
      </c>
      <c r="I22" s="6" t="str">
        <f t="shared" si="5"/>
        <v>High ambition</v>
      </c>
      <c r="J22" s="6" t="str">
        <f t="shared" si="6"/>
        <v>Medium</v>
      </c>
      <c r="K22" s="6">
        <f t="shared" si="7"/>
        <v>489258</v>
      </c>
      <c r="L22" s="6">
        <f t="shared" si="8"/>
        <v>43241.12668</v>
      </c>
    </row>
    <row r="23">
      <c r="A23" s="4" t="s">
        <v>75</v>
      </c>
      <c r="B23" s="4" t="s">
        <v>76</v>
      </c>
      <c r="C23" s="4" t="s">
        <v>77</v>
      </c>
      <c r="D23" s="5">
        <v>18346.0</v>
      </c>
      <c r="E23" s="6">
        <f t="shared" si="1"/>
        <v>5</v>
      </c>
      <c r="F23" s="6">
        <f t="shared" si="2"/>
        <v>38450</v>
      </c>
      <c r="G23" s="6">
        <f t="shared" si="3"/>
        <v>41420</v>
      </c>
      <c r="H23" s="6" t="str">
        <f t="shared" si="4"/>
        <v>F</v>
      </c>
      <c r="I23" s="6" t="str">
        <f t="shared" si="5"/>
        <v>Transformative change</v>
      </c>
      <c r="J23" s="6" t="str">
        <f t="shared" si="6"/>
        <v>Medium</v>
      </c>
      <c r="K23" s="6">
        <f t="shared" si="7"/>
        <v>1451029</v>
      </c>
      <c r="L23" s="6">
        <f t="shared" si="8"/>
        <v>931044.0185</v>
      </c>
    </row>
    <row r="24">
      <c r="A24" s="4" t="s">
        <v>78</v>
      </c>
      <c r="B24" s="4" t="s">
        <v>79</v>
      </c>
      <c r="C24" s="4" t="s">
        <v>74</v>
      </c>
      <c r="D24" s="5">
        <v>17503.0</v>
      </c>
      <c r="E24" s="6">
        <f t="shared" si="1"/>
        <v>1</v>
      </c>
      <c r="F24" s="6">
        <f t="shared" si="2"/>
        <v>77075</v>
      </c>
      <c r="G24" s="6">
        <f t="shared" si="3"/>
        <v>11855</v>
      </c>
      <c r="H24" s="6" t="str">
        <f t="shared" si="4"/>
        <v>G</v>
      </c>
      <c r="I24" s="6" t="str">
        <f t="shared" si="5"/>
        <v>Transformative change</v>
      </c>
      <c r="J24" s="6" t="str">
        <f t="shared" si="6"/>
        <v>Medium</v>
      </c>
      <c r="K24" s="6">
        <f t="shared" si="7"/>
        <v>3780159</v>
      </c>
      <c r="L24" s="6">
        <f t="shared" si="8"/>
        <v>354496.6674</v>
      </c>
    </row>
    <row r="25">
      <c r="A25" s="4" t="s">
        <v>80</v>
      </c>
      <c r="B25" s="4" t="s">
        <v>81</v>
      </c>
      <c r="C25" s="4" t="s">
        <v>82</v>
      </c>
      <c r="D25" s="5">
        <v>18902.0</v>
      </c>
      <c r="E25" s="6">
        <f t="shared" si="1"/>
        <v>5</v>
      </c>
      <c r="F25" s="6">
        <f t="shared" si="2"/>
        <v>76044</v>
      </c>
      <c r="G25" s="6">
        <f t="shared" si="3"/>
        <v>29867</v>
      </c>
      <c r="H25" s="6" t="str">
        <f t="shared" si="4"/>
        <v>G</v>
      </c>
      <c r="I25" s="6" t="str">
        <f t="shared" si="5"/>
        <v>High ambition</v>
      </c>
      <c r="J25" s="6" t="str">
        <f t="shared" si="6"/>
        <v>Medium</v>
      </c>
      <c r="K25" s="6">
        <f t="shared" si="7"/>
        <v>3661302</v>
      </c>
      <c r="L25" s="6">
        <f t="shared" si="8"/>
        <v>2471478.401</v>
      </c>
    </row>
    <row r="26">
      <c r="A26" s="4" t="s">
        <v>83</v>
      </c>
      <c r="B26" s="4" t="s">
        <v>84</v>
      </c>
      <c r="C26" s="4" t="s">
        <v>85</v>
      </c>
      <c r="D26" s="5">
        <v>5670.0</v>
      </c>
      <c r="E26" s="6">
        <f t="shared" si="1"/>
        <v>1</v>
      </c>
      <c r="F26" s="6">
        <f t="shared" si="2"/>
        <v>69597</v>
      </c>
      <c r="G26" s="6">
        <f t="shared" si="3"/>
        <v>46579</v>
      </c>
      <c r="H26" s="6" t="str">
        <f t="shared" si="4"/>
        <v>E</v>
      </c>
      <c r="I26" s="6" t="str">
        <f t="shared" si="5"/>
        <v>Transformative change</v>
      </c>
      <c r="J26" s="6" t="str">
        <f t="shared" si="6"/>
        <v>High</v>
      </c>
      <c r="K26" s="6">
        <f t="shared" si="7"/>
        <v>3424124</v>
      </c>
      <c r="L26" s="6">
        <f t="shared" si="8"/>
        <v>606187.1247</v>
      </c>
    </row>
    <row r="27">
      <c r="A27" s="4" t="s">
        <v>86</v>
      </c>
      <c r="B27" s="4" t="s">
        <v>87</v>
      </c>
      <c r="C27" s="4" t="s">
        <v>88</v>
      </c>
      <c r="D27" s="5">
        <v>50696.0</v>
      </c>
      <c r="E27" s="6">
        <f t="shared" si="1"/>
        <v>3</v>
      </c>
      <c r="F27" s="6">
        <f t="shared" si="2"/>
        <v>72891</v>
      </c>
      <c r="G27" s="6">
        <f t="shared" si="3"/>
        <v>48700</v>
      </c>
      <c r="H27" s="6" t="str">
        <f t="shared" si="4"/>
        <v>B</v>
      </c>
      <c r="I27" s="6" t="str">
        <f t="shared" si="5"/>
        <v>High ambition</v>
      </c>
      <c r="J27" s="6" t="str">
        <f t="shared" si="6"/>
        <v>Low</v>
      </c>
      <c r="K27" s="6">
        <f t="shared" si="7"/>
        <v>387705</v>
      </c>
      <c r="L27" s="6">
        <f t="shared" si="8"/>
        <v>179823.3599</v>
      </c>
    </row>
    <row r="28">
      <c r="A28" s="4" t="s">
        <v>89</v>
      </c>
      <c r="B28" s="4" t="s">
        <v>90</v>
      </c>
      <c r="C28" s="4" t="s">
        <v>91</v>
      </c>
      <c r="D28" s="5">
        <v>16670.0</v>
      </c>
      <c r="E28" s="6">
        <f t="shared" si="1"/>
        <v>4</v>
      </c>
      <c r="F28" s="6">
        <f t="shared" si="2"/>
        <v>11054</v>
      </c>
      <c r="G28" s="6">
        <f t="shared" si="3"/>
        <v>6627</v>
      </c>
      <c r="H28" s="6" t="str">
        <f t="shared" si="4"/>
        <v>B</v>
      </c>
      <c r="I28" s="6" t="str">
        <f t="shared" si="5"/>
        <v>Transformative change</v>
      </c>
      <c r="J28" s="6" t="str">
        <f t="shared" si="6"/>
        <v>Medium</v>
      </c>
      <c r="K28" s="6">
        <f t="shared" si="7"/>
        <v>1913124</v>
      </c>
      <c r="L28" s="6">
        <f t="shared" si="8"/>
        <v>1057219.35</v>
      </c>
    </row>
    <row r="29">
      <c r="A29" s="4" t="s">
        <v>92</v>
      </c>
      <c r="B29" s="4" t="s">
        <v>93</v>
      </c>
      <c r="C29" s="4" t="s">
        <v>74</v>
      </c>
      <c r="D29" s="5">
        <v>6941.0</v>
      </c>
      <c r="E29" s="6">
        <f t="shared" si="1"/>
        <v>1</v>
      </c>
      <c r="F29" s="6">
        <f t="shared" si="2"/>
        <v>69398</v>
      </c>
      <c r="G29" s="6">
        <f t="shared" si="3"/>
        <v>1410</v>
      </c>
      <c r="H29" s="6" t="str">
        <f t="shared" si="4"/>
        <v>C</v>
      </c>
      <c r="I29" s="6" t="str">
        <f t="shared" si="5"/>
        <v>Transformative change</v>
      </c>
      <c r="J29" s="6" t="str">
        <f t="shared" si="6"/>
        <v>Low</v>
      </c>
      <c r="K29" s="6">
        <f t="shared" si="7"/>
        <v>3690918</v>
      </c>
      <c r="L29" s="6">
        <f t="shared" si="8"/>
        <v>1913943.739</v>
      </c>
    </row>
    <row r="30">
      <c r="A30" s="4" t="s">
        <v>94</v>
      </c>
      <c r="B30" s="4" t="s">
        <v>95</v>
      </c>
      <c r="C30" s="4" t="s">
        <v>96</v>
      </c>
      <c r="D30" s="5">
        <v>108146.0</v>
      </c>
      <c r="E30" s="6">
        <f t="shared" si="1"/>
        <v>3</v>
      </c>
      <c r="F30" s="6">
        <f t="shared" si="2"/>
        <v>25777</v>
      </c>
      <c r="G30" s="6">
        <f t="shared" si="3"/>
        <v>38886</v>
      </c>
      <c r="H30" s="6" t="str">
        <f t="shared" si="4"/>
        <v>D</v>
      </c>
      <c r="I30" s="6" t="str">
        <f t="shared" si="5"/>
        <v>Transformative change</v>
      </c>
      <c r="J30" s="6" t="str">
        <f t="shared" si="6"/>
        <v>High</v>
      </c>
      <c r="K30" s="6">
        <f t="shared" si="7"/>
        <v>3920165</v>
      </c>
      <c r="L30" s="6">
        <f t="shared" si="8"/>
        <v>2849901.317</v>
      </c>
    </row>
    <row r="31">
      <c r="A31" s="4" t="s">
        <v>97</v>
      </c>
      <c r="B31" s="4" t="s">
        <v>98</v>
      </c>
      <c r="C31" s="4" t="s">
        <v>99</v>
      </c>
      <c r="D31" s="5">
        <v>457645.0</v>
      </c>
      <c r="E31" s="6">
        <f t="shared" si="1"/>
        <v>1</v>
      </c>
      <c r="F31" s="6">
        <f t="shared" si="2"/>
        <v>70619</v>
      </c>
      <c r="G31" s="6">
        <f t="shared" si="3"/>
        <v>4715</v>
      </c>
      <c r="H31" s="6" t="str">
        <f t="shared" si="4"/>
        <v>E</v>
      </c>
      <c r="I31" s="6" t="str">
        <f t="shared" si="5"/>
        <v>Transformative change</v>
      </c>
      <c r="J31" s="6" t="str">
        <f t="shared" si="6"/>
        <v>Medium</v>
      </c>
      <c r="K31" s="6">
        <f t="shared" si="7"/>
        <v>305889</v>
      </c>
      <c r="L31" s="6">
        <f t="shared" si="8"/>
        <v>45096.43866</v>
      </c>
    </row>
    <row r="32">
      <c r="A32" s="4" t="s">
        <v>100</v>
      </c>
      <c r="B32" s="4" t="s">
        <v>101</v>
      </c>
      <c r="C32" s="4" t="s">
        <v>102</v>
      </c>
      <c r="D32" s="5">
        <v>19133.0</v>
      </c>
      <c r="E32" s="6">
        <f t="shared" si="1"/>
        <v>1</v>
      </c>
      <c r="F32" s="6">
        <f t="shared" si="2"/>
        <v>58617</v>
      </c>
      <c r="G32" s="6">
        <f t="shared" si="3"/>
        <v>1826</v>
      </c>
      <c r="H32" s="6" t="str">
        <f t="shared" si="4"/>
        <v>A</v>
      </c>
      <c r="I32" s="6" t="str">
        <f t="shared" si="5"/>
        <v>Transformative change</v>
      </c>
      <c r="J32" s="6" t="str">
        <f t="shared" si="6"/>
        <v>Medium</v>
      </c>
      <c r="K32" s="6">
        <f t="shared" si="7"/>
        <v>951508</v>
      </c>
      <c r="L32" s="6">
        <f t="shared" si="8"/>
        <v>716524.6509</v>
      </c>
    </row>
    <row r="33">
      <c r="A33" s="4" t="s">
        <v>103</v>
      </c>
      <c r="B33" s="4" t="s">
        <v>104</v>
      </c>
      <c r="C33" s="4" t="s">
        <v>41</v>
      </c>
      <c r="D33" s="5">
        <v>261473.0</v>
      </c>
      <c r="E33" s="6">
        <f t="shared" si="1"/>
        <v>4</v>
      </c>
      <c r="F33" s="6">
        <f t="shared" si="2"/>
        <v>40612</v>
      </c>
      <c r="G33" s="6">
        <f t="shared" si="3"/>
        <v>37419</v>
      </c>
      <c r="H33" s="6" t="str">
        <f t="shared" si="4"/>
        <v>C</v>
      </c>
      <c r="I33" s="6" t="str">
        <f t="shared" si="5"/>
        <v>Transformative change</v>
      </c>
      <c r="J33" s="6" t="str">
        <f t="shared" si="6"/>
        <v>High</v>
      </c>
      <c r="K33" s="6">
        <f t="shared" si="7"/>
        <v>2013050</v>
      </c>
      <c r="L33" s="6">
        <f t="shared" si="8"/>
        <v>522383.1259</v>
      </c>
    </row>
    <row r="34">
      <c r="A34" s="4" t="s">
        <v>105</v>
      </c>
      <c r="B34" s="4" t="s">
        <v>106</v>
      </c>
      <c r="C34" s="4" t="s">
        <v>107</v>
      </c>
      <c r="D34" s="5">
        <v>7672.0</v>
      </c>
      <c r="E34" s="6">
        <f t="shared" si="1"/>
        <v>2</v>
      </c>
      <c r="F34" s="6">
        <f t="shared" si="2"/>
        <v>48651</v>
      </c>
      <c r="G34" s="6">
        <f t="shared" si="3"/>
        <v>6090</v>
      </c>
      <c r="H34" s="6" t="str">
        <f t="shared" si="4"/>
        <v>B</v>
      </c>
      <c r="I34" s="6" t="str">
        <f t="shared" si="5"/>
        <v>Transformative change</v>
      </c>
      <c r="J34" s="6" t="str">
        <f t="shared" si="6"/>
        <v>Low</v>
      </c>
      <c r="K34" s="6">
        <f t="shared" si="7"/>
        <v>811857</v>
      </c>
      <c r="L34" s="6">
        <f t="shared" si="8"/>
        <v>574132.8944</v>
      </c>
    </row>
    <row r="35">
      <c r="A35" s="4" t="s">
        <v>108</v>
      </c>
      <c r="B35" s="4" t="s">
        <v>109</v>
      </c>
      <c r="C35" s="4" t="s">
        <v>110</v>
      </c>
      <c r="D35" s="5">
        <v>51061.0</v>
      </c>
      <c r="E35" s="6">
        <f t="shared" si="1"/>
        <v>2</v>
      </c>
      <c r="F35" s="6">
        <f t="shared" si="2"/>
        <v>71745</v>
      </c>
      <c r="G35" s="6">
        <f t="shared" si="3"/>
        <v>15526</v>
      </c>
      <c r="H35" s="6" t="str">
        <f t="shared" si="4"/>
        <v>G</v>
      </c>
      <c r="I35" s="6" t="str">
        <f t="shared" si="5"/>
        <v>Transformative change</v>
      </c>
      <c r="J35" s="6" t="str">
        <f t="shared" si="6"/>
        <v>Medium</v>
      </c>
      <c r="K35" s="6">
        <f t="shared" si="7"/>
        <v>3212483</v>
      </c>
      <c r="L35" s="6">
        <f t="shared" si="8"/>
        <v>2058008.047</v>
      </c>
    </row>
    <row r="36">
      <c r="A36" s="4" t="s">
        <v>111</v>
      </c>
      <c r="B36" s="4" t="s">
        <v>112</v>
      </c>
      <c r="C36" s="4" t="s">
        <v>113</v>
      </c>
      <c r="D36" s="5">
        <v>14223.0</v>
      </c>
      <c r="E36" s="6">
        <f t="shared" si="1"/>
        <v>2</v>
      </c>
      <c r="F36" s="6">
        <f t="shared" si="2"/>
        <v>8328</v>
      </c>
      <c r="G36" s="6">
        <f t="shared" si="3"/>
        <v>18551</v>
      </c>
      <c r="H36" s="6" t="str">
        <f t="shared" si="4"/>
        <v>D</v>
      </c>
      <c r="I36" s="6" t="str">
        <f t="shared" si="5"/>
        <v>High ambition</v>
      </c>
      <c r="J36" s="6" t="str">
        <f t="shared" si="6"/>
        <v>Medium</v>
      </c>
      <c r="K36" s="6">
        <f t="shared" si="7"/>
        <v>902519</v>
      </c>
      <c r="L36" s="6">
        <f t="shared" si="8"/>
        <v>802397.3871</v>
      </c>
    </row>
    <row r="37">
      <c r="A37" s="4" t="s">
        <v>114</v>
      </c>
      <c r="B37" s="4" t="s">
        <v>115</v>
      </c>
      <c r="C37" s="4" t="s">
        <v>116</v>
      </c>
      <c r="D37" s="5">
        <v>93776.0</v>
      </c>
      <c r="E37" s="6">
        <f t="shared" si="1"/>
        <v>1</v>
      </c>
      <c r="F37" s="6">
        <f t="shared" si="2"/>
        <v>91934</v>
      </c>
      <c r="G37" s="6">
        <f t="shared" si="3"/>
        <v>20122</v>
      </c>
      <c r="H37" s="6" t="str">
        <f t="shared" si="4"/>
        <v>E</v>
      </c>
      <c r="I37" s="6" t="str">
        <f t="shared" si="5"/>
        <v>Transformative change</v>
      </c>
      <c r="J37" s="6" t="str">
        <f t="shared" si="6"/>
        <v>Low</v>
      </c>
      <c r="K37" s="6">
        <f t="shared" si="7"/>
        <v>2121061</v>
      </c>
      <c r="L37" s="6">
        <f t="shared" si="8"/>
        <v>428538.0491</v>
      </c>
    </row>
    <row r="38">
      <c r="A38" s="4" t="s">
        <v>117</v>
      </c>
      <c r="B38" s="4" t="s">
        <v>118</v>
      </c>
      <c r="C38" s="4" t="s">
        <v>119</v>
      </c>
      <c r="D38" s="5">
        <v>11389.0</v>
      </c>
      <c r="E38" s="6">
        <f t="shared" si="1"/>
        <v>1</v>
      </c>
      <c r="F38" s="6">
        <f t="shared" si="2"/>
        <v>57070</v>
      </c>
      <c r="G38" s="6">
        <f t="shared" si="3"/>
        <v>10992</v>
      </c>
      <c r="H38" s="6" t="str">
        <f t="shared" si="4"/>
        <v>C</v>
      </c>
      <c r="I38" s="6" t="str">
        <f t="shared" si="5"/>
        <v>Transformative change</v>
      </c>
      <c r="J38" s="6" t="str">
        <f t="shared" si="6"/>
        <v>Medium</v>
      </c>
      <c r="K38" s="6">
        <f t="shared" si="7"/>
        <v>2372528</v>
      </c>
      <c r="L38" s="6">
        <f t="shared" si="8"/>
        <v>578819.8629</v>
      </c>
    </row>
    <row r="39">
      <c r="A39" s="4" t="s">
        <v>120</v>
      </c>
      <c r="B39" s="4" t="s">
        <v>121</v>
      </c>
      <c r="C39" s="4" t="s">
        <v>122</v>
      </c>
      <c r="D39" s="5">
        <v>14553.0</v>
      </c>
      <c r="E39" s="6">
        <f t="shared" si="1"/>
        <v>3</v>
      </c>
      <c r="F39" s="6">
        <f t="shared" si="2"/>
        <v>40843</v>
      </c>
      <c r="G39" s="6">
        <f t="shared" si="3"/>
        <v>42244</v>
      </c>
      <c r="H39" s="6" t="str">
        <f t="shared" si="4"/>
        <v>C</v>
      </c>
      <c r="I39" s="6" t="str">
        <f t="shared" si="5"/>
        <v>High ambition</v>
      </c>
      <c r="J39" s="6" t="str">
        <f t="shared" si="6"/>
        <v>Low</v>
      </c>
      <c r="K39" s="6">
        <f t="shared" si="7"/>
        <v>452566</v>
      </c>
      <c r="L39" s="6">
        <f t="shared" si="8"/>
        <v>317491.1726</v>
      </c>
    </row>
    <row r="40">
      <c r="A40" s="4" t="s">
        <v>123</v>
      </c>
      <c r="B40" s="4" t="s">
        <v>124</v>
      </c>
      <c r="C40" s="4" t="s">
        <v>125</v>
      </c>
      <c r="D40" s="5">
        <v>11856.0</v>
      </c>
      <c r="E40" s="6">
        <f t="shared" si="1"/>
        <v>1</v>
      </c>
      <c r="F40" s="6">
        <f t="shared" si="2"/>
        <v>66302</v>
      </c>
      <c r="G40" s="6">
        <f t="shared" si="3"/>
        <v>3672</v>
      </c>
      <c r="H40" s="6" t="str">
        <f t="shared" si="4"/>
        <v>F</v>
      </c>
      <c r="I40" s="6" t="str">
        <f t="shared" si="5"/>
        <v>Transformative change</v>
      </c>
      <c r="J40" s="6" t="str">
        <f t="shared" si="6"/>
        <v>High</v>
      </c>
      <c r="K40" s="6">
        <f t="shared" si="7"/>
        <v>3742744</v>
      </c>
      <c r="L40" s="6">
        <f t="shared" si="8"/>
        <v>1900836.053</v>
      </c>
    </row>
    <row r="41">
      <c r="A41" s="4" t="s">
        <v>126</v>
      </c>
      <c r="B41" s="4" t="s">
        <v>127</v>
      </c>
      <c r="C41" s="4" t="s">
        <v>128</v>
      </c>
      <c r="D41" s="5">
        <v>72796.0</v>
      </c>
      <c r="E41" s="6">
        <f t="shared" si="1"/>
        <v>3</v>
      </c>
      <c r="F41" s="6">
        <f t="shared" si="2"/>
        <v>74023</v>
      </c>
      <c r="G41" s="6">
        <f t="shared" si="3"/>
        <v>62621</v>
      </c>
      <c r="H41" s="6" t="str">
        <f t="shared" si="4"/>
        <v>E</v>
      </c>
      <c r="I41" s="6" t="str">
        <f t="shared" si="5"/>
        <v>Transformative change</v>
      </c>
      <c r="J41" s="6" t="str">
        <f t="shared" si="6"/>
        <v>Low</v>
      </c>
      <c r="K41" s="6">
        <f t="shared" si="7"/>
        <v>3360765</v>
      </c>
      <c r="L41" s="6">
        <f t="shared" si="8"/>
        <v>1469938.254</v>
      </c>
    </row>
    <row r="42">
      <c r="A42" s="4" t="s">
        <v>129</v>
      </c>
      <c r="B42" s="4" t="s">
        <v>130</v>
      </c>
      <c r="C42" s="4" t="s">
        <v>131</v>
      </c>
      <c r="D42" s="5">
        <v>7633.0</v>
      </c>
      <c r="E42" s="6">
        <f t="shared" si="1"/>
        <v>2</v>
      </c>
      <c r="F42" s="6">
        <f t="shared" si="2"/>
        <v>42950</v>
      </c>
      <c r="G42" s="6">
        <f t="shared" si="3"/>
        <v>43345</v>
      </c>
      <c r="H42" s="6" t="str">
        <f t="shared" si="4"/>
        <v>E</v>
      </c>
      <c r="I42" s="6" t="str">
        <f t="shared" si="5"/>
        <v>Transformative change</v>
      </c>
      <c r="J42" s="6" t="str">
        <f t="shared" si="6"/>
        <v>Medium</v>
      </c>
      <c r="K42" s="6">
        <f t="shared" si="7"/>
        <v>3702914</v>
      </c>
      <c r="L42" s="6">
        <f t="shared" si="8"/>
        <v>2129738.991</v>
      </c>
    </row>
    <row r="43">
      <c r="A43" s="4" t="s">
        <v>132</v>
      </c>
      <c r="B43" s="4" t="s">
        <v>133</v>
      </c>
      <c r="C43" s="4" t="s">
        <v>134</v>
      </c>
      <c r="D43" s="5">
        <v>11891.0</v>
      </c>
      <c r="E43" s="6">
        <f t="shared" si="1"/>
        <v>4</v>
      </c>
      <c r="F43" s="6">
        <f t="shared" si="2"/>
        <v>59988</v>
      </c>
      <c r="G43" s="6">
        <f t="shared" si="3"/>
        <v>46625</v>
      </c>
      <c r="H43" s="6" t="str">
        <f t="shared" si="4"/>
        <v>C</v>
      </c>
      <c r="I43" s="6" t="str">
        <f t="shared" si="5"/>
        <v>Transformative change</v>
      </c>
      <c r="J43" s="6" t="str">
        <f t="shared" si="6"/>
        <v>Medium</v>
      </c>
      <c r="K43" s="6">
        <f t="shared" si="7"/>
        <v>1825456</v>
      </c>
      <c r="L43" s="6">
        <f t="shared" si="8"/>
        <v>757270.4416</v>
      </c>
    </row>
    <row r="44">
      <c r="A44" s="4" t="s">
        <v>135</v>
      </c>
      <c r="B44" s="4" t="s">
        <v>136</v>
      </c>
      <c r="C44" s="4" t="s">
        <v>74</v>
      </c>
      <c r="D44" s="5">
        <v>9767.0</v>
      </c>
      <c r="E44" s="6">
        <f t="shared" si="1"/>
        <v>5</v>
      </c>
      <c r="F44" s="6">
        <f t="shared" si="2"/>
        <v>26361</v>
      </c>
      <c r="G44" s="6">
        <f t="shared" si="3"/>
        <v>32207</v>
      </c>
      <c r="H44" s="6" t="str">
        <f t="shared" si="4"/>
        <v>G</v>
      </c>
      <c r="I44" s="6" t="str">
        <f t="shared" si="5"/>
        <v>High ambition</v>
      </c>
      <c r="J44" s="6" t="str">
        <f t="shared" si="6"/>
        <v>High</v>
      </c>
      <c r="K44" s="6">
        <f t="shared" si="7"/>
        <v>3181706</v>
      </c>
      <c r="L44" s="6">
        <f t="shared" si="8"/>
        <v>1873831.839</v>
      </c>
    </row>
    <row r="45">
      <c r="A45" s="4" t="s">
        <v>137</v>
      </c>
      <c r="B45" s="4" t="s">
        <v>138</v>
      </c>
      <c r="C45" s="4" t="s">
        <v>139</v>
      </c>
      <c r="D45" s="5">
        <v>19467.0</v>
      </c>
      <c r="E45" s="6">
        <f t="shared" si="1"/>
        <v>2</v>
      </c>
      <c r="F45" s="6">
        <f t="shared" si="2"/>
        <v>85247</v>
      </c>
      <c r="G45" s="6">
        <f t="shared" si="3"/>
        <v>53250</v>
      </c>
      <c r="H45" s="6" t="str">
        <f t="shared" si="4"/>
        <v>G</v>
      </c>
      <c r="I45" s="6" t="str">
        <f t="shared" si="5"/>
        <v>Transformative change</v>
      </c>
      <c r="J45" s="6" t="str">
        <f t="shared" si="6"/>
        <v>Medium</v>
      </c>
      <c r="K45" s="6">
        <f t="shared" si="7"/>
        <v>2821490</v>
      </c>
      <c r="L45" s="6">
        <f t="shared" si="8"/>
        <v>1369418.437</v>
      </c>
    </row>
    <row r="46">
      <c r="A46" s="4" t="s">
        <v>140</v>
      </c>
      <c r="B46" s="4" t="s">
        <v>141</v>
      </c>
      <c r="C46" s="4" t="s">
        <v>74</v>
      </c>
      <c r="D46" s="5">
        <v>16315.0</v>
      </c>
      <c r="E46" s="6">
        <f t="shared" si="1"/>
        <v>1</v>
      </c>
      <c r="F46" s="6">
        <f t="shared" si="2"/>
        <v>37685</v>
      </c>
      <c r="G46" s="6">
        <f t="shared" si="3"/>
        <v>6180</v>
      </c>
      <c r="H46" s="6" t="str">
        <f t="shared" si="4"/>
        <v>A</v>
      </c>
      <c r="I46" s="6" t="str">
        <f t="shared" si="5"/>
        <v>Transformative change</v>
      </c>
      <c r="J46" s="6" t="str">
        <f t="shared" si="6"/>
        <v>High</v>
      </c>
      <c r="K46" s="6">
        <f t="shared" si="7"/>
        <v>749712</v>
      </c>
      <c r="L46" s="6">
        <f t="shared" si="8"/>
        <v>190534.3796</v>
      </c>
    </row>
    <row r="47">
      <c r="A47" s="4" t="s">
        <v>142</v>
      </c>
      <c r="B47" s="4" t="s">
        <v>143</v>
      </c>
      <c r="C47" s="4" t="s">
        <v>144</v>
      </c>
      <c r="D47" s="5">
        <v>16969.0</v>
      </c>
      <c r="E47" s="6">
        <f t="shared" si="1"/>
        <v>1</v>
      </c>
      <c r="F47" s="6">
        <f t="shared" si="2"/>
        <v>56280</v>
      </c>
      <c r="G47" s="6">
        <f t="shared" si="3"/>
        <v>22028</v>
      </c>
      <c r="H47" s="6" t="str">
        <f t="shared" si="4"/>
        <v>C</v>
      </c>
      <c r="I47" s="6" t="str">
        <f t="shared" si="5"/>
        <v>Transformative change</v>
      </c>
      <c r="J47" s="6" t="str">
        <f t="shared" si="6"/>
        <v>Low</v>
      </c>
      <c r="K47" s="6">
        <f t="shared" si="7"/>
        <v>2330754</v>
      </c>
      <c r="L47" s="6">
        <f t="shared" si="8"/>
        <v>2233801.2</v>
      </c>
    </row>
    <row r="48">
      <c r="A48" s="4" t="s">
        <v>145</v>
      </c>
      <c r="B48" s="4" t="s">
        <v>146</v>
      </c>
      <c r="C48" s="4" t="s">
        <v>147</v>
      </c>
      <c r="D48" s="5">
        <v>14235.0</v>
      </c>
      <c r="E48" s="6">
        <f t="shared" si="1"/>
        <v>5</v>
      </c>
      <c r="F48" s="6">
        <f t="shared" si="2"/>
        <v>32694</v>
      </c>
      <c r="G48" s="6">
        <f t="shared" si="3"/>
        <v>41081</v>
      </c>
      <c r="H48" s="6" t="str">
        <f t="shared" si="4"/>
        <v>A</v>
      </c>
      <c r="I48" s="6" t="str">
        <f t="shared" si="5"/>
        <v>Transformative change</v>
      </c>
      <c r="J48" s="6" t="str">
        <f t="shared" si="6"/>
        <v>High</v>
      </c>
      <c r="K48" s="6">
        <f t="shared" si="7"/>
        <v>3135417</v>
      </c>
      <c r="L48" s="6">
        <f t="shared" si="8"/>
        <v>2737615.196</v>
      </c>
    </row>
    <row r="49">
      <c r="A49" s="4" t="s">
        <v>148</v>
      </c>
      <c r="B49" s="4" t="s">
        <v>149</v>
      </c>
      <c r="C49" s="4" t="s">
        <v>150</v>
      </c>
      <c r="D49" s="5">
        <v>441183.0</v>
      </c>
      <c r="E49" s="6">
        <f t="shared" si="1"/>
        <v>1</v>
      </c>
      <c r="F49" s="6">
        <f t="shared" si="2"/>
        <v>15452</v>
      </c>
      <c r="G49" s="6">
        <f t="shared" si="3"/>
        <v>41083</v>
      </c>
      <c r="H49" s="6" t="str">
        <f t="shared" si="4"/>
        <v>A</v>
      </c>
      <c r="I49" s="6" t="str">
        <f t="shared" si="5"/>
        <v>Transformative change</v>
      </c>
      <c r="J49" s="6" t="str">
        <f t="shared" si="6"/>
        <v>Medium</v>
      </c>
      <c r="K49" s="6">
        <f t="shared" si="7"/>
        <v>2177129</v>
      </c>
      <c r="L49" s="6">
        <f t="shared" si="8"/>
        <v>404954.3143</v>
      </c>
    </row>
    <row r="50">
      <c r="A50" s="4" t="s">
        <v>151</v>
      </c>
      <c r="B50" s="4" t="s">
        <v>152</v>
      </c>
      <c r="C50" s="4" t="s">
        <v>153</v>
      </c>
      <c r="D50" s="5">
        <v>82796.0</v>
      </c>
      <c r="E50" s="6">
        <f t="shared" si="1"/>
        <v>3</v>
      </c>
      <c r="F50" s="6">
        <f t="shared" si="2"/>
        <v>5049</v>
      </c>
      <c r="G50" s="6">
        <f t="shared" si="3"/>
        <v>71742</v>
      </c>
      <c r="H50" s="6" t="str">
        <f t="shared" si="4"/>
        <v>D</v>
      </c>
      <c r="I50" s="6" t="str">
        <f t="shared" si="5"/>
        <v>Transformative change</v>
      </c>
      <c r="J50" s="6" t="str">
        <f t="shared" si="6"/>
        <v>High</v>
      </c>
      <c r="K50" s="6">
        <f t="shared" si="7"/>
        <v>1354138</v>
      </c>
      <c r="L50" s="6">
        <f t="shared" si="8"/>
        <v>817945.1139</v>
      </c>
    </row>
    <row r="51">
      <c r="A51" s="4" t="s">
        <v>154</v>
      </c>
      <c r="B51" s="4" t="s">
        <v>155</v>
      </c>
      <c r="C51" s="4" t="s">
        <v>156</v>
      </c>
      <c r="D51" s="5">
        <v>82692.0</v>
      </c>
      <c r="E51" s="6">
        <f t="shared" si="1"/>
        <v>3</v>
      </c>
      <c r="F51" s="6">
        <f t="shared" si="2"/>
        <v>43884</v>
      </c>
      <c r="G51" s="6">
        <f t="shared" si="3"/>
        <v>36348</v>
      </c>
      <c r="H51" s="6" t="str">
        <f t="shared" si="4"/>
        <v>G</v>
      </c>
      <c r="I51" s="6" t="str">
        <f t="shared" si="5"/>
        <v>Transformative change</v>
      </c>
      <c r="J51" s="6" t="str">
        <f t="shared" si="6"/>
        <v>High</v>
      </c>
      <c r="K51" s="6">
        <f t="shared" si="7"/>
        <v>1384408</v>
      </c>
      <c r="L51" s="6">
        <f t="shared" si="8"/>
        <v>858148.2132</v>
      </c>
    </row>
    <row r="52">
      <c r="A52" s="4" t="s">
        <v>157</v>
      </c>
      <c r="B52" s="4" t="s">
        <v>158</v>
      </c>
      <c r="C52" s="4" t="s">
        <v>159</v>
      </c>
      <c r="D52" s="5">
        <v>11342.0</v>
      </c>
      <c r="E52" s="6">
        <f t="shared" si="1"/>
        <v>5</v>
      </c>
      <c r="F52" s="6">
        <f t="shared" si="2"/>
        <v>93016</v>
      </c>
      <c r="G52" s="6">
        <f t="shared" si="3"/>
        <v>42210</v>
      </c>
      <c r="H52" s="6" t="str">
        <f t="shared" si="4"/>
        <v>A</v>
      </c>
      <c r="I52" s="6" t="str">
        <f t="shared" si="5"/>
        <v>Transformative change</v>
      </c>
      <c r="J52" s="6" t="str">
        <f t="shared" si="6"/>
        <v>Low</v>
      </c>
      <c r="K52" s="6">
        <f t="shared" si="7"/>
        <v>1549933</v>
      </c>
      <c r="L52" s="6">
        <f t="shared" si="8"/>
        <v>684733.5508</v>
      </c>
    </row>
    <row r="53">
      <c r="A53" s="4" t="s">
        <v>160</v>
      </c>
      <c r="B53" s="4" t="s">
        <v>161</v>
      </c>
      <c r="C53" s="4" t="s">
        <v>162</v>
      </c>
      <c r="D53" s="5">
        <v>15291.0</v>
      </c>
      <c r="E53" s="6">
        <f t="shared" si="1"/>
        <v>5</v>
      </c>
      <c r="F53" s="6">
        <f t="shared" si="2"/>
        <v>94256</v>
      </c>
      <c r="G53" s="6">
        <f t="shared" si="3"/>
        <v>32800</v>
      </c>
      <c r="H53" s="6" t="str">
        <f t="shared" si="4"/>
        <v>C</v>
      </c>
      <c r="I53" s="6" t="str">
        <f t="shared" si="5"/>
        <v>Transformative change</v>
      </c>
      <c r="J53" s="6" t="str">
        <f t="shared" si="6"/>
        <v>Low</v>
      </c>
      <c r="K53" s="6">
        <f t="shared" si="7"/>
        <v>3637196</v>
      </c>
      <c r="L53" s="6">
        <f t="shared" si="8"/>
        <v>3059655.535</v>
      </c>
    </row>
    <row r="54">
      <c r="A54" s="4" t="s">
        <v>163</v>
      </c>
      <c r="B54" s="4" t="s">
        <v>164</v>
      </c>
      <c r="C54" s="4" t="s">
        <v>165</v>
      </c>
      <c r="D54" s="5">
        <v>9912.0</v>
      </c>
      <c r="E54" s="6">
        <f t="shared" si="1"/>
        <v>1</v>
      </c>
      <c r="F54" s="6">
        <f t="shared" si="2"/>
        <v>52611</v>
      </c>
      <c r="G54" s="6">
        <f t="shared" si="3"/>
        <v>19869</v>
      </c>
      <c r="H54" s="6" t="str">
        <f t="shared" si="4"/>
        <v>G</v>
      </c>
      <c r="I54" s="6" t="str">
        <f t="shared" si="5"/>
        <v>Transformative change</v>
      </c>
      <c r="J54" s="6" t="str">
        <f t="shared" si="6"/>
        <v>Low</v>
      </c>
      <c r="K54" s="6">
        <f t="shared" si="7"/>
        <v>1650478</v>
      </c>
      <c r="L54" s="6">
        <f t="shared" si="8"/>
        <v>696014.7856</v>
      </c>
    </row>
    <row r="55">
      <c r="A55" s="4" t="s">
        <v>166</v>
      </c>
      <c r="B55" s="4" t="s">
        <v>167</v>
      </c>
      <c r="C55" s="4" t="s">
        <v>168</v>
      </c>
      <c r="D55" s="5">
        <v>32313.0</v>
      </c>
      <c r="E55" s="6">
        <f t="shared" si="1"/>
        <v>4</v>
      </c>
      <c r="F55" s="6">
        <f t="shared" si="2"/>
        <v>96565</v>
      </c>
      <c r="G55" s="6">
        <f t="shared" si="3"/>
        <v>35185</v>
      </c>
      <c r="H55" s="6" t="str">
        <f t="shared" si="4"/>
        <v>E</v>
      </c>
      <c r="I55" s="6" t="str">
        <f t="shared" si="5"/>
        <v>High ambition</v>
      </c>
      <c r="J55" s="6" t="str">
        <f t="shared" si="6"/>
        <v>Low</v>
      </c>
      <c r="K55" s="6">
        <f t="shared" si="7"/>
        <v>3224762</v>
      </c>
      <c r="L55" s="6">
        <f t="shared" si="8"/>
        <v>203956.6286</v>
      </c>
    </row>
    <row r="56">
      <c r="A56" s="4" t="s">
        <v>169</v>
      </c>
      <c r="B56" s="4" t="s">
        <v>170</v>
      </c>
      <c r="C56" s="4" t="s">
        <v>171</v>
      </c>
      <c r="D56" s="5">
        <v>19757.0</v>
      </c>
      <c r="E56" s="6">
        <f t="shared" si="1"/>
        <v>2</v>
      </c>
      <c r="F56" s="6">
        <f t="shared" si="2"/>
        <v>8220</v>
      </c>
      <c r="G56" s="6">
        <f t="shared" si="3"/>
        <v>62</v>
      </c>
      <c r="H56" s="6" t="str">
        <f t="shared" si="4"/>
        <v>A</v>
      </c>
      <c r="I56" s="6" t="str">
        <f t="shared" si="5"/>
        <v>Transformative change</v>
      </c>
      <c r="J56" s="6" t="str">
        <f t="shared" si="6"/>
        <v>High</v>
      </c>
      <c r="K56" s="6">
        <f t="shared" si="7"/>
        <v>2934911</v>
      </c>
      <c r="L56" s="6">
        <f t="shared" si="8"/>
        <v>1602014.509</v>
      </c>
    </row>
    <row r="57">
      <c r="A57" s="4" t="s">
        <v>172</v>
      </c>
      <c r="B57" s="4" t="s">
        <v>173</v>
      </c>
      <c r="C57" s="4" t="s">
        <v>174</v>
      </c>
      <c r="D57" s="5">
        <v>15421.0</v>
      </c>
      <c r="E57" s="6">
        <f t="shared" si="1"/>
        <v>1</v>
      </c>
      <c r="F57" s="6">
        <f t="shared" si="2"/>
        <v>91824</v>
      </c>
      <c r="G57" s="6">
        <f t="shared" si="3"/>
        <v>87616</v>
      </c>
      <c r="H57" s="6" t="str">
        <f t="shared" si="4"/>
        <v>G</v>
      </c>
      <c r="I57" s="6" t="str">
        <f t="shared" si="5"/>
        <v>Transformative change</v>
      </c>
      <c r="J57" s="6" t="str">
        <f t="shared" si="6"/>
        <v>Medium</v>
      </c>
      <c r="K57" s="6">
        <f t="shared" si="7"/>
        <v>2927879</v>
      </c>
      <c r="L57" s="6">
        <f t="shared" si="8"/>
        <v>1775130.512</v>
      </c>
    </row>
    <row r="58">
      <c r="A58" s="4" t="s">
        <v>175</v>
      </c>
      <c r="B58" s="4" t="s">
        <v>176</v>
      </c>
      <c r="C58" s="4" t="s">
        <v>177</v>
      </c>
      <c r="D58" s="5">
        <v>75675.0</v>
      </c>
      <c r="E58" s="6">
        <f t="shared" si="1"/>
        <v>4</v>
      </c>
      <c r="F58" s="6">
        <f t="shared" si="2"/>
        <v>79636</v>
      </c>
      <c r="G58" s="6">
        <f t="shared" si="3"/>
        <v>25763</v>
      </c>
      <c r="H58" s="6" t="str">
        <f t="shared" si="4"/>
        <v>C</v>
      </c>
      <c r="I58" s="6" t="str">
        <f t="shared" si="5"/>
        <v>High ambition</v>
      </c>
      <c r="J58" s="6" t="str">
        <f t="shared" si="6"/>
        <v>High</v>
      </c>
      <c r="K58" s="6">
        <f t="shared" si="7"/>
        <v>3054647</v>
      </c>
      <c r="L58" s="6">
        <f t="shared" si="8"/>
        <v>2846715.396</v>
      </c>
    </row>
    <row r="59">
      <c r="A59" s="4" t="s">
        <v>178</v>
      </c>
      <c r="B59" s="4" t="s">
        <v>179</v>
      </c>
      <c r="C59" s="4" t="s">
        <v>180</v>
      </c>
      <c r="D59" s="5">
        <v>6570.0</v>
      </c>
      <c r="E59" s="6">
        <f t="shared" si="1"/>
        <v>1</v>
      </c>
      <c r="F59" s="6">
        <f t="shared" si="2"/>
        <v>50711</v>
      </c>
      <c r="G59" s="6">
        <f t="shared" si="3"/>
        <v>11606</v>
      </c>
      <c r="H59" s="6" t="str">
        <f t="shared" si="4"/>
        <v>B</v>
      </c>
      <c r="I59" s="6" t="str">
        <f t="shared" si="5"/>
        <v>Transformative change</v>
      </c>
      <c r="J59" s="6" t="str">
        <f t="shared" si="6"/>
        <v>Medium</v>
      </c>
      <c r="K59" s="6">
        <f t="shared" si="7"/>
        <v>2468614</v>
      </c>
      <c r="L59" s="6">
        <f t="shared" si="8"/>
        <v>2087311</v>
      </c>
    </row>
    <row r="60">
      <c r="A60" s="4" t="s">
        <v>181</v>
      </c>
      <c r="B60" s="4" t="s">
        <v>182</v>
      </c>
      <c r="C60" s="4" t="s">
        <v>183</v>
      </c>
      <c r="D60" s="5">
        <v>9659.0</v>
      </c>
      <c r="E60" s="6">
        <f t="shared" si="1"/>
        <v>5</v>
      </c>
      <c r="F60" s="6">
        <f t="shared" si="2"/>
        <v>12549</v>
      </c>
      <c r="G60" s="6">
        <f t="shared" si="3"/>
        <v>62339</v>
      </c>
      <c r="H60" s="6" t="str">
        <f t="shared" si="4"/>
        <v>A</v>
      </c>
      <c r="I60" s="6" t="str">
        <f t="shared" si="5"/>
        <v>Transformative change</v>
      </c>
      <c r="J60" s="6" t="str">
        <f t="shared" si="6"/>
        <v>Medium</v>
      </c>
      <c r="K60" s="6">
        <f t="shared" si="7"/>
        <v>207159</v>
      </c>
      <c r="L60" s="6">
        <f t="shared" si="8"/>
        <v>141894.0624</v>
      </c>
    </row>
    <row r="61">
      <c r="A61" s="4" t="s">
        <v>184</v>
      </c>
      <c r="B61" s="4" t="s">
        <v>185</v>
      </c>
      <c r="C61" s="4" t="s">
        <v>186</v>
      </c>
      <c r="D61" s="5">
        <v>105444.0</v>
      </c>
      <c r="E61" s="6">
        <f t="shared" si="1"/>
        <v>4</v>
      </c>
      <c r="F61" s="6">
        <f t="shared" si="2"/>
        <v>14155</v>
      </c>
      <c r="G61" s="6">
        <f t="shared" si="3"/>
        <v>29747</v>
      </c>
      <c r="H61" s="6" t="str">
        <f t="shared" si="4"/>
        <v>B</v>
      </c>
      <c r="I61" s="6" t="str">
        <f t="shared" si="5"/>
        <v>Transformative change</v>
      </c>
      <c r="J61" s="6" t="str">
        <f t="shared" si="6"/>
        <v>High</v>
      </c>
      <c r="K61" s="6">
        <f t="shared" si="7"/>
        <v>3063098</v>
      </c>
      <c r="L61" s="6">
        <f t="shared" si="8"/>
        <v>402973.3101</v>
      </c>
    </row>
    <row r="62">
      <c r="A62" s="4" t="s">
        <v>187</v>
      </c>
      <c r="B62" s="4" t="s">
        <v>188</v>
      </c>
      <c r="C62" s="4" t="s">
        <v>189</v>
      </c>
      <c r="D62" s="5">
        <v>334950.0</v>
      </c>
      <c r="E62" s="6">
        <f t="shared" si="1"/>
        <v>4</v>
      </c>
      <c r="F62" s="6">
        <f t="shared" si="2"/>
        <v>37497</v>
      </c>
      <c r="G62" s="6">
        <f t="shared" si="3"/>
        <v>7435</v>
      </c>
      <c r="H62" s="6" t="str">
        <f t="shared" si="4"/>
        <v>B</v>
      </c>
      <c r="I62" s="6" t="str">
        <f t="shared" si="5"/>
        <v>Transformative change</v>
      </c>
      <c r="J62" s="6" t="str">
        <f t="shared" si="6"/>
        <v>High</v>
      </c>
      <c r="K62" s="6">
        <f t="shared" si="7"/>
        <v>2522737</v>
      </c>
      <c r="L62" s="6">
        <f t="shared" si="8"/>
        <v>2501222.968</v>
      </c>
    </row>
    <row r="63">
      <c r="A63" s="4" t="s">
        <v>190</v>
      </c>
      <c r="B63" s="4" t="s">
        <v>191</v>
      </c>
      <c r="C63" s="4" t="s">
        <v>192</v>
      </c>
      <c r="D63" s="5">
        <v>18878.0</v>
      </c>
      <c r="E63" s="6">
        <f t="shared" si="1"/>
        <v>4</v>
      </c>
      <c r="F63" s="6">
        <f t="shared" si="2"/>
        <v>16878</v>
      </c>
      <c r="G63" s="6">
        <f t="shared" si="3"/>
        <v>66372</v>
      </c>
      <c r="H63" s="6" t="str">
        <f t="shared" si="4"/>
        <v>B</v>
      </c>
      <c r="I63" s="6" t="str">
        <f t="shared" si="5"/>
        <v>Transformative change</v>
      </c>
      <c r="J63" s="6" t="str">
        <f t="shared" si="6"/>
        <v>Low</v>
      </c>
      <c r="K63" s="6">
        <f t="shared" si="7"/>
        <v>2337267</v>
      </c>
      <c r="L63" s="6">
        <f t="shared" si="8"/>
        <v>428467.7706</v>
      </c>
    </row>
    <row r="64">
      <c r="A64" s="4" t="s">
        <v>193</v>
      </c>
      <c r="B64" s="4" t="s">
        <v>194</v>
      </c>
      <c r="C64" s="4" t="s">
        <v>74</v>
      </c>
      <c r="D64" s="5">
        <v>71780.0</v>
      </c>
      <c r="E64" s="6">
        <f t="shared" si="1"/>
        <v>5</v>
      </c>
      <c r="F64" s="6">
        <f t="shared" si="2"/>
        <v>66238</v>
      </c>
      <c r="G64" s="6">
        <f t="shared" si="3"/>
        <v>59661</v>
      </c>
      <c r="H64" s="6" t="str">
        <f t="shared" si="4"/>
        <v>C</v>
      </c>
      <c r="I64" s="6" t="str">
        <f t="shared" si="5"/>
        <v>Transformative change</v>
      </c>
      <c r="J64" s="6" t="str">
        <f t="shared" si="6"/>
        <v>High</v>
      </c>
      <c r="K64" s="6">
        <f t="shared" si="7"/>
        <v>1084197</v>
      </c>
      <c r="L64" s="6">
        <f t="shared" si="8"/>
        <v>1015373.141</v>
      </c>
    </row>
    <row r="65">
      <c r="A65" s="4" t="s">
        <v>195</v>
      </c>
      <c r="B65" s="4" t="s">
        <v>196</v>
      </c>
      <c r="C65" s="4" t="s">
        <v>197</v>
      </c>
      <c r="D65" s="5">
        <v>6968.0</v>
      </c>
      <c r="E65" s="6">
        <f t="shared" si="1"/>
        <v>1</v>
      </c>
      <c r="F65" s="6">
        <f t="shared" si="2"/>
        <v>38870</v>
      </c>
      <c r="G65" s="6">
        <f t="shared" si="3"/>
        <v>24044</v>
      </c>
      <c r="H65" s="6" t="str">
        <f t="shared" si="4"/>
        <v>A</v>
      </c>
      <c r="I65" s="6" t="str">
        <f t="shared" si="5"/>
        <v>Transformative change</v>
      </c>
      <c r="J65" s="6" t="str">
        <f t="shared" si="6"/>
        <v>High</v>
      </c>
      <c r="K65" s="6">
        <f t="shared" si="7"/>
        <v>1385557</v>
      </c>
      <c r="L65" s="6">
        <f t="shared" si="8"/>
        <v>629035.8283</v>
      </c>
    </row>
    <row r="66">
      <c r="A66" s="4" t="s">
        <v>198</v>
      </c>
      <c r="B66" s="4" t="s">
        <v>199</v>
      </c>
      <c r="C66" s="4" t="s">
        <v>200</v>
      </c>
      <c r="D66" s="5">
        <v>6157.0</v>
      </c>
      <c r="E66" s="6">
        <f t="shared" si="1"/>
        <v>4</v>
      </c>
      <c r="F66" s="6">
        <f t="shared" si="2"/>
        <v>18585</v>
      </c>
      <c r="G66" s="6">
        <f t="shared" si="3"/>
        <v>30306</v>
      </c>
      <c r="H66" s="6" t="str">
        <f t="shared" si="4"/>
        <v>B</v>
      </c>
      <c r="I66" s="6" t="str">
        <f t="shared" si="5"/>
        <v>High ambition</v>
      </c>
      <c r="J66" s="6" t="str">
        <f t="shared" si="6"/>
        <v>Medium</v>
      </c>
      <c r="K66" s="6">
        <f t="shared" si="7"/>
        <v>3599580</v>
      </c>
      <c r="L66" s="6">
        <f t="shared" si="8"/>
        <v>1955260.49</v>
      </c>
    </row>
    <row r="67">
      <c r="A67" s="4" t="s">
        <v>201</v>
      </c>
      <c r="B67" s="4" t="s">
        <v>202</v>
      </c>
      <c r="C67" s="4" t="s">
        <v>74</v>
      </c>
      <c r="D67" s="5">
        <v>18173.0</v>
      </c>
      <c r="E67" s="6">
        <f t="shared" si="1"/>
        <v>3</v>
      </c>
      <c r="F67" s="6">
        <f t="shared" si="2"/>
        <v>33818</v>
      </c>
      <c r="G67" s="6">
        <f t="shared" si="3"/>
        <v>34096</v>
      </c>
      <c r="H67" s="6" t="str">
        <f t="shared" si="4"/>
        <v>E</v>
      </c>
      <c r="I67" s="6" t="str">
        <f t="shared" si="5"/>
        <v>Transformative change</v>
      </c>
      <c r="J67" s="6" t="str">
        <f t="shared" si="6"/>
        <v>Medium</v>
      </c>
      <c r="K67" s="6">
        <f t="shared" si="7"/>
        <v>2192588</v>
      </c>
      <c r="L67" s="6">
        <f t="shared" si="8"/>
        <v>2125375.429</v>
      </c>
    </row>
    <row r="68">
      <c r="A68" s="4" t="s">
        <v>203</v>
      </c>
      <c r="B68" s="4" t="s">
        <v>204</v>
      </c>
      <c r="C68" s="4" t="s">
        <v>205</v>
      </c>
      <c r="D68" s="5">
        <v>225280.0</v>
      </c>
      <c r="E68" s="6">
        <f t="shared" si="1"/>
        <v>3</v>
      </c>
      <c r="F68" s="6">
        <f t="shared" si="2"/>
        <v>54681</v>
      </c>
      <c r="G68" s="6">
        <f t="shared" si="3"/>
        <v>22173</v>
      </c>
      <c r="H68" s="6" t="str">
        <f t="shared" si="4"/>
        <v>C</v>
      </c>
      <c r="I68" s="6" t="str">
        <f t="shared" si="5"/>
        <v>Transformative change</v>
      </c>
      <c r="J68" s="6" t="str">
        <f t="shared" si="6"/>
        <v>Low</v>
      </c>
      <c r="K68" s="6">
        <f t="shared" si="7"/>
        <v>3987804</v>
      </c>
      <c r="L68" s="6">
        <f t="shared" si="8"/>
        <v>2132963.972</v>
      </c>
    </row>
    <row r="69">
      <c r="A69" s="4" t="s">
        <v>206</v>
      </c>
      <c r="B69" s="4" t="s">
        <v>207</v>
      </c>
      <c r="C69" s="4" t="s">
        <v>208</v>
      </c>
      <c r="D69" s="5">
        <v>32338.0</v>
      </c>
      <c r="E69" s="6">
        <f t="shared" si="1"/>
        <v>4</v>
      </c>
      <c r="F69" s="6">
        <f t="shared" si="2"/>
        <v>83483</v>
      </c>
      <c r="G69" s="6">
        <f t="shared" si="3"/>
        <v>60640</v>
      </c>
      <c r="H69" s="6" t="str">
        <f t="shared" si="4"/>
        <v>D</v>
      </c>
      <c r="I69" s="6" t="str">
        <f t="shared" si="5"/>
        <v>Transformative change</v>
      </c>
      <c r="J69" s="6" t="str">
        <f t="shared" si="6"/>
        <v>Medium</v>
      </c>
      <c r="K69" s="6">
        <f t="shared" si="7"/>
        <v>1357798</v>
      </c>
      <c r="L69" s="6">
        <f t="shared" si="8"/>
        <v>188458.0473</v>
      </c>
    </row>
    <row r="70">
      <c r="A70" s="4" t="s">
        <v>209</v>
      </c>
      <c r="B70" s="4" t="s">
        <v>210</v>
      </c>
      <c r="C70" s="4" t="s">
        <v>211</v>
      </c>
      <c r="D70" s="5">
        <v>10909.0</v>
      </c>
      <c r="E70" s="6">
        <f t="shared" si="1"/>
        <v>1</v>
      </c>
      <c r="F70" s="6">
        <f t="shared" si="2"/>
        <v>75715</v>
      </c>
      <c r="G70" s="6">
        <f t="shared" si="3"/>
        <v>26676</v>
      </c>
      <c r="H70" s="6" t="str">
        <f t="shared" si="4"/>
        <v>A</v>
      </c>
      <c r="I70" s="6" t="str">
        <f t="shared" si="5"/>
        <v>High ambition</v>
      </c>
      <c r="J70" s="6" t="str">
        <f t="shared" si="6"/>
        <v>Low</v>
      </c>
      <c r="K70" s="6">
        <f t="shared" si="7"/>
        <v>737295</v>
      </c>
      <c r="L70" s="6">
        <f t="shared" si="8"/>
        <v>236038.7962</v>
      </c>
    </row>
    <row r="71">
      <c r="A71" s="4" t="s">
        <v>209</v>
      </c>
      <c r="B71" s="4" t="s">
        <v>212</v>
      </c>
      <c r="C71" s="4" t="s">
        <v>213</v>
      </c>
      <c r="D71" s="5">
        <v>18618.0</v>
      </c>
      <c r="E71" s="6">
        <f t="shared" si="1"/>
        <v>2</v>
      </c>
      <c r="F71" s="6">
        <f t="shared" si="2"/>
        <v>41010</v>
      </c>
      <c r="G71" s="6">
        <f t="shared" si="3"/>
        <v>40811</v>
      </c>
      <c r="H71" s="6" t="str">
        <f t="shared" si="4"/>
        <v>E</v>
      </c>
      <c r="I71" s="6" t="str">
        <f t="shared" si="5"/>
        <v>Transformative change</v>
      </c>
      <c r="J71" s="6" t="str">
        <f t="shared" si="6"/>
        <v>High</v>
      </c>
      <c r="K71" s="6">
        <f t="shared" si="7"/>
        <v>1903060</v>
      </c>
      <c r="L71" s="6">
        <f t="shared" si="8"/>
        <v>74518.28814</v>
      </c>
    </row>
    <row r="72">
      <c r="A72" s="4" t="s">
        <v>214</v>
      </c>
      <c r="B72" s="4" t="s">
        <v>215</v>
      </c>
      <c r="C72" s="4" t="s">
        <v>216</v>
      </c>
      <c r="D72" s="5">
        <v>38008.0</v>
      </c>
      <c r="E72" s="6">
        <f t="shared" si="1"/>
        <v>4</v>
      </c>
      <c r="F72" s="6">
        <f t="shared" si="2"/>
        <v>12089</v>
      </c>
      <c r="G72" s="6">
        <f t="shared" si="3"/>
        <v>5032</v>
      </c>
      <c r="H72" s="6" t="str">
        <f t="shared" si="4"/>
        <v>E</v>
      </c>
      <c r="I72" s="6" t="str">
        <f t="shared" si="5"/>
        <v>Transformative change</v>
      </c>
      <c r="J72" s="6" t="str">
        <f t="shared" si="6"/>
        <v>Medium</v>
      </c>
      <c r="K72" s="6">
        <f t="shared" si="7"/>
        <v>2657580</v>
      </c>
      <c r="L72" s="6">
        <f t="shared" si="8"/>
        <v>1861157.01</v>
      </c>
    </row>
    <row r="73">
      <c r="A73" s="4" t="s">
        <v>217</v>
      </c>
      <c r="B73" s="4" t="s">
        <v>218</v>
      </c>
      <c r="C73" s="4" t="s">
        <v>219</v>
      </c>
      <c r="D73" s="5">
        <v>11101.0</v>
      </c>
      <c r="E73" s="6">
        <f t="shared" si="1"/>
        <v>4</v>
      </c>
      <c r="F73" s="6">
        <f t="shared" si="2"/>
        <v>84197</v>
      </c>
      <c r="G73" s="6">
        <f t="shared" si="3"/>
        <v>11778</v>
      </c>
      <c r="H73" s="6" t="str">
        <f t="shared" si="4"/>
        <v>G</v>
      </c>
      <c r="I73" s="6" t="str">
        <f t="shared" si="5"/>
        <v>Transformative change</v>
      </c>
      <c r="J73" s="6" t="str">
        <f t="shared" si="6"/>
        <v>Medium</v>
      </c>
      <c r="K73" s="6">
        <f t="shared" si="7"/>
        <v>1583258</v>
      </c>
      <c r="L73" s="6">
        <f t="shared" si="8"/>
        <v>1062360.19</v>
      </c>
    </row>
    <row r="74">
      <c r="A74" s="4" t="s">
        <v>220</v>
      </c>
      <c r="B74" s="4" t="s">
        <v>221</v>
      </c>
      <c r="C74" s="4" t="s">
        <v>74</v>
      </c>
      <c r="D74" s="5">
        <v>521418.0</v>
      </c>
      <c r="E74" s="6">
        <f t="shared" si="1"/>
        <v>2</v>
      </c>
      <c r="F74" s="6">
        <f t="shared" si="2"/>
        <v>66032</v>
      </c>
      <c r="G74" s="6">
        <f t="shared" si="3"/>
        <v>33962</v>
      </c>
      <c r="H74" s="6" t="str">
        <f t="shared" si="4"/>
        <v>A</v>
      </c>
      <c r="I74" s="6" t="str">
        <f t="shared" si="5"/>
        <v>Transformative change</v>
      </c>
      <c r="J74" s="6" t="str">
        <f t="shared" si="6"/>
        <v>High</v>
      </c>
      <c r="K74" s="6">
        <f t="shared" si="7"/>
        <v>243849</v>
      </c>
      <c r="L74" s="6">
        <f t="shared" si="8"/>
        <v>194999.7212</v>
      </c>
    </row>
    <row r="75">
      <c r="A75" s="4" t="s">
        <v>222</v>
      </c>
      <c r="B75" s="4" t="s">
        <v>223</v>
      </c>
      <c r="C75" s="4" t="s">
        <v>224</v>
      </c>
      <c r="D75" s="5">
        <v>35656.0</v>
      </c>
      <c r="E75" s="6">
        <f t="shared" si="1"/>
        <v>1</v>
      </c>
      <c r="F75" s="6">
        <f t="shared" si="2"/>
        <v>71697</v>
      </c>
      <c r="G75" s="6">
        <f t="shared" si="3"/>
        <v>48362</v>
      </c>
      <c r="H75" s="6" t="str">
        <f t="shared" si="4"/>
        <v>E</v>
      </c>
      <c r="I75" s="6" t="str">
        <f t="shared" si="5"/>
        <v>Transformative change</v>
      </c>
      <c r="J75" s="6" t="str">
        <f t="shared" si="6"/>
        <v>High</v>
      </c>
      <c r="K75" s="6">
        <f t="shared" si="7"/>
        <v>3239839</v>
      </c>
      <c r="L75" s="6">
        <f t="shared" si="8"/>
        <v>2227973.51</v>
      </c>
    </row>
    <row r="76">
      <c r="A76" s="4" t="s">
        <v>225</v>
      </c>
      <c r="B76" s="4" t="s">
        <v>226</v>
      </c>
      <c r="C76" s="4" t="s">
        <v>227</v>
      </c>
      <c r="D76" s="5">
        <v>12697.0</v>
      </c>
      <c r="E76" s="6">
        <f t="shared" si="1"/>
        <v>2</v>
      </c>
      <c r="F76" s="6">
        <f t="shared" si="2"/>
        <v>75648</v>
      </c>
      <c r="G76" s="6">
        <f t="shared" si="3"/>
        <v>7612</v>
      </c>
      <c r="H76" s="6" t="str">
        <f t="shared" si="4"/>
        <v>C</v>
      </c>
      <c r="I76" s="6" t="str">
        <f t="shared" si="5"/>
        <v>Transformative change</v>
      </c>
      <c r="J76" s="6" t="str">
        <f t="shared" si="6"/>
        <v>Medium</v>
      </c>
      <c r="K76" s="6">
        <f t="shared" si="7"/>
        <v>3634496</v>
      </c>
      <c r="L76" s="6">
        <f t="shared" si="8"/>
        <v>2610581.782</v>
      </c>
    </row>
    <row r="77">
      <c r="A77" s="4" t="s">
        <v>228</v>
      </c>
      <c r="B77" s="4" t="s">
        <v>229</v>
      </c>
      <c r="C77" s="4" t="s">
        <v>74</v>
      </c>
      <c r="D77" s="5">
        <v>95874.0</v>
      </c>
      <c r="E77" s="6">
        <f t="shared" si="1"/>
        <v>1</v>
      </c>
      <c r="F77" s="6">
        <f t="shared" si="2"/>
        <v>5177</v>
      </c>
      <c r="G77" s="6">
        <f t="shared" si="3"/>
        <v>41374</v>
      </c>
      <c r="H77" s="6" t="str">
        <f t="shared" si="4"/>
        <v>B</v>
      </c>
      <c r="I77" s="6" t="str">
        <f t="shared" si="5"/>
        <v>Transformative change</v>
      </c>
      <c r="J77" s="6" t="str">
        <f t="shared" si="6"/>
        <v>Medium</v>
      </c>
      <c r="K77" s="6">
        <f t="shared" si="7"/>
        <v>1657324</v>
      </c>
      <c r="L77" s="6">
        <f t="shared" si="8"/>
        <v>160863.055</v>
      </c>
    </row>
    <row r="78">
      <c r="A78" s="4" t="s">
        <v>230</v>
      </c>
      <c r="B78" s="4" t="s">
        <v>231</v>
      </c>
      <c r="C78" s="4" t="s">
        <v>232</v>
      </c>
      <c r="D78" s="5">
        <v>7401.0</v>
      </c>
      <c r="E78" s="6">
        <f t="shared" si="1"/>
        <v>3</v>
      </c>
      <c r="F78" s="6">
        <f t="shared" si="2"/>
        <v>9423</v>
      </c>
      <c r="G78" s="6">
        <f t="shared" si="3"/>
        <v>24550</v>
      </c>
      <c r="H78" s="6" t="str">
        <f t="shared" si="4"/>
        <v>F</v>
      </c>
      <c r="I78" s="6" t="str">
        <f t="shared" si="5"/>
        <v>Transformative change</v>
      </c>
      <c r="J78" s="6" t="str">
        <f t="shared" si="6"/>
        <v>Medium</v>
      </c>
      <c r="K78" s="6">
        <f t="shared" si="7"/>
        <v>2621609</v>
      </c>
      <c r="L78" s="6">
        <f t="shared" si="8"/>
        <v>1068406.648</v>
      </c>
    </row>
    <row r="79">
      <c r="A79" s="4" t="s">
        <v>233</v>
      </c>
      <c r="B79" s="4" t="s">
        <v>234</v>
      </c>
      <c r="C79" s="4" t="s">
        <v>235</v>
      </c>
      <c r="D79" s="5">
        <v>85694.0</v>
      </c>
      <c r="E79" s="6">
        <f t="shared" si="1"/>
        <v>5</v>
      </c>
      <c r="F79" s="6">
        <f t="shared" si="2"/>
        <v>78416</v>
      </c>
      <c r="G79" s="6">
        <f t="shared" si="3"/>
        <v>37999</v>
      </c>
      <c r="H79" s="6" t="str">
        <f t="shared" si="4"/>
        <v>E</v>
      </c>
      <c r="I79" s="6" t="str">
        <f t="shared" si="5"/>
        <v>Transformative change</v>
      </c>
      <c r="J79" s="6" t="str">
        <f t="shared" si="6"/>
        <v>Low</v>
      </c>
      <c r="K79" s="6">
        <f t="shared" si="7"/>
        <v>382803</v>
      </c>
      <c r="L79" s="6">
        <f t="shared" si="8"/>
        <v>166836.0391</v>
      </c>
    </row>
    <row r="80">
      <c r="A80" s="4" t="s">
        <v>236</v>
      </c>
      <c r="B80" s="4" t="s">
        <v>237</v>
      </c>
      <c r="C80" s="4" t="s">
        <v>238</v>
      </c>
      <c r="D80" s="5">
        <v>13456.0</v>
      </c>
      <c r="E80" s="6">
        <f t="shared" si="1"/>
        <v>4</v>
      </c>
      <c r="F80" s="6">
        <f t="shared" si="2"/>
        <v>72173</v>
      </c>
      <c r="G80" s="6">
        <f t="shared" si="3"/>
        <v>31345</v>
      </c>
      <c r="H80" s="6" t="str">
        <f t="shared" si="4"/>
        <v>C</v>
      </c>
      <c r="I80" s="6" t="str">
        <f t="shared" si="5"/>
        <v>Transformative change</v>
      </c>
      <c r="J80" s="6" t="str">
        <f t="shared" si="6"/>
        <v>High</v>
      </c>
      <c r="K80" s="6">
        <f t="shared" si="7"/>
        <v>1174451</v>
      </c>
      <c r="L80" s="6">
        <f t="shared" si="8"/>
        <v>315175.6866</v>
      </c>
    </row>
    <row r="81">
      <c r="A81" s="4" t="s">
        <v>239</v>
      </c>
      <c r="B81" s="4" t="s">
        <v>240</v>
      </c>
      <c r="C81" s="4" t="s">
        <v>241</v>
      </c>
      <c r="D81" s="5">
        <v>15740.0</v>
      </c>
      <c r="E81" s="6">
        <f t="shared" si="1"/>
        <v>5</v>
      </c>
      <c r="F81" s="6">
        <f t="shared" si="2"/>
        <v>68344</v>
      </c>
      <c r="G81" s="6">
        <f t="shared" si="3"/>
        <v>1995</v>
      </c>
      <c r="H81" s="6" t="str">
        <f t="shared" si="4"/>
        <v>F</v>
      </c>
      <c r="I81" s="6" t="str">
        <f t="shared" si="5"/>
        <v>Transformative change</v>
      </c>
      <c r="J81" s="6" t="str">
        <f t="shared" si="6"/>
        <v>Medium</v>
      </c>
      <c r="K81" s="6">
        <f t="shared" si="7"/>
        <v>1088383</v>
      </c>
      <c r="L81" s="6">
        <f t="shared" si="8"/>
        <v>997502.8677</v>
      </c>
    </row>
    <row r="82">
      <c r="A82" s="4" t="s">
        <v>242</v>
      </c>
      <c r="B82" s="4" t="s">
        <v>243</v>
      </c>
      <c r="C82" s="4" t="s">
        <v>244</v>
      </c>
      <c r="D82" s="5">
        <v>8007.0</v>
      </c>
      <c r="E82" s="6">
        <f t="shared" si="1"/>
        <v>1</v>
      </c>
      <c r="F82" s="6">
        <f t="shared" si="2"/>
        <v>79426</v>
      </c>
      <c r="G82" s="6">
        <f t="shared" si="3"/>
        <v>51350</v>
      </c>
      <c r="H82" s="6" t="str">
        <f t="shared" si="4"/>
        <v>D</v>
      </c>
      <c r="I82" s="6" t="str">
        <f t="shared" si="5"/>
        <v>Transformative change</v>
      </c>
      <c r="J82" s="6" t="str">
        <f t="shared" si="6"/>
        <v>High</v>
      </c>
      <c r="K82" s="6">
        <f t="shared" si="7"/>
        <v>1735893</v>
      </c>
      <c r="L82" s="6">
        <f t="shared" si="8"/>
        <v>1687261.746</v>
      </c>
    </row>
    <row r="83">
      <c r="A83" s="4" t="s">
        <v>245</v>
      </c>
      <c r="B83" s="4" t="s">
        <v>246</v>
      </c>
      <c r="C83" s="4" t="s">
        <v>247</v>
      </c>
      <c r="D83" s="5">
        <v>12912.0</v>
      </c>
      <c r="E83" s="6">
        <f t="shared" si="1"/>
        <v>4</v>
      </c>
      <c r="F83" s="6">
        <f t="shared" si="2"/>
        <v>77036</v>
      </c>
      <c r="G83" s="6">
        <f t="shared" si="3"/>
        <v>17950</v>
      </c>
      <c r="H83" s="6" t="str">
        <f t="shared" si="4"/>
        <v>G</v>
      </c>
      <c r="I83" s="6" t="str">
        <f t="shared" si="5"/>
        <v>Transformative change</v>
      </c>
      <c r="J83" s="6" t="str">
        <f t="shared" si="6"/>
        <v>High</v>
      </c>
      <c r="K83" s="6">
        <f t="shared" si="7"/>
        <v>3096615</v>
      </c>
      <c r="L83" s="6">
        <f t="shared" si="8"/>
        <v>145846.2826</v>
      </c>
    </row>
    <row r="84">
      <c r="A84" s="4" t="s">
        <v>248</v>
      </c>
      <c r="B84" s="4" t="s">
        <v>249</v>
      </c>
      <c r="C84" s="4" t="s">
        <v>250</v>
      </c>
      <c r="D84" s="5">
        <v>5488.0</v>
      </c>
      <c r="E84" s="6">
        <f t="shared" si="1"/>
        <v>4</v>
      </c>
      <c r="F84" s="6">
        <f t="shared" si="2"/>
        <v>11270</v>
      </c>
      <c r="G84" s="6">
        <f t="shared" si="3"/>
        <v>34877</v>
      </c>
      <c r="H84" s="6" t="str">
        <f t="shared" si="4"/>
        <v>F</v>
      </c>
      <c r="I84" s="6" t="str">
        <f t="shared" si="5"/>
        <v>Transformative change</v>
      </c>
      <c r="J84" s="6" t="str">
        <f t="shared" si="6"/>
        <v>Medium</v>
      </c>
      <c r="K84" s="6">
        <f t="shared" si="7"/>
        <v>671825</v>
      </c>
      <c r="L84" s="6">
        <f t="shared" si="8"/>
        <v>2335.729075</v>
      </c>
    </row>
    <row r="85">
      <c r="A85" s="4" t="s">
        <v>251</v>
      </c>
      <c r="B85" s="4" t="s">
        <v>252</v>
      </c>
      <c r="C85" s="4" t="s">
        <v>253</v>
      </c>
      <c r="D85" s="5">
        <v>46833.0</v>
      </c>
      <c r="E85" s="6">
        <f t="shared" si="1"/>
        <v>1</v>
      </c>
      <c r="F85" s="6">
        <f t="shared" si="2"/>
        <v>27645</v>
      </c>
      <c r="G85" s="6">
        <f t="shared" si="3"/>
        <v>14620</v>
      </c>
      <c r="H85" s="6" t="str">
        <f t="shared" si="4"/>
        <v>E</v>
      </c>
      <c r="I85" s="6" t="str">
        <f t="shared" si="5"/>
        <v>Transformative change</v>
      </c>
      <c r="J85" s="6" t="str">
        <f t="shared" si="6"/>
        <v>High</v>
      </c>
      <c r="K85" s="6">
        <f t="shared" si="7"/>
        <v>3168884</v>
      </c>
      <c r="L85" s="6">
        <f t="shared" si="8"/>
        <v>708102.6081</v>
      </c>
    </row>
    <row r="86">
      <c r="A86" s="4" t="s">
        <v>254</v>
      </c>
      <c r="B86" s="4" t="s">
        <v>255</v>
      </c>
      <c r="C86" s="4" t="s">
        <v>74</v>
      </c>
      <c r="D86" s="5">
        <v>18864.0</v>
      </c>
      <c r="E86" s="6">
        <f t="shared" si="1"/>
        <v>5</v>
      </c>
      <c r="F86" s="6">
        <f t="shared" si="2"/>
        <v>30631</v>
      </c>
      <c r="G86" s="6">
        <f t="shared" si="3"/>
        <v>14594</v>
      </c>
      <c r="H86" s="6" t="str">
        <f t="shared" si="4"/>
        <v>D</v>
      </c>
      <c r="I86" s="6" t="str">
        <f t="shared" si="5"/>
        <v>Transformative change</v>
      </c>
      <c r="J86" s="6" t="str">
        <f t="shared" si="6"/>
        <v>High</v>
      </c>
      <c r="K86" s="6">
        <f t="shared" si="7"/>
        <v>813532</v>
      </c>
      <c r="L86" s="6">
        <f t="shared" si="8"/>
        <v>348081.7107</v>
      </c>
    </row>
    <row r="87">
      <c r="A87" s="4" t="s">
        <v>256</v>
      </c>
      <c r="B87" s="4" t="s">
        <v>257</v>
      </c>
      <c r="C87" s="4" t="s">
        <v>258</v>
      </c>
      <c r="D87" s="5">
        <v>70757.0</v>
      </c>
      <c r="E87" s="6">
        <f t="shared" si="1"/>
        <v>2</v>
      </c>
      <c r="F87" s="6">
        <f t="shared" si="2"/>
        <v>21285</v>
      </c>
      <c r="G87" s="6">
        <f t="shared" si="3"/>
        <v>3723</v>
      </c>
      <c r="H87" s="6" t="str">
        <f t="shared" si="4"/>
        <v>C</v>
      </c>
      <c r="I87" s="6" t="str">
        <f t="shared" si="5"/>
        <v>Transformative change</v>
      </c>
      <c r="J87" s="6" t="str">
        <f t="shared" si="6"/>
        <v>High</v>
      </c>
      <c r="K87" s="6">
        <f t="shared" si="7"/>
        <v>1496771</v>
      </c>
      <c r="L87" s="6">
        <f t="shared" si="8"/>
        <v>1188711.19</v>
      </c>
    </row>
    <row r="88">
      <c r="A88" s="4" t="s">
        <v>259</v>
      </c>
      <c r="B88" s="4" t="s">
        <v>260</v>
      </c>
      <c r="C88" s="4" t="s">
        <v>261</v>
      </c>
      <c r="D88" s="5">
        <v>5440.0</v>
      </c>
      <c r="E88" s="6">
        <f t="shared" si="1"/>
        <v>2</v>
      </c>
      <c r="F88" s="6">
        <f t="shared" si="2"/>
        <v>14997</v>
      </c>
      <c r="G88" s="6">
        <f t="shared" si="3"/>
        <v>62288</v>
      </c>
      <c r="H88" s="6" t="str">
        <f t="shared" si="4"/>
        <v>A</v>
      </c>
      <c r="I88" s="6" t="str">
        <f t="shared" si="5"/>
        <v>Transformative change</v>
      </c>
      <c r="J88" s="6" t="str">
        <f t="shared" si="6"/>
        <v>High</v>
      </c>
      <c r="K88" s="6">
        <f t="shared" si="7"/>
        <v>3473037</v>
      </c>
      <c r="L88" s="6">
        <f t="shared" si="8"/>
        <v>1316088.36</v>
      </c>
    </row>
    <row r="89">
      <c r="A89" s="4" t="s">
        <v>262</v>
      </c>
      <c r="B89" s="4" t="s">
        <v>263</v>
      </c>
      <c r="C89" s="4" t="s">
        <v>264</v>
      </c>
      <c r="D89" s="5">
        <v>5582.0</v>
      </c>
      <c r="E89" s="6">
        <f t="shared" si="1"/>
        <v>4</v>
      </c>
      <c r="F89" s="6">
        <f t="shared" si="2"/>
        <v>35849</v>
      </c>
      <c r="G89" s="6">
        <f t="shared" si="3"/>
        <v>11054</v>
      </c>
      <c r="H89" s="6" t="str">
        <f t="shared" si="4"/>
        <v>D</v>
      </c>
      <c r="I89" s="6" t="str">
        <f t="shared" si="5"/>
        <v>Transformative change</v>
      </c>
      <c r="J89" s="6" t="str">
        <f t="shared" si="6"/>
        <v>High</v>
      </c>
      <c r="K89" s="6">
        <f t="shared" si="7"/>
        <v>3996386</v>
      </c>
      <c r="L89" s="6">
        <f t="shared" si="8"/>
        <v>392893.5769</v>
      </c>
    </row>
    <row r="90">
      <c r="A90" s="4" t="s">
        <v>265</v>
      </c>
      <c r="B90" s="4" t="s">
        <v>266</v>
      </c>
      <c r="C90" s="4" t="s">
        <v>74</v>
      </c>
      <c r="D90" s="5">
        <v>97745.0</v>
      </c>
      <c r="E90" s="6">
        <f t="shared" si="1"/>
        <v>1</v>
      </c>
      <c r="F90" s="6">
        <f t="shared" si="2"/>
        <v>22597</v>
      </c>
      <c r="G90" s="6">
        <f t="shared" si="3"/>
        <v>28592</v>
      </c>
      <c r="H90" s="6" t="str">
        <f t="shared" si="4"/>
        <v>G</v>
      </c>
      <c r="I90" s="6" t="str">
        <f t="shared" si="5"/>
        <v>Transformative change</v>
      </c>
      <c r="J90" s="6" t="str">
        <f t="shared" si="6"/>
        <v>High</v>
      </c>
      <c r="K90" s="6">
        <f t="shared" si="7"/>
        <v>1711419</v>
      </c>
      <c r="L90" s="6">
        <f t="shared" si="8"/>
        <v>1319047.579</v>
      </c>
    </row>
    <row r="91">
      <c r="A91" s="4" t="s">
        <v>267</v>
      </c>
      <c r="B91" s="4" t="s">
        <v>268</v>
      </c>
      <c r="C91" s="4" t="s">
        <v>269</v>
      </c>
      <c r="D91" s="5">
        <v>317025.0</v>
      </c>
      <c r="E91" s="6">
        <f t="shared" si="1"/>
        <v>5</v>
      </c>
      <c r="F91" s="6">
        <f t="shared" si="2"/>
        <v>93788</v>
      </c>
      <c r="G91" s="6">
        <f t="shared" si="3"/>
        <v>9563</v>
      </c>
      <c r="H91" s="6" t="str">
        <f t="shared" si="4"/>
        <v>B</v>
      </c>
      <c r="I91" s="6" t="str">
        <f t="shared" si="5"/>
        <v>Transformative change</v>
      </c>
      <c r="J91" s="6" t="str">
        <f t="shared" si="6"/>
        <v>Low</v>
      </c>
      <c r="K91" s="6">
        <f t="shared" si="7"/>
        <v>3085659</v>
      </c>
      <c r="L91" s="6">
        <f t="shared" si="8"/>
        <v>3010257.241</v>
      </c>
    </row>
    <row r="92">
      <c r="A92" s="4" t="s">
        <v>270</v>
      </c>
      <c r="B92" s="4" t="s">
        <v>271</v>
      </c>
      <c r="C92" s="4" t="s">
        <v>272</v>
      </c>
      <c r="D92" s="5">
        <v>12863.0</v>
      </c>
      <c r="E92" s="6">
        <f t="shared" si="1"/>
        <v>5</v>
      </c>
      <c r="F92" s="6">
        <f t="shared" si="2"/>
        <v>76015</v>
      </c>
      <c r="G92" s="6">
        <f t="shared" si="3"/>
        <v>27204</v>
      </c>
      <c r="H92" s="6" t="str">
        <f t="shared" si="4"/>
        <v>C</v>
      </c>
      <c r="I92" s="6" t="str">
        <f t="shared" si="5"/>
        <v>High ambition</v>
      </c>
      <c r="J92" s="6" t="str">
        <f t="shared" si="6"/>
        <v>Low</v>
      </c>
      <c r="K92" s="6">
        <f t="shared" si="7"/>
        <v>600093</v>
      </c>
      <c r="L92" s="6">
        <f t="shared" si="8"/>
        <v>439017.9541</v>
      </c>
    </row>
    <row r="93">
      <c r="A93" s="4" t="s">
        <v>273</v>
      </c>
      <c r="B93" s="4" t="s">
        <v>274</v>
      </c>
      <c r="C93" s="4" t="s">
        <v>275</v>
      </c>
      <c r="D93" s="5">
        <v>16875.0</v>
      </c>
      <c r="E93" s="6">
        <f t="shared" si="1"/>
        <v>5</v>
      </c>
      <c r="F93" s="6">
        <f t="shared" si="2"/>
        <v>65821</v>
      </c>
      <c r="G93" s="6">
        <f t="shared" si="3"/>
        <v>9653</v>
      </c>
      <c r="H93" s="6" t="str">
        <f t="shared" si="4"/>
        <v>D</v>
      </c>
      <c r="I93" s="6" t="str">
        <f t="shared" si="5"/>
        <v>Transformative change</v>
      </c>
      <c r="J93" s="6" t="str">
        <f t="shared" si="6"/>
        <v>Medium</v>
      </c>
      <c r="K93" s="6">
        <f t="shared" si="7"/>
        <v>2284615</v>
      </c>
      <c r="L93" s="6">
        <f t="shared" si="8"/>
        <v>569552.3493</v>
      </c>
    </row>
    <row r="94">
      <c r="A94" s="4" t="s">
        <v>276</v>
      </c>
      <c r="B94" s="4" t="s">
        <v>277</v>
      </c>
      <c r="C94" s="4" t="s">
        <v>278</v>
      </c>
      <c r="D94" s="5">
        <v>10288.0</v>
      </c>
      <c r="E94" s="6">
        <f t="shared" si="1"/>
        <v>3</v>
      </c>
      <c r="F94" s="6">
        <f t="shared" si="2"/>
        <v>96256</v>
      </c>
      <c r="G94" s="6">
        <f t="shared" si="3"/>
        <v>82428</v>
      </c>
      <c r="H94" s="6" t="str">
        <f t="shared" si="4"/>
        <v>D</v>
      </c>
      <c r="I94" s="6" t="str">
        <f t="shared" si="5"/>
        <v>Transformative change</v>
      </c>
      <c r="J94" s="6" t="str">
        <f t="shared" si="6"/>
        <v>High</v>
      </c>
      <c r="K94" s="6">
        <f t="shared" si="7"/>
        <v>3095066</v>
      </c>
      <c r="L94" s="6">
        <f t="shared" si="8"/>
        <v>807657.5069</v>
      </c>
    </row>
    <row r="95">
      <c r="A95" s="4" t="s">
        <v>279</v>
      </c>
      <c r="B95" s="4" t="s">
        <v>280</v>
      </c>
      <c r="C95" s="4" t="s">
        <v>281</v>
      </c>
      <c r="D95" s="5">
        <v>16947.0</v>
      </c>
      <c r="E95" s="6">
        <f t="shared" si="1"/>
        <v>2</v>
      </c>
      <c r="F95" s="6">
        <f t="shared" si="2"/>
        <v>41598</v>
      </c>
      <c r="G95" s="6">
        <f t="shared" si="3"/>
        <v>36141</v>
      </c>
      <c r="H95" s="6" t="str">
        <f t="shared" si="4"/>
        <v>B</v>
      </c>
      <c r="I95" s="6" t="str">
        <f t="shared" si="5"/>
        <v>Transformative change</v>
      </c>
      <c r="J95" s="6" t="str">
        <f t="shared" si="6"/>
        <v>High</v>
      </c>
      <c r="K95" s="6">
        <f t="shared" si="7"/>
        <v>3458609</v>
      </c>
      <c r="L95" s="6">
        <f t="shared" si="8"/>
        <v>2359160.622</v>
      </c>
    </row>
    <row r="96">
      <c r="A96" s="4" t="s">
        <v>282</v>
      </c>
      <c r="B96" s="4" t="s">
        <v>283</v>
      </c>
      <c r="C96" s="4" t="s">
        <v>284</v>
      </c>
      <c r="D96" s="5">
        <v>8168.0</v>
      </c>
      <c r="E96" s="6">
        <f t="shared" si="1"/>
        <v>5</v>
      </c>
      <c r="F96" s="6">
        <f t="shared" si="2"/>
        <v>36251</v>
      </c>
      <c r="G96" s="6">
        <f t="shared" si="3"/>
        <v>13112</v>
      </c>
      <c r="H96" s="6" t="str">
        <f t="shared" si="4"/>
        <v>G</v>
      </c>
      <c r="I96" s="6" t="str">
        <f t="shared" si="5"/>
        <v>Transformative change</v>
      </c>
      <c r="J96" s="6" t="str">
        <f t="shared" si="6"/>
        <v>Medium</v>
      </c>
      <c r="K96" s="6">
        <f t="shared" si="7"/>
        <v>3104150</v>
      </c>
      <c r="L96" s="6">
        <f t="shared" si="8"/>
        <v>1889862.322</v>
      </c>
    </row>
    <row r="97">
      <c r="A97" s="4" t="s">
        <v>285</v>
      </c>
      <c r="B97" s="4" t="s">
        <v>286</v>
      </c>
      <c r="C97" s="4" t="s">
        <v>287</v>
      </c>
      <c r="D97" s="5">
        <v>5276.0</v>
      </c>
      <c r="E97" s="6">
        <f t="shared" si="1"/>
        <v>5</v>
      </c>
      <c r="F97" s="6">
        <f t="shared" si="2"/>
        <v>42309</v>
      </c>
      <c r="G97" s="6">
        <f t="shared" si="3"/>
        <v>18217</v>
      </c>
      <c r="H97" s="6" t="str">
        <f t="shared" si="4"/>
        <v>G</v>
      </c>
      <c r="I97" s="6" t="str">
        <f t="shared" si="5"/>
        <v>High ambition</v>
      </c>
      <c r="J97" s="6" t="str">
        <f t="shared" si="6"/>
        <v>Medium</v>
      </c>
      <c r="K97" s="6">
        <f t="shared" si="7"/>
        <v>2244523</v>
      </c>
      <c r="L97" s="6">
        <f t="shared" si="8"/>
        <v>2029241.968</v>
      </c>
    </row>
    <row r="98">
      <c r="A98" s="4" t="s">
        <v>288</v>
      </c>
      <c r="B98" s="4" t="s">
        <v>289</v>
      </c>
      <c r="C98" s="4" t="s">
        <v>290</v>
      </c>
      <c r="D98" s="5">
        <v>17509.0</v>
      </c>
      <c r="E98" s="6">
        <f t="shared" si="1"/>
        <v>4</v>
      </c>
      <c r="F98" s="6">
        <f t="shared" si="2"/>
        <v>66819</v>
      </c>
      <c r="G98" s="6">
        <f t="shared" si="3"/>
        <v>26354</v>
      </c>
      <c r="H98" s="6" t="str">
        <f t="shared" si="4"/>
        <v>F</v>
      </c>
      <c r="I98" s="6" t="str">
        <f t="shared" si="5"/>
        <v>Transformative change</v>
      </c>
      <c r="J98" s="6" t="str">
        <f t="shared" si="6"/>
        <v>High</v>
      </c>
      <c r="K98" s="6">
        <f t="shared" si="7"/>
        <v>3567158</v>
      </c>
      <c r="L98" s="6">
        <f t="shared" si="8"/>
        <v>3131184.371</v>
      </c>
    </row>
    <row r="99">
      <c r="A99" s="4" t="s">
        <v>291</v>
      </c>
      <c r="B99" s="4" t="s">
        <v>292</v>
      </c>
      <c r="C99" s="4" t="s">
        <v>293</v>
      </c>
      <c r="D99" s="5">
        <v>10243.0</v>
      </c>
      <c r="E99" s="6">
        <f t="shared" si="1"/>
        <v>3</v>
      </c>
      <c r="F99" s="6">
        <f t="shared" si="2"/>
        <v>6231</v>
      </c>
      <c r="G99" s="6">
        <f t="shared" si="3"/>
        <v>76107</v>
      </c>
      <c r="H99" s="6" t="str">
        <f t="shared" si="4"/>
        <v>D</v>
      </c>
      <c r="I99" s="6" t="str">
        <f t="shared" si="5"/>
        <v>Transformative change</v>
      </c>
      <c r="J99" s="6" t="str">
        <f t="shared" si="6"/>
        <v>Low</v>
      </c>
      <c r="K99" s="6">
        <f t="shared" si="7"/>
        <v>1559951</v>
      </c>
      <c r="L99" s="6">
        <f t="shared" si="8"/>
        <v>1269328.98</v>
      </c>
    </row>
    <row r="100">
      <c r="A100" s="4" t="s">
        <v>294</v>
      </c>
      <c r="B100" s="4" t="s">
        <v>295</v>
      </c>
      <c r="C100" s="4" t="s">
        <v>74</v>
      </c>
      <c r="D100" s="5">
        <v>243999.0</v>
      </c>
      <c r="E100" s="6">
        <f t="shared" si="1"/>
        <v>2</v>
      </c>
      <c r="F100" s="6">
        <f t="shared" si="2"/>
        <v>80057</v>
      </c>
      <c r="G100" s="6">
        <f t="shared" si="3"/>
        <v>19489</v>
      </c>
      <c r="H100" s="6" t="str">
        <f t="shared" si="4"/>
        <v>C</v>
      </c>
      <c r="I100" s="6" t="str">
        <f t="shared" si="5"/>
        <v>Transformative change</v>
      </c>
      <c r="J100" s="6" t="str">
        <f t="shared" si="6"/>
        <v>Low</v>
      </c>
      <c r="K100" s="6">
        <f t="shared" si="7"/>
        <v>2129061</v>
      </c>
      <c r="L100" s="6">
        <f t="shared" si="8"/>
        <v>740447.6764</v>
      </c>
    </row>
    <row r="101">
      <c r="A101" s="4" t="s">
        <v>296</v>
      </c>
      <c r="B101" s="4" t="s">
        <v>297</v>
      </c>
      <c r="C101" s="4" t="s">
        <v>298</v>
      </c>
      <c r="D101" s="5">
        <v>17116.0</v>
      </c>
      <c r="E101" s="6">
        <f t="shared" si="1"/>
        <v>2</v>
      </c>
      <c r="F101" s="6">
        <f t="shared" si="2"/>
        <v>96230</v>
      </c>
      <c r="G101" s="6">
        <f t="shared" si="3"/>
        <v>66282</v>
      </c>
      <c r="H101" s="6" t="str">
        <f t="shared" si="4"/>
        <v>A</v>
      </c>
      <c r="I101" s="6" t="str">
        <f t="shared" si="5"/>
        <v>Transformative change</v>
      </c>
      <c r="J101" s="6" t="str">
        <f t="shared" si="6"/>
        <v>High</v>
      </c>
      <c r="K101" s="6">
        <f t="shared" si="7"/>
        <v>1615335</v>
      </c>
      <c r="L101" s="6">
        <f t="shared" si="8"/>
        <v>1536811.935</v>
      </c>
    </row>
    <row r="102">
      <c r="A102" s="4" t="s">
        <v>299</v>
      </c>
      <c r="B102" s="4" t="s">
        <v>300</v>
      </c>
      <c r="C102" s="4" t="s">
        <v>301</v>
      </c>
      <c r="D102" s="5">
        <v>479335.0</v>
      </c>
      <c r="E102" s="6">
        <f t="shared" si="1"/>
        <v>2</v>
      </c>
      <c r="F102" s="6">
        <f t="shared" si="2"/>
        <v>29190</v>
      </c>
      <c r="G102" s="6">
        <f t="shared" si="3"/>
        <v>44418</v>
      </c>
      <c r="H102" s="6" t="str">
        <f t="shared" si="4"/>
        <v>D</v>
      </c>
      <c r="I102" s="6" t="str">
        <f t="shared" si="5"/>
        <v>High ambition</v>
      </c>
      <c r="J102" s="6" t="str">
        <f t="shared" si="6"/>
        <v>Low</v>
      </c>
      <c r="K102" s="6">
        <f t="shared" si="7"/>
        <v>1826109</v>
      </c>
      <c r="L102" s="6">
        <f t="shared" si="8"/>
        <v>42915.52935</v>
      </c>
    </row>
    <row r="103">
      <c r="A103" s="4" t="s">
        <v>302</v>
      </c>
      <c r="B103" s="4" t="s">
        <v>303</v>
      </c>
      <c r="C103" s="4" t="s">
        <v>304</v>
      </c>
      <c r="D103" s="5">
        <v>252933.0</v>
      </c>
      <c r="E103" s="6">
        <f t="shared" si="1"/>
        <v>3</v>
      </c>
      <c r="F103" s="6">
        <f t="shared" si="2"/>
        <v>6196</v>
      </c>
      <c r="G103" s="6">
        <f t="shared" si="3"/>
        <v>2939</v>
      </c>
      <c r="H103" s="6" t="str">
        <f t="shared" si="4"/>
        <v>C</v>
      </c>
      <c r="I103" s="6" t="str">
        <f t="shared" si="5"/>
        <v>Transformative change</v>
      </c>
      <c r="J103" s="6" t="str">
        <f t="shared" si="6"/>
        <v>High</v>
      </c>
      <c r="K103" s="6">
        <f t="shared" si="7"/>
        <v>89073</v>
      </c>
      <c r="L103" s="6">
        <f t="shared" si="8"/>
        <v>30800.01727</v>
      </c>
    </row>
    <row r="104">
      <c r="A104" s="4" t="s">
        <v>305</v>
      </c>
      <c r="B104" s="4" t="s">
        <v>306</v>
      </c>
      <c r="C104" s="4" t="s">
        <v>74</v>
      </c>
      <c r="D104" s="5">
        <v>8106.0</v>
      </c>
      <c r="E104" s="6">
        <f t="shared" si="1"/>
        <v>5</v>
      </c>
      <c r="F104" s="6">
        <f t="shared" si="2"/>
        <v>75863</v>
      </c>
      <c r="G104" s="6">
        <f t="shared" si="3"/>
        <v>16558</v>
      </c>
      <c r="H104" s="6" t="str">
        <f t="shared" si="4"/>
        <v>F</v>
      </c>
      <c r="I104" s="6" t="str">
        <f t="shared" si="5"/>
        <v>High ambition</v>
      </c>
      <c r="J104" s="6" t="str">
        <f t="shared" si="6"/>
        <v>Low</v>
      </c>
      <c r="K104" s="6">
        <f t="shared" si="7"/>
        <v>1244936</v>
      </c>
      <c r="L104" s="6">
        <f t="shared" si="8"/>
        <v>1125938.159</v>
      </c>
    </row>
    <row r="105">
      <c r="A105" s="4" t="s">
        <v>307</v>
      </c>
      <c r="B105" s="4" t="s">
        <v>308</v>
      </c>
      <c r="C105" s="4" t="s">
        <v>309</v>
      </c>
      <c r="D105" s="5">
        <v>19323.0</v>
      </c>
      <c r="E105" s="6">
        <f t="shared" si="1"/>
        <v>5</v>
      </c>
      <c r="F105" s="6">
        <f t="shared" si="2"/>
        <v>59444</v>
      </c>
      <c r="G105" s="6">
        <f t="shared" si="3"/>
        <v>23331</v>
      </c>
      <c r="H105" s="6" t="str">
        <f t="shared" si="4"/>
        <v>E</v>
      </c>
      <c r="I105" s="6" t="str">
        <f t="shared" si="5"/>
        <v>High ambition</v>
      </c>
      <c r="J105" s="6" t="str">
        <f t="shared" si="6"/>
        <v>Low</v>
      </c>
      <c r="K105" s="6">
        <f t="shared" si="7"/>
        <v>485608</v>
      </c>
      <c r="L105" s="6">
        <f t="shared" si="8"/>
        <v>161498.7832</v>
      </c>
    </row>
    <row r="106">
      <c r="A106" s="4" t="s">
        <v>310</v>
      </c>
      <c r="B106" s="4" t="s">
        <v>311</v>
      </c>
      <c r="C106" s="4" t="s">
        <v>312</v>
      </c>
      <c r="D106" s="5">
        <v>18234.0</v>
      </c>
      <c r="E106" s="6">
        <f t="shared" si="1"/>
        <v>1</v>
      </c>
      <c r="F106" s="6">
        <f t="shared" si="2"/>
        <v>5869</v>
      </c>
      <c r="G106" s="6">
        <f t="shared" si="3"/>
        <v>59643</v>
      </c>
      <c r="H106" s="6" t="str">
        <f t="shared" si="4"/>
        <v>C</v>
      </c>
      <c r="I106" s="6" t="str">
        <f t="shared" si="5"/>
        <v>Transformative change</v>
      </c>
      <c r="J106" s="6" t="str">
        <f t="shared" si="6"/>
        <v>Low</v>
      </c>
      <c r="K106" s="6">
        <f t="shared" si="7"/>
        <v>1774616</v>
      </c>
      <c r="L106" s="6">
        <f t="shared" si="8"/>
        <v>847367.1</v>
      </c>
    </row>
    <row r="107">
      <c r="A107" s="4" t="s">
        <v>313</v>
      </c>
      <c r="B107" s="4" t="s">
        <v>314</v>
      </c>
      <c r="C107" s="4" t="s">
        <v>315</v>
      </c>
      <c r="D107" s="5">
        <v>6177.0</v>
      </c>
      <c r="E107" s="6">
        <f t="shared" si="1"/>
        <v>3</v>
      </c>
      <c r="F107" s="6">
        <f t="shared" si="2"/>
        <v>32031</v>
      </c>
      <c r="G107" s="6">
        <f t="shared" si="3"/>
        <v>14676</v>
      </c>
      <c r="H107" s="6" t="str">
        <f t="shared" si="4"/>
        <v>G</v>
      </c>
      <c r="I107" s="6" t="str">
        <f t="shared" si="5"/>
        <v>Transformative change</v>
      </c>
      <c r="J107" s="6" t="str">
        <f t="shared" si="6"/>
        <v>High</v>
      </c>
      <c r="K107" s="6">
        <f t="shared" si="7"/>
        <v>2936469</v>
      </c>
      <c r="L107" s="6">
        <f t="shared" si="8"/>
        <v>2484346.405</v>
      </c>
    </row>
    <row r="108">
      <c r="A108" s="4" t="s">
        <v>316</v>
      </c>
      <c r="B108" s="4" t="s">
        <v>317</v>
      </c>
      <c r="C108" s="4" t="s">
        <v>318</v>
      </c>
      <c r="D108" s="5">
        <v>17535.0</v>
      </c>
      <c r="E108" s="6">
        <f t="shared" si="1"/>
        <v>4</v>
      </c>
      <c r="F108" s="6">
        <f t="shared" si="2"/>
        <v>20340</v>
      </c>
      <c r="G108" s="6">
        <f t="shared" si="3"/>
        <v>31986</v>
      </c>
      <c r="H108" s="6" t="str">
        <f t="shared" si="4"/>
        <v>G</v>
      </c>
      <c r="I108" s="6" t="str">
        <f t="shared" si="5"/>
        <v>High ambition</v>
      </c>
      <c r="J108" s="6" t="str">
        <f t="shared" si="6"/>
        <v>Medium</v>
      </c>
      <c r="K108" s="6">
        <f t="shared" si="7"/>
        <v>2251698</v>
      </c>
      <c r="L108" s="6">
        <f t="shared" si="8"/>
        <v>2099863.704</v>
      </c>
    </row>
    <row r="109">
      <c r="A109" s="4" t="s">
        <v>319</v>
      </c>
      <c r="B109" s="4" t="s">
        <v>320</v>
      </c>
      <c r="C109" s="4" t="s">
        <v>321</v>
      </c>
      <c r="D109" s="5">
        <v>18409.0</v>
      </c>
      <c r="E109" s="6">
        <f t="shared" si="1"/>
        <v>5</v>
      </c>
      <c r="F109" s="6">
        <f t="shared" si="2"/>
        <v>62049</v>
      </c>
      <c r="G109" s="6">
        <f t="shared" si="3"/>
        <v>12923</v>
      </c>
      <c r="H109" s="6" t="str">
        <f t="shared" si="4"/>
        <v>C</v>
      </c>
      <c r="I109" s="6" t="str">
        <f t="shared" si="5"/>
        <v>Transformative change</v>
      </c>
      <c r="J109" s="6" t="str">
        <f t="shared" si="6"/>
        <v>Medium</v>
      </c>
      <c r="K109" s="6">
        <f t="shared" si="7"/>
        <v>3184288</v>
      </c>
      <c r="L109" s="6">
        <f t="shared" si="8"/>
        <v>2175634.384</v>
      </c>
    </row>
    <row r="110">
      <c r="A110" s="4" t="s">
        <v>322</v>
      </c>
      <c r="B110" s="4" t="s">
        <v>323</v>
      </c>
      <c r="C110" s="4" t="s">
        <v>324</v>
      </c>
      <c r="D110" s="5">
        <v>18289.0</v>
      </c>
      <c r="E110" s="6">
        <f t="shared" si="1"/>
        <v>2</v>
      </c>
      <c r="F110" s="6">
        <f t="shared" si="2"/>
        <v>11363</v>
      </c>
      <c r="G110" s="6">
        <f t="shared" si="3"/>
        <v>12706</v>
      </c>
      <c r="H110" s="6" t="str">
        <f t="shared" si="4"/>
        <v>F</v>
      </c>
      <c r="I110" s="6" t="str">
        <f t="shared" si="5"/>
        <v>Transformative change</v>
      </c>
      <c r="J110" s="6" t="str">
        <f t="shared" si="6"/>
        <v>Medium</v>
      </c>
      <c r="K110" s="6">
        <f t="shared" si="7"/>
        <v>2778211</v>
      </c>
      <c r="L110" s="6">
        <f t="shared" si="8"/>
        <v>1667905.694</v>
      </c>
    </row>
    <row r="111">
      <c r="A111" s="4" t="s">
        <v>325</v>
      </c>
      <c r="B111" s="4" t="s">
        <v>326</v>
      </c>
      <c r="C111" s="4" t="s">
        <v>74</v>
      </c>
      <c r="D111" s="5">
        <v>423787.0</v>
      </c>
      <c r="E111" s="6">
        <f t="shared" si="1"/>
        <v>4</v>
      </c>
      <c r="F111" s="6">
        <f t="shared" si="2"/>
        <v>67837</v>
      </c>
      <c r="G111" s="6">
        <f t="shared" si="3"/>
        <v>18026</v>
      </c>
      <c r="H111" s="6" t="str">
        <f t="shared" si="4"/>
        <v>A</v>
      </c>
      <c r="I111" s="6" t="str">
        <f t="shared" si="5"/>
        <v>Transformative change</v>
      </c>
      <c r="J111" s="6" t="str">
        <f t="shared" si="6"/>
        <v>High</v>
      </c>
      <c r="K111" s="6">
        <f t="shared" si="7"/>
        <v>1729794</v>
      </c>
      <c r="L111" s="6">
        <f t="shared" si="8"/>
        <v>416710.7424</v>
      </c>
    </row>
    <row r="112">
      <c r="A112" s="4" t="s">
        <v>327</v>
      </c>
      <c r="B112" s="4" t="s">
        <v>328</v>
      </c>
      <c r="C112" s="4" t="s">
        <v>329</v>
      </c>
      <c r="D112" s="5">
        <v>17528.0</v>
      </c>
      <c r="E112" s="6">
        <f t="shared" si="1"/>
        <v>5</v>
      </c>
      <c r="F112" s="6">
        <f t="shared" si="2"/>
        <v>17059</v>
      </c>
      <c r="G112" s="6">
        <f t="shared" si="3"/>
        <v>26167</v>
      </c>
      <c r="H112" s="6" t="str">
        <f t="shared" si="4"/>
        <v>D</v>
      </c>
      <c r="I112" s="6" t="str">
        <f t="shared" si="5"/>
        <v>High ambition</v>
      </c>
      <c r="J112" s="6" t="str">
        <f t="shared" si="6"/>
        <v>High</v>
      </c>
      <c r="K112" s="6">
        <f t="shared" si="7"/>
        <v>3852631</v>
      </c>
      <c r="L112" s="6">
        <f t="shared" si="8"/>
        <v>435764.0069</v>
      </c>
    </row>
    <row r="113">
      <c r="A113" s="4" t="s">
        <v>330</v>
      </c>
      <c r="B113" s="4" t="s">
        <v>331</v>
      </c>
      <c r="C113" s="4" t="s">
        <v>332</v>
      </c>
      <c r="D113" s="5">
        <v>5442.0</v>
      </c>
      <c r="E113" s="6">
        <f t="shared" si="1"/>
        <v>2</v>
      </c>
      <c r="F113" s="6">
        <f t="shared" si="2"/>
        <v>76156</v>
      </c>
      <c r="G113" s="6">
        <f t="shared" si="3"/>
        <v>52420</v>
      </c>
      <c r="H113" s="6" t="str">
        <f t="shared" si="4"/>
        <v>G</v>
      </c>
      <c r="I113" s="6" t="str">
        <f t="shared" si="5"/>
        <v>Transformative change</v>
      </c>
      <c r="J113" s="6" t="str">
        <f t="shared" si="6"/>
        <v>High</v>
      </c>
      <c r="K113" s="6">
        <f t="shared" si="7"/>
        <v>1361758</v>
      </c>
      <c r="L113" s="6">
        <f t="shared" si="8"/>
        <v>306204.798</v>
      </c>
    </row>
    <row r="114">
      <c r="A114" s="4" t="s">
        <v>333</v>
      </c>
      <c r="B114" s="4" t="s">
        <v>334</v>
      </c>
      <c r="C114" s="4" t="s">
        <v>335</v>
      </c>
      <c r="D114" s="5">
        <v>92106.0</v>
      </c>
      <c r="E114" s="6">
        <f t="shared" si="1"/>
        <v>5</v>
      </c>
      <c r="F114" s="6">
        <f t="shared" si="2"/>
        <v>43093</v>
      </c>
      <c r="G114" s="6">
        <f t="shared" si="3"/>
        <v>38161</v>
      </c>
      <c r="H114" s="6" t="str">
        <f t="shared" si="4"/>
        <v>C</v>
      </c>
      <c r="I114" s="6" t="str">
        <f t="shared" si="5"/>
        <v>Transformative change</v>
      </c>
      <c r="J114" s="6" t="str">
        <f t="shared" si="6"/>
        <v>High</v>
      </c>
      <c r="K114" s="6">
        <f t="shared" si="7"/>
        <v>2793820</v>
      </c>
      <c r="L114" s="6">
        <f t="shared" si="8"/>
        <v>2201491.304</v>
      </c>
    </row>
    <row r="115">
      <c r="A115" s="4" t="s">
        <v>336</v>
      </c>
      <c r="B115" s="4" t="s">
        <v>337</v>
      </c>
      <c r="C115" s="4" t="s">
        <v>338</v>
      </c>
      <c r="D115" s="5">
        <v>16350.0</v>
      </c>
      <c r="E115" s="6">
        <f t="shared" si="1"/>
        <v>1</v>
      </c>
      <c r="F115" s="6">
        <f t="shared" si="2"/>
        <v>39305</v>
      </c>
      <c r="G115" s="6">
        <f t="shared" si="3"/>
        <v>33628</v>
      </c>
      <c r="H115" s="6" t="str">
        <f t="shared" si="4"/>
        <v>E</v>
      </c>
      <c r="I115" s="6" t="str">
        <f t="shared" si="5"/>
        <v>Transformative change</v>
      </c>
      <c r="J115" s="6" t="str">
        <f t="shared" si="6"/>
        <v>High</v>
      </c>
      <c r="K115" s="6">
        <f t="shared" si="7"/>
        <v>2969925</v>
      </c>
      <c r="L115" s="6">
        <f t="shared" si="8"/>
        <v>2471734.845</v>
      </c>
    </row>
    <row r="116">
      <c r="A116" s="4" t="s">
        <v>339</v>
      </c>
      <c r="B116" s="4" t="s">
        <v>340</v>
      </c>
      <c r="C116" s="4" t="s">
        <v>341</v>
      </c>
      <c r="D116" s="5">
        <v>76105.0</v>
      </c>
      <c r="E116" s="6">
        <f t="shared" si="1"/>
        <v>5</v>
      </c>
      <c r="F116" s="6">
        <f t="shared" si="2"/>
        <v>83644</v>
      </c>
      <c r="G116" s="6">
        <f t="shared" si="3"/>
        <v>61690</v>
      </c>
      <c r="H116" s="6" t="str">
        <f t="shared" si="4"/>
        <v>G</v>
      </c>
      <c r="I116" s="6" t="str">
        <f t="shared" si="5"/>
        <v>Transformative change</v>
      </c>
      <c r="J116" s="6" t="str">
        <f t="shared" si="6"/>
        <v>High</v>
      </c>
      <c r="K116" s="6">
        <f t="shared" si="7"/>
        <v>1317938</v>
      </c>
      <c r="L116" s="6">
        <f t="shared" si="8"/>
        <v>966060.2789</v>
      </c>
    </row>
    <row r="117">
      <c r="A117" s="4" t="s">
        <v>342</v>
      </c>
      <c r="B117" s="4" t="s">
        <v>343</v>
      </c>
      <c r="C117" s="4" t="s">
        <v>344</v>
      </c>
      <c r="D117" s="5">
        <v>7365.0</v>
      </c>
      <c r="E117" s="6">
        <f t="shared" si="1"/>
        <v>4</v>
      </c>
      <c r="F117" s="6">
        <f t="shared" si="2"/>
        <v>72175</v>
      </c>
      <c r="G117" s="6">
        <f t="shared" si="3"/>
        <v>59725</v>
      </c>
      <c r="H117" s="6" t="str">
        <f t="shared" si="4"/>
        <v>G</v>
      </c>
      <c r="I117" s="6" t="str">
        <f t="shared" si="5"/>
        <v>Transformative change</v>
      </c>
      <c r="J117" s="6" t="str">
        <f t="shared" si="6"/>
        <v>Medium</v>
      </c>
      <c r="K117" s="6">
        <f t="shared" si="7"/>
        <v>1620900</v>
      </c>
      <c r="L117" s="6">
        <f t="shared" si="8"/>
        <v>1469087.088</v>
      </c>
    </row>
    <row r="118">
      <c r="A118" s="4" t="s">
        <v>345</v>
      </c>
      <c r="B118" s="4" t="s">
        <v>346</v>
      </c>
      <c r="C118" s="4" t="s">
        <v>347</v>
      </c>
      <c r="D118" s="5">
        <v>328085.0</v>
      </c>
      <c r="E118" s="6">
        <f t="shared" si="1"/>
        <v>1</v>
      </c>
      <c r="F118" s="6">
        <f t="shared" si="2"/>
        <v>96804</v>
      </c>
      <c r="G118" s="6">
        <f t="shared" si="3"/>
        <v>53893</v>
      </c>
      <c r="H118" s="6" t="str">
        <f t="shared" si="4"/>
        <v>B</v>
      </c>
      <c r="I118" s="6" t="str">
        <f t="shared" si="5"/>
        <v>Transformative change</v>
      </c>
      <c r="J118" s="6" t="str">
        <f t="shared" si="6"/>
        <v>Low</v>
      </c>
      <c r="K118" s="6">
        <f t="shared" si="7"/>
        <v>2488315</v>
      </c>
      <c r="L118" s="6">
        <f t="shared" si="8"/>
        <v>437236.446</v>
      </c>
    </row>
    <row r="119">
      <c r="A119" s="4" t="s">
        <v>348</v>
      </c>
      <c r="B119" s="4" t="s">
        <v>349</v>
      </c>
      <c r="C119" s="4" t="s">
        <v>350</v>
      </c>
      <c r="D119" s="5">
        <v>20506.0</v>
      </c>
      <c r="E119" s="6">
        <f t="shared" si="1"/>
        <v>3</v>
      </c>
      <c r="F119" s="6">
        <f t="shared" si="2"/>
        <v>80259</v>
      </c>
      <c r="G119" s="6">
        <f t="shared" si="3"/>
        <v>10420</v>
      </c>
      <c r="H119" s="6" t="str">
        <f t="shared" si="4"/>
        <v>C</v>
      </c>
      <c r="I119" s="6" t="str">
        <f t="shared" si="5"/>
        <v>Transformative change</v>
      </c>
      <c r="J119" s="6" t="str">
        <f t="shared" si="6"/>
        <v>Medium</v>
      </c>
      <c r="K119" s="6">
        <f t="shared" si="7"/>
        <v>717012</v>
      </c>
      <c r="L119" s="6">
        <f t="shared" si="8"/>
        <v>404361.7184</v>
      </c>
    </row>
    <row r="120">
      <c r="A120" s="4" t="s">
        <v>351</v>
      </c>
      <c r="B120" s="4" t="s">
        <v>352</v>
      </c>
      <c r="C120" s="4" t="s">
        <v>353</v>
      </c>
      <c r="D120" s="5">
        <v>499358.0</v>
      </c>
      <c r="E120" s="6">
        <f t="shared" si="1"/>
        <v>1</v>
      </c>
      <c r="F120" s="6">
        <f t="shared" si="2"/>
        <v>81435</v>
      </c>
      <c r="G120" s="6">
        <f t="shared" si="3"/>
        <v>14346</v>
      </c>
      <c r="H120" s="6" t="str">
        <f t="shared" si="4"/>
        <v>A</v>
      </c>
      <c r="I120" s="6" t="str">
        <f t="shared" si="5"/>
        <v>High ambition</v>
      </c>
      <c r="J120" s="6" t="str">
        <f t="shared" si="6"/>
        <v>Medium</v>
      </c>
      <c r="K120" s="6">
        <f t="shared" si="7"/>
        <v>2978300</v>
      </c>
      <c r="L120" s="6">
        <f t="shared" si="8"/>
        <v>1532225.134</v>
      </c>
    </row>
    <row r="121">
      <c r="A121" s="4" t="s">
        <v>354</v>
      </c>
      <c r="B121" s="4" t="s">
        <v>355</v>
      </c>
      <c r="C121" s="4" t="s">
        <v>356</v>
      </c>
      <c r="D121" s="5">
        <v>11065.0</v>
      </c>
      <c r="E121" s="6">
        <f t="shared" si="1"/>
        <v>5</v>
      </c>
      <c r="F121" s="6">
        <f t="shared" si="2"/>
        <v>3597</v>
      </c>
      <c r="G121" s="6">
        <f t="shared" si="3"/>
        <v>24393</v>
      </c>
      <c r="H121" s="6" t="str">
        <f t="shared" si="4"/>
        <v>A</v>
      </c>
      <c r="I121" s="6" t="str">
        <f t="shared" si="5"/>
        <v>Transformative change</v>
      </c>
      <c r="J121" s="6" t="str">
        <f t="shared" si="6"/>
        <v>Low</v>
      </c>
      <c r="K121" s="6">
        <f t="shared" si="7"/>
        <v>2658144</v>
      </c>
      <c r="L121" s="6">
        <f t="shared" si="8"/>
        <v>2114942.467</v>
      </c>
    </row>
    <row r="122">
      <c r="A122" s="4" t="s">
        <v>357</v>
      </c>
      <c r="B122" s="4" t="s">
        <v>358</v>
      </c>
      <c r="C122" s="4" t="s">
        <v>359</v>
      </c>
      <c r="D122" s="5">
        <v>379611.0</v>
      </c>
      <c r="E122" s="6">
        <f t="shared" si="1"/>
        <v>5</v>
      </c>
      <c r="F122" s="6">
        <f t="shared" si="2"/>
        <v>10467</v>
      </c>
      <c r="G122" s="6">
        <f t="shared" si="3"/>
        <v>33036</v>
      </c>
      <c r="H122" s="6" t="str">
        <f t="shared" si="4"/>
        <v>C</v>
      </c>
      <c r="I122" s="6" t="str">
        <f t="shared" si="5"/>
        <v>Transformative change</v>
      </c>
      <c r="J122" s="6" t="str">
        <f t="shared" si="6"/>
        <v>Medium</v>
      </c>
      <c r="K122" s="6">
        <f t="shared" si="7"/>
        <v>2427071</v>
      </c>
      <c r="L122" s="6">
        <f t="shared" si="8"/>
        <v>1437746.327</v>
      </c>
    </row>
    <row r="123">
      <c r="A123" s="4" t="s">
        <v>360</v>
      </c>
      <c r="B123" s="4" t="s">
        <v>361</v>
      </c>
      <c r="C123" s="4" t="s">
        <v>362</v>
      </c>
      <c r="D123" s="5">
        <v>256106.0</v>
      </c>
      <c r="E123" s="6">
        <f t="shared" si="1"/>
        <v>5</v>
      </c>
      <c r="F123" s="6">
        <f t="shared" si="2"/>
        <v>39680</v>
      </c>
      <c r="G123" s="6">
        <f t="shared" si="3"/>
        <v>8346</v>
      </c>
      <c r="H123" s="6" t="str">
        <f t="shared" si="4"/>
        <v>D</v>
      </c>
      <c r="I123" s="6" t="str">
        <f t="shared" si="5"/>
        <v>Transformative change</v>
      </c>
      <c r="J123" s="6" t="str">
        <f t="shared" si="6"/>
        <v>Low</v>
      </c>
      <c r="K123" s="6">
        <f t="shared" si="7"/>
        <v>1746530</v>
      </c>
      <c r="L123" s="6">
        <f t="shared" si="8"/>
        <v>940445.9195</v>
      </c>
    </row>
    <row r="124">
      <c r="A124" s="4" t="s">
        <v>36</v>
      </c>
      <c r="B124" s="4" t="s">
        <v>363</v>
      </c>
      <c r="C124" s="4" t="s">
        <v>364</v>
      </c>
      <c r="D124" s="5">
        <v>886346.0</v>
      </c>
      <c r="E124" s="6">
        <f t="shared" si="1"/>
        <v>5</v>
      </c>
      <c r="F124" s="6">
        <f t="shared" si="2"/>
        <v>61642</v>
      </c>
      <c r="G124" s="6">
        <f t="shared" si="3"/>
        <v>41994</v>
      </c>
      <c r="H124" s="6" t="str">
        <f t="shared" si="4"/>
        <v>B</v>
      </c>
      <c r="I124" s="6" t="str">
        <f t="shared" si="5"/>
        <v>Transformative change</v>
      </c>
      <c r="J124" s="6" t="str">
        <f t="shared" si="6"/>
        <v>Low</v>
      </c>
      <c r="K124" s="6">
        <f t="shared" si="7"/>
        <v>188422</v>
      </c>
      <c r="L124" s="6">
        <f t="shared" si="8"/>
        <v>130760.8829</v>
      </c>
    </row>
    <row r="125">
      <c r="A125" s="4" t="s">
        <v>365</v>
      </c>
      <c r="B125" s="4" t="s">
        <v>366</v>
      </c>
      <c r="C125" s="4" t="s">
        <v>74</v>
      </c>
      <c r="D125" s="5">
        <v>89067.0</v>
      </c>
      <c r="E125" s="6">
        <f t="shared" si="1"/>
        <v>3</v>
      </c>
      <c r="F125" s="6">
        <f t="shared" si="2"/>
        <v>12280</v>
      </c>
      <c r="G125" s="6">
        <f t="shared" si="3"/>
        <v>11307</v>
      </c>
      <c r="H125" s="6" t="str">
        <f t="shared" si="4"/>
        <v>F</v>
      </c>
      <c r="I125" s="6" t="str">
        <f t="shared" si="5"/>
        <v>Transformative change</v>
      </c>
      <c r="J125" s="6" t="str">
        <f t="shared" si="6"/>
        <v>Medium</v>
      </c>
      <c r="K125" s="6">
        <f t="shared" si="7"/>
        <v>1114525</v>
      </c>
      <c r="L125" s="6">
        <f t="shared" si="8"/>
        <v>804014.7907</v>
      </c>
    </row>
    <row r="126">
      <c r="A126" s="4" t="s">
        <v>367</v>
      </c>
      <c r="B126" s="4" t="s">
        <v>368</v>
      </c>
      <c r="C126" s="4" t="s">
        <v>74</v>
      </c>
      <c r="D126" s="5">
        <v>8203.0</v>
      </c>
      <c r="E126" s="6">
        <f t="shared" si="1"/>
        <v>5</v>
      </c>
      <c r="F126" s="6">
        <f t="shared" si="2"/>
        <v>18698</v>
      </c>
      <c r="G126" s="6">
        <f t="shared" si="3"/>
        <v>32102</v>
      </c>
      <c r="H126" s="6" t="str">
        <f t="shared" si="4"/>
        <v>F</v>
      </c>
      <c r="I126" s="6" t="str">
        <f t="shared" si="5"/>
        <v>Transformative change</v>
      </c>
      <c r="J126" s="6" t="str">
        <f t="shared" si="6"/>
        <v>Medium</v>
      </c>
      <c r="K126" s="6">
        <f t="shared" si="7"/>
        <v>1252516</v>
      </c>
      <c r="L126" s="6">
        <f t="shared" si="8"/>
        <v>957461.7503</v>
      </c>
    </row>
    <row r="127">
      <c r="A127" s="4" t="s">
        <v>369</v>
      </c>
      <c r="B127" s="4" t="s">
        <v>370</v>
      </c>
      <c r="C127" s="4" t="s">
        <v>371</v>
      </c>
      <c r="D127" s="5">
        <v>13897.0</v>
      </c>
      <c r="E127" s="6">
        <f t="shared" si="1"/>
        <v>2</v>
      </c>
      <c r="F127" s="6">
        <f t="shared" si="2"/>
        <v>91246</v>
      </c>
      <c r="G127" s="6">
        <f t="shared" si="3"/>
        <v>12146</v>
      </c>
      <c r="H127" s="6" t="str">
        <f t="shared" si="4"/>
        <v>D</v>
      </c>
      <c r="I127" s="6" t="str">
        <f t="shared" si="5"/>
        <v>Transformative change</v>
      </c>
      <c r="J127" s="6" t="str">
        <f t="shared" si="6"/>
        <v>Medium</v>
      </c>
      <c r="K127" s="6">
        <f t="shared" si="7"/>
        <v>215337</v>
      </c>
      <c r="L127" s="6">
        <f t="shared" si="8"/>
        <v>168708.1782</v>
      </c>
    </row>
    <row r="128">
      <c r="A128" s="4" t="s">
        <v>372</v>
      </c>
      <c r="B128" s="4" t="s">
        <v>373</v>
      </c>
      <c r="C128" s="4" t="s">
        <v>374</v>
      </c>
      <c r="D128" s="5">
        <v>6842.0</v>
      </c>
      <c r="E128" s="6">
        <f t="shared" si="1"/>
        <v>5</v>
      </c>
      <c r="F128" s="6">
        <f t="shared" si="2"/>
        <v>48009</v>
      </c>
      <c r="G128" s="6">
        <f t="shared" si="3"/>
        <v>33458</v>
      </c>
      <c r="H128" s="6" t="str">
        <f t="shared" si="4"/>
        <v>E</v>
      </c>
      <c r="I128" s="6" t="str">
        <f t="shared" si="5"/>
        <v>High ambition</v>
      </c>
      <c r="J128" s="6" t="str">
        <f t="shared" si="6"/>
        <v>Medium</v>
      </c>
      <c r="K128" s="6">
        <f t="shared" si="7"/>
        <v>1640598</v>
      </c>
      <c r="L128" s="6">
        <f t="shared" si="8"/>
        <v>576642.242</v>
      </c>
    </row>
    <row r="129">
      <c r="A129" s="4" t="s">
        <v>375</v>
      </c>
      <c r="B129" s="4" t="s">
        <v>376</v>
      </c>
      <c r="C129" s="4" t="s">
        <v>74</v>
      </c>
      <c r="D129" s="5">
        <v>19601.0</v>
      </c>
      <c r="E129" s="6">
        <f t="shared" si="1"/>
        <v>2</v>
      </c>
      <c r="F129" s="6">
        <f t="shared" si="2"/>
        <v>70229</v>
      </c>
      <c r="G129" s="6">
        <f t="shared" si="3"/>
        <v>21256</v>
      </c>
      <c r="H129" s="6" t="str">
        <f t="shared" si="4"/>
        <v>B</v>
      </c>
      <c r="I129" s="6" t="str">
        <f t="shared" si="5"/>
        <v>Transformative change</v>
      </c>
      <c r="J129" s="6" t="str">
        <f t="shared" si="6"/>
        <v>Low</v>
      </c>
      <c r="K129" s="6">
        <f t="shared" si="7"/>
        <v>2376739</v>
      </c>
      <c r="L129" s="6">
        <f t="shared" si="8"/>
        <v>390894.9559</v>
      </c>
    </row>
    <row r="130">
      <c r="A130" s="4" t="s">
        <v>377</v>
      </c>
      <c r="B130" s="4" t="s">
        <v>378</v>
      </c>
      <c r="C130" s="4" t="s">
        <v>379</v>
      </c>
      <c r="D130" s="5">
        <v>19167.0</v>
      </c>
      <c r="E130" s="6">
        <f t="shared" si="1"/>
        <v>2</v>
      </c>
      <c r="F130" s="6">
        <f t="shared" si="2"/>
        <v>57658</v>
      </c>
      <c r="G130" s="6">
        <f t="shared" si="3"/>
        <v>33134</v>
      </c>
      <c r="H130" s="6" t="str">
        <f t="shared" si="4"/>
        <v>G</v>
      </c>
      <c r="I130" s="6" t="str">
        <f t="shared" si="5"/>
        <v>Transformative change</v>
      </c>
      <c r="J130" s="6" t="str">
        <f t="shared" si="6"/>
        <v>Low</v>
      </c>
      <c r="K130" s="6">
        <f t="shared" si="7"/>
        <v>2772692</v>
      </c>
      <c r="L130" s="6">
        <f t="shared" si="8"/>
        <v>2135095.507</v>
      </c>
    </row>
    <row r="131">
      <c r="A131" s="4" t="s">
        <v>380</v>
      </c>
      <c r="B131" s="4" t="s">
        <v>381</v>
      </c>
      <c r="C131" s="4" t="s">
        <v>382</v>
      </c>
      <c r="D131" s="5">
        <v>51943.0</v>
      </c>
      <c r="E131" s="6">
        <f t="shared" si="1"/>
        <v>2</v>
      </c>
      <c r="F131" s="6">
        <f t="shared" si="2"/>
        <v>93361</v>
      </c>
      <c r="G131" s="6">
        <f t="shared" si="3"/>
        <v>15629</v>
      </c>
      <c r="H131" s="6" t="str">
        <f t="shared" si="4"/>
        <v>B</v>
      </c>
      <c r="I131" s="6" t="str">
        <f t="shared" si="5"/>
        <v>Transformative change</v>
      </c>
      <c r="J131" s="6" t="str">
        <f t="shared" si="6"/>
        <v>High</v>
      </c>
      <c r="K131" s="6">
        <f t="shared" si="7"/>
        <v>837731</v>
      </c>
      <c r="L131" s="6">
        <f t="shared" si="8"/>
        <v>224863.7065</v>
      </c>
    </row>
    <row r="132">
      <c r="A132" s="4" t="s">
        <v>383</v>
      </c>
      <c r="B132" s="4" t="s">
        <v>384</v>
      </c>
      <c r="C132" s="4" t="s">
        <v>385</v>
      </c>
      <c r="D132" s="5">
        <v>31956.0</v>
      </c>
      <c r="E132" s="6">
        <f t="shared" si="1"/>
        <v>5</v>
      </c>
      <c r="F132" s="6">
        <f t="shared" si="2"/>
        <v>39966</v>
      </c>
      <c r="G132" s="6">
        <f t="shared" si="3"/>
        <v>43137</v>
      </c>
      <c r="H132" s="6" t="str">
        <f t="shared" si="4"/>
        <v>G</v>
      </c>
      <c r="I132" s="6" t="str">
        <f t="shared" si="5"/>
        <v>High ambition</v>
      </c>
      <c r="J132" s="6" t="str">
        <f t="shared" si="6"/>
        <v>High</v>
      </c>
      <c r="K132" s="6">
        <f t="shared" si="7"/>
        <v>1348255</v>
      </c>
      <c r="L132" s="6">
        <f t="shared" si="8"/>
        <v>1333992.529</v>
      </c>
    </row>
    <row r="133">
      <c r="A133" s="4" t="s">
        <v>386</v>
      </c>
      <c r="B133" s="4" t="s">
        <v>387</v>
      </c>
      <c r="C133" s="4" t="s">
        <v>388</v>
      </c>
      <c r="D133" s="5">
        <v>11874.0</v>
      </c>
      <c r="E133" s="6">
        <f t="shared" si="1"/>
        <v>3</v>
      </c>
      <c r="F133" s="6">
        <f t="shared" si="2"/>
        <v>37879</v>
      </c>
      <c r="G133" s="6">
        <f t="shared" si="3"/>
        <v>17210</v>
      </c>
      <c r="H133" s="6" t="str">
        <f t="shared" si="4"/>
        <v>F</v>
      </c>
      <c r="I133" s="6" t="str">
        <f t="shared" si="5"/>
        <v>Transformative change</v>
      </c>
      <c r="J133" s="6" t="str">
        <f t="shared" si="6"/>
        <v>Medium</v>
      </c>
      <c r="K133" s="6">
        <f t="shared" si="7"/>
        <v>688195</v>
      </c>
      <c r="L133" s="6">
        <f t="shared" si="8"/>
        <v>274995.2953</v>
      </c>
    </row>
    <row r="134">
      <c r="A134" s="4" t="s">
        <v>389</v>
      </c>
      <c r="B134" s="4" t="s">
        <v>390</v>
      </c>
      <c r="C134" s="4" t="s">
        <v>391</v>
      </c>
      <c r="D134" s="5">
        <v>9081.0</v>
      </c>
      <c r="E134" s="6">
        <f t="shared" si="1"/>
        <v>5</v>
      </c>
      <c r="F134" s="6">
        <f t="shared" si="2"/>
        <v>74461</v>
      </c>
      <c r="G134" s="6">
        <f t="shared" si="3"/>
        <v>67119</v>
      </c>
      <c r="H134" s="6" t="str">
        <f t="shared" si="4"/>
        <v>F</v>
      </c>
      <c r="I134" s="6" t="str">
        <f t="shared" si="5"/>
        <v>Transformative change</v>
      </c>
      <c r="J134" s="6" t="str">
        <f t="shared" si="6"/>
        <v>High</v>
      </c>
      <c r="K134" s="6">
        <f t="shared" si="7"/>
        <v>279804</v>
      </c>
      <c r="L134" s="6">
        <f t="shared" si="8"/>
        <v>207954.1872</v>
      </c>
    </row>
    <row r="135">
      <c r="A135" s="4" t="s">
        <v>392</v>
      </c>
      <c r="B135" s="4" t="s">
        <v>393</v>
      </c>
      <c r="C135" s="4" t="s">
        <v>394</v>
      </c>
      <c r="D135" s="5">
        <v>11966.0</v>
      </c>
      <c r="E135" s="6">
        <f t="shared" si="1"/>
        <v>5</v>
      </c>
      <c r="F135" s="6">
        <f t="shared" si="2"/>
        <v>51689</v>
      </c>
      <c r="G135" s="6">
        <f t="shared" si="3"/>
        <v>40254</v>
      </c>
      <c r="H135" s="6" t="str">
        <f t="shared" si="4"/>
        <v>D</v>
      </c>
      <c r="I135" s="6" t="str">
        <f t="shared" si="5"/>
        <v>High ambition</v>
      </c>
      <c r="J135" s="6" t="str">
        <f t="shared" si="6"/>
        <v>Medium</v>
      </c>
      <c r="K135" s="6">
        <f t="shared" si="7"/>
        <v>3451499</v>
      </c>
      <c r="L135" s="6">
        <f t="shared" si="8"/>
        <v>590995.5497</v>
      </c>
    </row>
    <row r="136">
      <c r="A136" s="4" t="s">
        <v>395</v>
      </c>
      <c r="B136" s="4" t="s">
        <v>396</v>
      </c>
      <c r="C136" s="4" t="s">
        <v>397</v>
      </c>
      <c r="D136" s="5">
        <v>16095.0</v>
      </c>
      <c r="E136" s="6">
        <f t="shared" si="1"/>
        <v>2</v>
      </c>
      <c r="F136" s="6">
        <f t="shared" si="2"/>
        <v>40292</v>
      </c>
      <c r="G136" s="6">
        <f t="shared" si="3"/>
        <v>3176</v>
      </c>
      <c r="H136" s="6" t="str">
        <f t="shared" si="4"/>
        <v>B</v>
      </c>
      <c r="I136" s="6" t="str">
        <f t="shared" si="5"/>
        <v>High ambition</v>
      </c>
      <c r="J136" s="6" t="str">
        <f t="shared" si="6"/>
        <v>Low</v>
      </c>
      <c r="K136" s="6">
        <f t="shared" si="7"/>
        <v>3059515</v>
      </c>
      <c r="L136" s="6">
        <f t="shared" si="8"/>
        <v>1107122.146</v>
      </c>
    </row>
    <row r="137">
      <c r="A137" s="4" t="s">
        <v>398</v>
      </c>
      <c r="B137" s="4" t="s">
        <v>399</v>
      </c>
      <c r="C137" s="4" t="s">
        <v>74</v>
      </c>
      <c r="D137" s="5">
        <v>85484.0</v>
      </c>
      <c r="E137" s="6">
        <f t="shared" si="1"/>
        <v>5</v>
      </c>
      <c r="F137" s="6">
        <f t="shared" si="2"/>
        <v>40882</v>
      </c>
      <c r="G137" s="6">
        <f t="shared" si="3"/>
        <v>13870</v>
      </c>
      <c r="H137" s="6" t="str">
        <f t="shared" si="4"/>
        <v>E</v>
      </c>
      <c r="I137" s="6" t="str">
        <f t="shared" si="5"/>
        <v>High ambition</v>
      </c>
      <c r="J137" s="6" t="str">
        <f t="shared" si="6"/>
        <v>High</v>
      </c>
      <c r="K137" s="6">
        <f t="shared" si="7"/>
        <v>3810074</v>
      </c>
      <c r="L137" s="6">
        <f t="shared" si="8"/>
        <v>3379365.776</v>
      </c>
    </row>
    <row r="138">
      <c r="A138" s="4" t="s">
        <v>400</v>
      </c>
      <c r="B138" s="4" t="s">
        <v>401</v>
      </c>
      <c r="C138" s="4" t="s">
        <v>402</v>
      </c>
      <c r="D138" s="5">
        <v>17580.0</v>
      </c>
      <c r="E138" s="6">
        <f t="shared" si="1"/>
        <v>4</v>
      </c>
      <c r="F138" s="6">
        <f t="shared" si="2"/>
        <v>67089</v>
      </c>
      <c r="G138" s="6">
        <f t="shared" si="3"/>
        <v>9080</v>
      </c>
      <c r="H138" s="6" t="str">
        <f t="shared" si="4"/>
        <v>C</v>
      </c>
      <c r="I138" s="6" t="str">
        <f t="shared" si="5"/>
        <v>Transformative change</v>
      </c>
      <c r="J138" s="6" t="str">
        <f t="shared" si="6"/>
        <v>Low</v>
      </c>
      <c r="K138" s="6">
        <f t="shared" si="7"/>
        <v>1458780</v>
      </c>
      <c r="L138" s="6">
        <f t="shared" si="8"/>
        <v>1207659.037</v>
      </c>
    </row>
    <row r="139">
      <c r="A139" s="4" t="s">
        <v>403</v>
      </c>
      <c r="B139" s="4" t="s">
        <v>404</v>
      </c>
      <c r="C139" s="4" t="s">
        <v>405</v>
      </c>
      <c r="D139" s="5">
        <v>11812.0</v>
      </c>
      <c r="E139" s="6">
        <f t="shared" si="1"/>
        <v>5</v>
      </c>
      <c r="F139" s="6">
        <f t="shared" si="2"/>
        <v>18189</v>
      </c>
      <c r="G139" s="6">
        <f t="shared" si="3"/>
        <v>1554</v>
      </c>
      <c r="H139" s="6" t="str">
        <f t="shared" si="4"/>
        <v>B</v>
      </c>
      <c r="I139" s="6" t="str">
        <f t="shared" si="5"/>
        <v>Transformative change</v>
      </c>
      <c r="J139" s="6" t="str">
        <f t="shared" si="6"/>
        <v>Low</v>
      </c>
      <c r="K139" s="6">
        <f t="shared" si="7"/>
        <v>453972</v>
      </c>
      <c r="L139" s="6">
        <f t="shared" si="8"/>
        <v>179220.9672</v>
      </c>
    </row>
    <row r="140">
      <c r="A140" s="4" t="s">
        <v>406</v>
      </c>
      <c r="B140" s="4" t="s">
        <v>407</v>
      </c>
      <c r="C140" s="4" t="s">
        <v>408</v>
      </c>
      <c r="D140" s="5">
        <v>15360.0</v>
      </c>
      <c r="E140" s="6">
        <f t="shared" si="1"/>
        <v>1</v>
      </c>
      <c r="F140" s="6">
        <f t="shared" si="2"/>
        <v>9269</v>
      </c>
      <c r="G140" s="6">
        <f t="shared" si="3"/>
        <v>73208</v>
      </c>
      <c r="H140" s="6" t="str">
        <f t="shared" si="4"/>
        <v>G</v>
      </c>
      <c r="I140" s="6" t="str">
        <f t="shared" si="5"/>
        <v>Transformative change</v>
      </c>
      <c r="J140" s="6" t="str">
        <f t="shared" si="6"/>
        <v>Low</v>
      </c>
      <c r="K140" s="6">
        <f t="shared" si="7"/>
        <v>2100747</v>
      </c>
      <c r="L140" s="6">
        <f t="shared" si="8"/>
        <v>1162962.129</v>
      </c>
    </row>
    <row r="141">
      <c r="A141" s="4" t="s">
        <v>409</v>
      </c>
      <c r="B141" s="4" t="s">
        <v>410</v>
      </c>
      <c r="C141" s="4" t="s">
        <v>411</v>
      </c>
      <c r="D141" s="5">
        <v>14865.0</v>
      </c>
      <c r="E141" s="6">
        <f t="shared" si="1"/>
        <v>3</v>
      </c>
      <c r="F141" s="6">
        <f t="shared" si="2"/>
        <v>87388</v>
      </c>
      <c r="G141" s="6">
        <f t="shared" si="3"/>
        <v>8407</v>
      </c>
      <c r="H141" s="6" t="str">
        <f t="shared" si="4"/>
        <v>D</v>
      </c>
      <c r="I141" s="6" t="str">
        <f t="shared" si="5"/>
        <v>Transformative change</v>
      </c>
      <c r="J141" s="6" t="str">
        <f t="shared" si="6"/>
        <v>Medium</v>
      </c>
      <c r="K141" s="6">
        <f t="shared" si="7"/>
        <v>3232376</v>
      </c>
      <c r="L141" s="6">
        <f t="shared" si="8"/>
        <v>2953803.302</v>
      </c>
    </row>
    <row r="142">
      <c r="A142" s="4" t="s">
        <v>412</v>
      </c>
      <c r="B142" s="4" t="s">
        <v>413</v>
      </c>
      <c r="C142" s="4" t="s">
        <v>414</v>
      </c>
      <c r="D142" s="5">
        <v>10659.0</v>
      </c>
      <c r="E142" s="6">
        <f t="shared" si="1"/>
        <v>4</v>
      </c>
      <c r="F142" s="6">
        <f t="shared" si="2"/>
        <v>50791</v>
      </c>
      <c r="G142" s="6">
        <f t="shared" si="3"/>
        <v>24136</v>
      </c>
      <c r="H142" s="6" t="str">
        <f t="shared" si="4"/>
        <v>D</v>
      </c>
      <c r="I142" s="6" t="str">
        <f t="shared" si="5"/>
        <v>Transformative change</v>
      </c>
      <c r="J142" s="6" t="str">
        <f t="shared" si="6"/>
        <v>Medium</v>
      </c>
      <c r="K142" s="6">
        <f t="shared" si="7"/>
        <v>2805820</v>
      </c>
      <c r="L142" s="6">
        <f t="shared" si="8"/>
        <v>1071568.257</v>
      </c>
    </row>
    <row r="143">
      <c r="A143" s="4" t="s">
        <v>415</v>
      </c>
      <c r="B143" s="4" t="s">
        <v>416</v>
      </c>
      <c r="C143" s="4" t="s">
        <v>77</v>
      </c>
      <c r="D143" s="5">
        <v>14805.0</v>
      </c>
      <c r="E143" s="6">
        <f t="shared" si="1"/>
        <v>1</v>
      </c>
      <c r="F143" s="6">
        <f t="shared" si="2"/>
        <v>14647</v>
      </c>
      <c r="G143" s="6">
        <f t="shared" si="3"/>
        <v>95</v>
      </c>
      <c r="H143" s="6" t="str">
        <f t="shared" si="4"/>
        <v>A</v>
      </c>
      <c r="I143" s="6" t="str">
        <f t="shared" si="5"/>
        <v>Transformative change</v>
      </c>
      <c r="J143" s="6" t="str">
        <f t="shared" si="6"/>
        <v>High</v>
      </c>
      <c r="K143" s="6">
        <f t="shared" si="7"/>
        <v>2948087</v>
      </c>
      <c r="L143" s="6">
        <f t="shared" si="8"/>
        <v>983466.9394</v>
      </c>
    </row>
    <row r="144">
      <c r="A144" s="4" t="s">
        <v>417</v>
      </c>
      <c r="B144" s="4" t="s">
        <v>418</v>
      </c>
      <c r="C144" s="4" t="s">
        <v>419</v>
      </c>
      <c r="D144" s="5">
        <v>15023.0</v>
      </c>
      <c r="E144" s="6">
        <f t="shared" si="1"/>
        <v>1</v>
      </c>
      <c r="F144" s="6">
        <f t="shared" si="2"/>
        <v>39345</v>
      </c>
      <c r="G144" s="6">
        <f t="shared" si="3"/>
        <v>38804</v>
      </c>
      <c r="H144" s="6" t="str">
        <f t="shared" si="4"/>
        <v>D</v>
      </c>
      <c r="I144" s="6" t="str">
        <f t="shared" si="5"/>
        <v>Transformative change</v>
      </c>
      <c r="J144" s="6" t="str">
        <f t="shared" si="6"/>
        <v>Low</v>
      </c>
      <c r="K144" s="6">
        <f t="shared" si="7"/>
        <v>3850125</v>
      </c>
      <c r="L144" s="6">
        <f t="shared" si="8"/>
        <v>1190589.123</v>
      </c>
    </row>
    <row r="145">
      <c r="A145" s="4" t="s">
        <v>420</v>
      </c>
      <c r="B145" s="4" t="s">
        <v>421</v>
      </c>
      <c r="C145" s="4" t="s">
        <v>74</v>
      </c>
      <c r="D145" s="5">
        <v>9864.0</v>
      </c>
      <c r="E145" s="6">
        <f t="shared" si="1"/>
        <v>5</v>
      </c>
      <c r="F145" s="6">
        <f t="shared" si="2"/>
        <v>3826</v>
      </c>
      <c r="G145" s="6">
        <f t="shared" si="3"/>
        <v>49561</v>
      </c>
      <c r="H145" s="6" t="str">
        <f t="shared" si="4"/>
        <v>A</v>
      </c>
      <c r="I145" s="6" t="str">
        <f t="shared" si="5"/>
        <v>High ambition</v>
      </c>
      <c r="J145" s="6" t="str">
        <f t="shared" si="6"/>
        <v>High</v>
      </c>
      <c r="K145" s="6">
        <f t="shared" si="7"/>
        <v>814981</v>
      </c>
      <c r="L145" s="6">
        <f t="shared" si="8"/>
        <v>396155.4397</v>
      </c>
    </row>
    <row r="146">
      <c r="A146" s="4" t="s">
        <v>422</v>
      </c>
      <c r="B146" s="4" t="s">
        <v>423</v>
      </c>
      <c r="C146" s="4" t="s">
        <v>424</v>
      </c>
      <c r="D146" s="5">
        <v>7851.0</v>
      </c>
      <c r="E146" s="6">
        <f t="shared" si="1"/>
        <v>4</v>
      </c>
      <c r="F146" s="6">
        <f t="shared" si="2"/>
        <v>49000</v>
      </c>
      <c r="G146" s="6">
        <f t="shared" si="3"/>
        <v>25239</v>
      </c>
      <c r="H146" s="6" t="str">
        <f t="shared" si="4"/>
        <v>E</v>
      </c>
      <c r="I146" s="6" t="str">
        <f t="shared" si="5"/>
        <v>Transformative change</v>
      </c>
      <c r="J146" s="6" t="str">
        <f t="shared" si="6"/>
        <v>High</v>
      </c>
      <c r="K146" s="6">
        <f t="shared" si="7"/>
        <v>676954</v>
      </c>
      <c r="L146" s="6">
        <f t="shared" si="8"/>
        <v>292064.7458</v>
      </c>
    </row>
    <row r="147">
      <c r="A147" s="4" t="s">
        <v>425</v>
      </c>
      <c r="B147" s="4" t="s">
        <v>426</v>
      </c>
      <c r="C147" s="4" t="s">
        <v>427</v>
      </c>
      <c r="D147" s="5">
        <v>11688.0</v>
      </c>
      <c r="E147" s="6">
        <f t="shared" si="1"/>
        <v>2</v>
      </c>
      <c r="F147" s="6">
        <f t="shared" si="2"/>
        <v>78709</v>
      </c>
      <c r="G147" s="6">
        <f t="shared" si="3"/>
        <v>52961</v>
      </c>
      <c r="H147" s="6" t="str">
        <f t="shared" si="4"/>
        <v>E</v>
      </c>
      <c r="I147" s="6" t="str">
        <f t="shared" si="5"/>
        <v>Transformative change</v>
      </c>
      <c r="J147" s="6" t="str">
        <f t="shared" si="6"/>
        <v>Low</v>
      </c>
      <c r="K147" s="6">
        <f t="shared" si="7"/>
        <v>558433</v>
      </c>
      <c r="L147" s="6">
        <f t="shared" si="8"/>
        <v>497218.8852</v>
      </c>
    </row>
    <row r="148">
      <c r="A148" s="4" t="s">
        <v>428</v>
      </c>
      <c r="B148" s="4" t="s">
        <v>429</v>
      </c>
      <c r="C148" s="4" t="s">
        <v>430</v>
      </c>
      <c r="D148" s="5">
        <v>9702.0</v>
      </c>
      <c r="E148" s="6">
        <f t="shared" si="1"/>
        <v>4</v>
      </c>
      <c r="F148" s="6">
        <f t="shared" si="2"/>
        <v>64287</v>
      </c>
      <c r="G148" s="6">
        <f t="shared" si="3"/>
        <v>47922</v>
      </c>
      <c r="H148" s="6" t="str">
        <f t="shared" si="4"/>
        <v>D</v>
      </c>
      <c r="I148" s="6" t="str">
        <f t="shared" si="5"/>
        <v>Transformative change</v>
      </c>
      <c r="J148" s="6" t="str">
        <f t="shared" si="6"/>
        <v>Medium</v>
      </c>
      <c r="K148" s="6">
        <f t="shared" si="7"/>
        <v>3601175</v>
      </c>
      <c r="L148" s="6">
        <f t="shared" si="8"/>
        <v>2205073.305</v>
      </c>
    </row>
    <row r="149">
      <c r="A149" s="4" t="s">
        <v>431</v>
      </c>
      <c r="B149" s="4" t="s">
        <v>432</v>
      </c>
      <c r="C149" s="4" t="s">
        <v>433</v>
      </c>
      <c r="D149" s="5">
        <v>12739.0</v>
      </c>
      <c r="E149" s="6">
        <f t="shared" si="1"/>
        <v>1</v>
      </c>
      <c r="F149" s="6">
        <f t="shared" si="2"/>
        <v>81192</v>
      </c>
      <c r="G149" s="6">
        <f t="shared" si="3"/>
        <v>25560</v>
      </c>
      <c r="H149" s="6" t="str">
        <f t="shared" si="4"/>
        <v>A</v>
      </c>
      <c r="I149" s="6" t="str">
        <f t="shared" si="5"/>
        <v>Transformative change</v>
      </c>
      <c r="J149" s="6" t="str">
        <f t="shared" si="6"/>
        <v>Low</v>
      </c>
      <c r="K149" s="6">
        <f t="shared" si="7"/>
        <v>778706</v>
      </c>
      <c r="L149" s="6">
        <f t="shared" si="8"/>
        <v>365956.6822</v>
      </c>
    </row>
    <row r="150">
      <c r="A150" s="4" t="s">
        <v>434</v>
      </c>
      <c r="B150" s="4" t="s">
        <v>435</v>
      </c>
      <c r="C150" s="4" t="s">
        <v>74</v>
      </c>
      <c r="D150" s="5">
        <v>154600.0</v>
      </c>
      <c r="E150" s="6">
        <f t="shared" si="1"/>
        <v>5</v>
      </c>
      <c r="F150" s="6">
        <f t="shared" si="2"/>
        <v>10734</v>
      </c>
      <c r="G150" s="6">
        <f t="shared" si="3"/>
        <v>31196</v>
      </c>
      <c r="H150" s="6" t="str">
        <f t="shared" si="4"/>
        <v>E</v>
      </c>
      <c r="I150" s="6" t="str">
        <f t="shared" si="5"/>
        <v>Transformative change</v>
      </c>
      <c r="J150" s="6" t="str">
        <f t="shared" si="6"/>
        <v>High</v>
      </c>
      <c r="K150" s="6">
        <f t="shared" si="7"/>
        <v>3326599</v>
      </c>
      <c r="L150" s="6">
        <f t="shared" si="8"/>
        <v>1246604.445</v>
      </c>
    </row>
    <row r="151">
      <c r="A151" s="4" t="s">
        <v>436</v>
      </c>
      <c r="B151" s="4" t="s">
        <v>437</v>
      </c>
      <c r="C151" s="4" t="s">
        <v>438</v>
      </c>
      <c r="D151" s="5">
        <v>5165.0</v>
      </c>
      <c r="E151" s="6">
        <f t="shared" si="1"/>
        <v>5</v>
      </c>
      <c r="F151" s="6">
        <f t="shared" si="2"/>
        <v>40412</v>
      </c>
      <c r="G151" s="6">
        <f t="shared" si="3"/>
        <v>15072</v>
      </c>
      <c r="H151" s="6" t="str">
        <f t="shared" si="4"/>
        <v>B</v>
      </c>
      <c r="I151" s="6" t="str">
        <f t="shared" si="5"/>
        <v>Transformative change</v>
      </c>
      <c r="J151" s="6" t="str">
        <f t="shared" si="6"/>
        <v>Medium</v>
      </c>
      <c r="K151" s="6">
        <f t="shared" si="7"/>
        <v>1437313</v>
      </c>
      <c r="L151" s="6">
        <f t="shared" si="8"/>
        <v>1067467.045</v>
      </c>
    </row>
    <row r="152">
      <c r="A152" s="4" t="s">
        <v>439</v>
      </c>
      <c r="B152" s="4" t="s">
        <v>440</v>
      </c>
      <c r="C152" s="4" t="s">
        <v>74</v>
      </c>
      <c r="D152" s="5">
        <v>18218.0</v>
      </c>
      <c r="E152" s="6">
        <f t="shared" si="1"/>
        <v>1</v>
      </c>
      <c r="F152" s="6">
        <f t="shared" si="2"/>
        <v>82844</v>
      </c>
      <c r="G152" s="6">
        <f t="shared" si="3"/>
        <v>6327</v>
      </c>
      <c r="H152" s="6" t="str">
        <f t="shared" si="4"/>
        <v>D</v>
      </c>
      <c r="I152" s="6" t="str">
        <f t="shared" si="5"/>
        <v>Transformative change</v>
      </c>
      <c r="J152" s="6" t="str">
        <f t="shared" si="6"/>
        <v>Medium</v>
      </c>
      <c r="K152" s="6">
        <f t="shared" si="7"/>
        <v>3056338</v>
      </c>
      <c r="L152" s="6">
        <f t="shared" si="8"/>
        <v>1572248.931</v>
      </c>
    </row>
    <row r="153">
      <c r="A153" s="4" t="s">
        <v>441</v>
      </c>
      <c r="B153" s="4" t="s">
        <v>442</v>
      </c>
      <c r="C153" s="4" t="s">
        <v>74</v>
      </c>
      <c r="D153" s="5">
        <v>5862.0</v>
      </c>
      <c r="E153" s="6">
        <f t="shared" si="1"/>
        <v>4</v>
      </c>
      <c r="F153" s="6">
        <f t="shared" si="2"/>
        <v>79826</v>
      </c>
      <c r="G153" s="6">
        <f t="shared" si="3"/>
        <v>51720</v>
      </c>
      <c r="H153" s="6" t="str">
        <f t="shared" si="4"/>
        <v>G</v>
      </c>
      <c r="I153" s="6" t="str">
        <f t="shared" si="5"/>
        <v>Transformative change</v>
      </c>
      <c r="J153" s="6" t="str">
        <f t="shared" si="6"/>
        <v>Low</v>
      </c>
      <c r="K153" s="6">
        <f t="shared" si="7"/>
        <v>2686350</v>
      </c>
      <c r="L153" s="6">
        <f t="shared" si="8"/>
        <v>2641895.265</v>
      </c>
    </row>
    <row r="154">
      <c r="A154" s="4" t="s">
        <v>443</v>
      </c>
      <c r="B154" s="4" t="s">
        <v>444</v>
      </c>
      <c r="C154" s="4" t="s">
        <v>74</v>
      </c>
      <c r="D154" s="5">
        <v>93321.0</v>
      </c>
      <c r="E154" s="6">
        <f t="shared" si="1"/>
        <v>2</v>
      </c>
      <c r="F154" s="6">
        <f t="shared" si="2"/>
        <v>46512</v>
      </c>
      <c r="G154" s="6">
        <f t="shared" si="3"/>
        <v>30854</v>
      </c>
      <c r="H154" s="6" t="str">
        <f t="shared" si="4"/>
        <v>F</v>
      </c>
      <c r="I154" s="6" t="str">
        <f t="shared" si="5"/>
        <v>Transformative change</v>
      </c>
      <c r="J154" s="6" t="str">
        <f t="shared" si="6"/>
        <v>High</v>
      </c>
      <c r="K154" s="6">
        <f t="shared" si="7"/>
        <v>376107</v>
      </c>
      <c r="L154" s="6">
        <f t="shared" si="8"/>
        <v>352196.2067</v>
      </c>
    </row>
    <row r="155">
      <c r="A155" s="4" t="s">
        <v>445</v>
      </c>
      <c r="B155" s="4" t="s">
        <v>446</v>
      </c>
      <c r="C155" s="4" t="s">
        <v>447</v>
      </c>
      <c r="D155" s="5">
        <v>15811.0</v>
      </c>
      <c r="E155" s="6">
        <f t="shared" si="1"/>
        <v>5</v>
      </c>
      <c r="F155" s="6">
        <f t="shared" si="2"/>
        <v>9223</v>
      </c>
      <c r="G155" s="6">
        <f t="shared" si="3"/>
        <v>39317</v>
      </c>
      <c r="H155" s="6" t="str">
        <f t="shared" si="4"/>
        <v>F</v>
      </c>
      <c r="I155" s="6" t="str">
        <f t="shared" si="5"/>
        <v>Transformative change</v>
      </c>
      <c r="J155" s="6" t="str">
        <f t="shared" si="6"/>
        <v>Low</v>
      </c>
      <c r="K155" s="6">
        <f t="shared" si="7"/>
        <v>1980791</v>
      </c>
      <c r="L155" s="6">
        <f t="shared" si="8"/>
        <v>1702385.456</v>
      </c>
    </row>
    <row r="156">
      <c r="A156" s="4" t="s">
        <v>448</v>
      </c>
      <c r="B156" s="4" t="s">
        <v>449</v>
      </c>
      <c r="C156" s="4" t="s">
        <v>450</v>
      </c>
      <c r="D156" s="5">
        <v>237720.0</v>
      </c>
      <c r="E156" s="6">
        <f t="shared" si="1"/>
        <v>2</v>
      </c>
      <c r="F156" s="6">
        <f t="shared" si="2"/>
        <v>14901</v>
      </c>
      <c r="G156" s="6">
        <f t="shared" si="3"/>
        <v>22265</v>
      </c>
      <c r="H156" s="6" t="str">
        <f t="shared" si="4"/>
        <v>F</v>
      </c>
      <c r="I156" s="6" t="str">
        <f t="shared" si="5"/>
        <v>Transformative change</v>
      </c>
      <c r="J156" s="6" t="str">
        <f t="shared" si="6"/>
        <v>Low</v>
      </c>
      <c r="K156" s="6">
        <f t="shared" si="7"/>
        <v>90519</v>
      </c>
      <c r="L156" s="6">
        <f t="shared" si="8"/>
        <v>19392.50759</v>
      </c>
    </row>
    <row r="157">
      <c r="A157" s="4" t="s">
        <v>451</v>
      </c>
      <c r="B157" s="4" t="s">
        <v>452</v>
      </c>
      <c r="C157" s="4" t="s">
        <v>453</v>
      </c>
      <c r="D157" s="5">
        <v>10402.0</v>
      </c>
      <c r="E157" s="6">
        <f t="shared" si="1"/>
        <v>3</v>
      </c>
      <c r="F157" s="6">
        <f t="shared" si="2"/>
        <v>22701</v>
      </c>
      <c r="G157" s="6">
        <f t="shared" si="3"/>
        <v>66094</v>
      </c>
      <c r="H157" s="6" t="str">
        <f t="shared" si="4"/>
        <v>F</v>
      </c>
      <c r="I157" s="6" t="str">
        <f t="shared" si="5"/>
        <v>Transformative change</v>
      </c>
      <c r="J157" s="6" t="str">
        <f t="shared" si="6"/>
        <v>Low</v>
      </c>
      <c r="K157" s="6">
        <f t="shared" si="7"/>
        <v>3333758</v>
      </c>
      <c r="L157" s="6">
        <f t="shared" si="8"/>
        <v>126992.0441</v>
      </c>
    </row>
    <row r="158">
      <c r="A158" s="4" t="s">
        <v>454</v>
      </c>
      <c r="B158" s="4" t="s">
        <v>421</v>
      </c>
      <c r="C158" s="4" t="s">
        <v>455</v>
      </c>
      <c r="D158" s="5">
        <v>7333.0</v>
      </c>
      <c r="E158" s="6">
        <f t="shared" si="1"/>
        <v>2</v>
      </c>
      <c r="F158" s="6">
        <f t="shared" si="2"/>
        <v>2751</v>
      </c>
      <c r="G158" s="6">
        <f t="shared" si="3"/>
        <v>8453</v>
      </c>
      <c r="H158" s="6" t="str">
        <f t="shared" si="4"/>
        <v>D</v>
      </c>
      <c r="I158" s="6" t="str">
        <f t="shared" si="5"/>
        <v>Transformative change</v>
      </c>
      <c r="J158" s="6" t="str">
        <f t="shared" si="6"/>
        <v>High</v>
      </c>
      <c r="K158" s="6">
        <f t="shared" si="7"/>
        <v>592327</v>
      </c>
      <c r="L158" s="6">
        <f t="shared" si="8"/>
        <v>220079.5188</v>
      </c>
    </row>
    <row r="159">
      <c r="A159" s="4" t="s">
        <v>456</v>
      </c>
      <c r="B159" s="4" t="s">
        <v>457</v>
      </c>
      <c r="C159" s="4" t="s">
        <v>458</v>
      </c>
      <c r="D159" s="5">
        <v>12089.0</v>
      </c>
      <c r="E159" s="6">
        <f t="shared" si="1"/>
        <v>3</v>
      </c>
      <c r="F159" s="6">
        <f t="shared" si="2"/>
        <v>3568</v>
      </c>
      <c r="G159" s="6">
        <f t="shared" si="3"/>
        <v>60374</v>
      </c>
      <c r="H159" s="6" t="str">
        <f t="shared" si="4"/>
        <v>F</v>
      </c>
      <c r="I159" s="6" t="str">
        <f t="shared" si="5"/>
        <v>Transformative change</v>
      </c>
      <c r="J159" s="6" t="str">
        <f t="shared" si="6"/>
        <v>Medium</v>
      </c>
      <c r="K159" s="6">
        <f t="shared" si="7"/>
        <v>1094753</v>
      </c>
      <c r="L159" s="6">
        <f t="shared" si="8"/>
        <v>293007.3215</v>
      </c>
    </row>
    <row r="160">
      <c r="A160" s="4" t="s">
        <v>459</v>
      </c>
      <c r="B160" s="4" t="s">
        <v>460</v>
      </c>
      <c r="C160" s="4" t="s">
        <v>461</v>
      </c>
      <c r="D160" s="5">
        <v>19954.0</v>
      </c>
      <c r="E160" s="6">
        <f t="shared" si="1"/>
        <v>3</v>
      </c>
      <c r="F160" s="6">
        <f t="shared" si="2"/>
        <v>72142</v>
      </c>
      <c r="G160" s="6">
        <f t="shared" si="3"/>
        <v>26427</v>
      </c>
      <c r="H160" s="6" t="str">
        <f t="shared" si="4"/>
        <v>B</v>
      </c>
      <c r="I160" s="6" t="str">
        <f t="shared" si="5"/>
        <v>Transformative change</v>
      </c>
      <c r="J160" s="6" t="str">
        <f t="shared" si="6"/>
        <v>Medium</v>
      </c>
      <c r="K160" s="6">
        <f t="shared" si="7"/>
        <v>3264649</v>
      </c>
      <c r="L160" s="6">
        <f t="shared" si="8"/>
        <v>1262411.871</v>
      </c>
    </row>
    <row r="161">
      <c r="A161" s="4" t="s">
        <v>462</v>
      </c>
      <c r="B161" s="4" t="s">
        <v>463</v>
      </c>
      <c r="C161" s="4" t="s">
        <v>74</v>
      </c>
      <c r="D161" s="5">
        <v>35707.0</v>
      </c>
      <c r="E161" s="6">
        <f t="shared" si="1"/>
        <v>5</v>
      </c>
      <c r="F161" s="6">
        <f t="shared" si="2"/>
        <v>33205</v>
      </c>
      <c r="G161" s="6">
        <f t="shared" si="3"/>
        <v>19666</v>
      </c>
      <c r="H161" s="6" t="str">
        <f t="shared" si="4"/>
        <v>A</v>
      </c>
      <c r="I161" s="6" t="str">
        <f t="shared" si="5"/>
        <v>Transformative change</v>
      </c>
      <c r="J161" s="6" t="str">
        <f t="shared" si="6"/>
        <v>Medium</v>
      </c>
      <c r="K161" s="6">
        <f t="shared" si="7"/>
        <v>3590871</v>
      </c>
      <c r="L161" s="6">
        <f t="shared" si="8"/>
        <v>1545717.826</v>
      </c>
    </row>
    <row r="162">
      <c r="A162" s="4" t="s">
        <v>464</v>
      </c>
      <c r="B162" s="4" t="s">
        <v>465</v>
      </c>
      <c r="C162" s="4" t="s">
        <v>466</v>
      </c>
      <c r="D162" s="5">
        <v>17939.0</v>
      </c>
      <c r="E162" s="6">
        <f t="shared" si="1"/>
        <v>2</v>
      </c>
      <c r="F162" s="6">
        <f t="shared" si="2"/>
        <v>40688</v>
      </c>
      <c r="G162" s="6">
        <f t="shared" si="3"/>
        <v>1954</v>
      </c>
      <c r="H162" s="6" t="str">
        <f t="shared" si="4"/>
        <v>A</v>
      </c>
      <c r="I162" s="6" t="str">
        <f t="shared" si="5"/>
        <v>Transformative change</v>
      </c>
      <c r="J162" s="6" t="str">
        <f t="shared" si="6"/>
        <v>Low</v>
      </c>
      <c r="K162" s="6">
        <f t="shared" si="7"/>
        <v>3336155</v>
      </c>
      <c r="L162" s="6">
        <f t="shared" si="8"/>
        <v>3068245.085</v>
      </c>
    </row>
    <row r="163">
      <c r="A163" s="4" t="s">
        <v>467</v>
      </c>
      <c r="B163" s="4" t="s">
        <v>468</v>
      </c>
      <c r="C163" s="4" t="s">
        <v>469</v>
      </c>
      <c r="D163" s="5">
        <v>18553.0</v>
      </c>
      <c r="E163" s="6">
        <f t="shared" si="1"/>
        <v>1</v>
      </c>
      <c r="F163" s="6">
        <f t="shared" si="2"/>
        <v>94865</v>
      </c>
      <c r="G163" s="6">
        <f t="shared" si="3"/>
        <v>47073</v>
      </c>
      <c r="H163" s="6" t="str">
        <f t="shared" si="4"/>
        <v>E</v>
      </c>
      <c r="I163" s="6" t="str">
        <f t="shared" si="5"/>
        <v>High ambition</v>
      </c>
      <c r="J163" s="6" t="str">
        <f t="shared" si="6"/>
        <v>High</v>
      </c>
      <c r="K163" s="6">
        <f t="shared" si="7"/>
        <v>3570961</v>
      </c>
      <c r="L163" s="6">
        <f t="shared" si="8"/>
        <v>245934.3827</v>
      </c>
    </row>
    <row r="164">
      <c r="A164" s="4" t="s">
        <v>470</v>
      </c>
      <c r="B164" s="4" t="s">
        <v>471</v>
      </c>
      <c r="C164" s="4" t="s">
        <v>472</v>
      </c>
      <c r="D164" s="5">
        <v>5689.0</v>
      </c>
      <c r="E164" s="6">
        <f t="shared" si="1"/>
        <v>2</v>
      </c>
      <c r="F164" s="6">
        <f t="shared" si="2"/>
        <v>75201</v>
      </c>
      <c r="G164" s="6">
        <f t="shared" si="3"/>
        <v>49750</v>
      </c>
      <c r="H164" s="6" t="str">
        <f t="shared" si="4"/>
        <v>A</v>
      </c>
      <c r="I164" s="6" t="str">
        <f t="shared" si="5"/>
        <v>Transformative change</v>
      </c>
      <c r="J164" s="6" t="str">
        <f t="shared" si="6"/>
        <v>High</v>
      </c>
      <c r="K164" s="6">
        <f t="shared" si="7"/>
        <v>3769228</v>
      </c>
      <c r="L164" s="6">
        <f t="shared" si="8"/>
        <v>2872325.556</v>
      </c>
    </row>
    <row r="165">
      <c r="A165" s="4" t="s">
        <v>473</v>
      </c>
      <c r="B165" s="4" t="s">
        <v>474</v>
      </c>
      <c r="C165" s="4" t="s">
        <v>475</v>
      </c>
      <c r="D165" s="5">
        <v>17786.0</v>
      </c>
      <c r="E165" s="6">
        <f t="shared" si="1"/>
        <v>4</v>
      </c>
      <c r="F165" s="6">
        <f t="shared" si="2"/>
        <v>99420</v>
      </c>
      <c r="G165" s="6">
        <f t="shared" si="3"/>
        <v>40159</v>
      </c>
      <c r="H165" s="6" t="str">
        <f t="shared" si="4"/>
        <v>A</v>
      </c>
      <c r="I165" s="6" t="str">
        <f t="shared" si="5"/>
        <v>High ambition</v>
      </c>
      <c r="J165" s="6" t="str">
        <f t="shared" si="6"/>
        <v>High</v>
      </c>
      <c r="K165" s="6">
        <f t="shared" si="7"/>
        <v>392780</v>
      </c>
      <c r="L165" s="6">
        <f t="shared" si="8"/>
        <v>347137.2815</v>
      </c>
    </row>
    <row r="166">
      <c r="A166" s="4" t="s">
        <v>476</v>
      </c>
      <c r="B166" s="4" t="s">
        <v>477</v>
      </c>
      <c r="C166" s="4" t="s">
        <v>478</v>
      </c>
      <c r="D166" s="5">
        <v>7582.0</v>
      </c>
      <c r="E166" s="6">
        <f t="shared" si="1"/>
        <v>4</v>
      </c>
      <c r="F166" s="6">
        <f t="shared" si="2"/>
        <v>63775</v>
      </c>
      <c r="G166" s="6">
        <f t="shared" si="3"/>
        <v>30844</v>
      </c>
      <c r="H166" s="6" t="str">
        <f t="shared" si="4"/>
        <v>D</v>
      </c>
      <c r="I166" s="6" t="str">
        <f t="shared" si="5"/>
        <v>Transformative change</v>
      </c>
      <c r="J166" s="6" t="str">
        <f t="shared" si="6"/>
        <v>Low</v>
      </c>
      <c r="K166" s="6">
        <f t="shared" si="7"/>
        <v>2681089</v>
      </c>
      <c r="L166" s="6">
        <f t="shared" si="8"/>
        <v>1364868.665</v>
      </c>
    </row>
    <row r="167">
      <c r="A167" s="4" t="s">
        <v>479</v>
      </c>
      <c r="B167" s="4" t="s">
        <v>480</v>
      </c>
      <c r="C167" s="4" t="s">
        <v>481</v>
      </c>
      <c r="D167" s="5">
        <v>17095.0</v>
      </c>
      <c r="E167" s="6">
        <f t="shared" si="1"/>
        <v>2</v>
      </c>
      <c r="F167" s="6">
        <f t="shared" si="2"/>
        <v>86057</v>
      </c>
      <c r="G167" s="6">
        <f t="shared" si="3"/>
        <v>5437</v>
      </c>
      <c r="H167" s="6" t="str">
        <f t="shared" si="4"/>
        <v>B</v>
      </c>
      <c r="I167" s="6" t="str">
        <f t="shared" si="5"/>
        <v>Transformative change</v>
      </c>
      <c r="J167" s="6" t="str">
        <f t="shared" si="6"/>
        <v>Medium</v>
      </c>
      <c r="K167" s="6">
        <f t="shared" si="7"/>
        <v>693102</v>
      </c>
      <c r="L167" s="6">
        <f t="shared" si="8"/>
        <v>489280.3749</v>
      </c>
    </row>
    <row r="168">
      <c r="A168" s="4" t="s">
        <v>482</v>
      </c>
      <c r="B168" s="4" t="s">
        <v>483</v>
      </c>
      <c r="C168" s="4" t="s">
        <v>484</v>
      </c>
      <c r="D168" s="5">
        <v>13864.0</v>
      </c>
      <c r="E168" s="6">
        <f t="shared" si="1"/>
        <v>1</v>
      </c>
      <c r="F168" s="6">
        <f t="shared" si="2"/>
        <v>69330</v>
      </c>
      <c r="G168" s="6">
        <f t="shared" si="3"/>
        <v>6016</v>
      </c>
      <c r="H168" s="6" t="str">
        <f t="shared" si="4"/>
        <v>D</v>
      </c>
      <c r="I168" s="6" t="str">
        <f t="shared" si="5"/>
        <v>High ambition</v>
      </c>
      <c r="J168" s="6" t="str">
        <f t="shared" si="6"/>
        <v>Low</v>
      </c>
      <c r="K168" s="6">
        <f t="shared" si="7"/>
        <v>3797891</v>
      </c>
      <c r="L168" s="6">
        <f t="shared" si="8"/>
        <v>3626965.158</v>
      </c>
    </row>
    <row r="169">
      <c r="A169" s="4" t="s">
        <v>485</v>
      </c>
      <c r="B169" s="4" t="s">
        <v>486</v>
      </c>
      <c r="C169" s="4" t="s">
        <v>487</v>
      </c>
      <c r="D169" s="5">
        <v>496131.0</v>
      </c>
      <c r="E169" s="6">
        <f t="shared" si="1"/>
        <v>3</v>
      </c>
      <c r="F169" s="6">
        <f t="shared" si="2"/>
        <v>58910</v>
      </c>
      <c r="G169" s="6">
        <f t="shared" si="3"/>
        <v>11766</v>
      </c>
      <c r="H169" s="6" t="str">
        <f t="shared" si="4"/>
        <v>F</v>
      </c>
      <c r="I169" s="6" t="str">
        <f t="shared" si="5"/>
        <v>Transformative change</v>
      </c>
      <c r="J169" s="6" t="str">
        <f t="shared" si="6"/>
        <v>High</v>
      </c>
      <c r="K169" s="6">
        <f t="shared" si="7"/>
        <v>3480789</v>
      </c>
      <c r="L169" s="6">
        <f t="shared" si="8"/>
        <v>1530252.636</v>
      </c>
    </row>
    <row r="170">
      <c r="A170" s="4" t="s">
        <v>488</v>
      </c>
      <c r="B170" s="4" t="s">
        <v>489</v>
      </c>
      <c r="C170" s="4" t="s">
        <v>490</v>
      </c>
      <c r="D170" s="5">
        <v>18265.0</v>
      </c>
      <c r="E170" s="6">
        <f t="shared" si="1"/>
        <v>1</v>
      </c>
      <c r="F170" s="6">
        <f t="shared" si="2"/>
        <v>51596</v>
      </c>
      <c r="G170" s="6">
        <f t="shared" si="3"/>
        <v>33935</v>
      </c>
      <c r="H170" s="6" t="str">
        <f t="shared" si="4"/>
        <v>F</v>
      </c>
      <c r="I170" s="6" t="str">
        <f t="shared" si="5"/>
        <v>High ambition</v>
      </c>
      <c r="J170" s="6" t="str">
        <f t="shared" si="6"/>
        <v>High</v>
      </c>
      <c r="K170" s="6">
        <f t="shared" si="7"/>
        <v>441784</v>
      </c>
      <c r="L170" s="6">
        <f t="shared" si="8"/>
        <v>313945.7701</v>
      </c>
    </row>
    <row r="171">
      <c r="A171" s="4" t="s">
        <v>491</v>
      </c>
      <c r="B171" s="4" t="s">
        <v>492</v>
      </c>
      <c r="C171" s="4" t="s">
        <v>493</v>
      </c>
      <c r="D171" s="5">
        <v>10827.0</v>
      </c>
      <c r="E171" s="6">
        <f t="shared" si="1"/>
        <v>1</v>
      </c>
      <c r="F171" s="6">
        <f t="shared" si="2"/>
        <v>96650</v>
      </c>
      <c r="G171" s="6">
        <f t="shared" si="3"/>
        <v>81232</v>
      </c>
      <c r="H171" s="6" t="str">
        <f t="shared" si="4"/>
        <v>D</v>
      </c>
      <c r="I171" s="6" t="str">
        <f t="shared" si="5"/>
        <v>Transformative change</v>
      </c>
      <c r="J171" s="6" t="str">
        <f t="shared" si="6"/>
        <v>Low</v>
      </c>
      <c r="K171" s="6">
        <f t="shared" si="7"/>
        <v>3312851</v>
      </c>
      <c r="L171" s="6">
        <f t="shared" si="8"/>
        <v>1588355.331</v>
      </c>
    </row>
    <row r="172">
      <c r="A172" s="4" t="s">
        <v>494</v>
      </c>
      <c r="B172" s="4" t="s">
        <v>495</v>
      </c>
      <c r="C172" s="4" t="s">
        <v>496</v>
      </c>
      <c r="D172" s="5">
        <v>6929.0</v>
      </c>
      <c r="E172" s="6">
        <f t="shared" si="1"/>
        <v>1</v>
      </c>
      <c r="F172" s="6">
        <f t="shared" si="2"/>
        <v>82547</v>
      </c>
      <c r="G172" s="6">
        <f t="shared" si="3"/>
        <v>16217</v>
      </c>
      <c r="H172" s="6" t="str">
        <f t="shared" si="4"/>
        <v>F</v>
      </c>
      <c r="I172" s="6" t="str">
        <f t="shared" si="5"/>
        <v>Transformative change</v>
      </c>
      <c r="J172" s="6" t="str">
        <f t="shared" si="6"/>
        <v>Low</v>
      </c>
      <c r="K172" s="6">
        <f t="shared" si="7"/>
        <v>2350954</v>
      </c>
      <c r="L172" s="6">
        <f t="shared" si="8"/>
        <v>1278367.995</v>
      </c>
    </row>
    <row r="173">
      <c r="A173" s="4" t="s">
        <v>497</v>
      </c>
      <c r="B173" s="4" t="s">
        <v>498</v>
      </c>
      <c r="C173" s="4" t="s">
        <v>499</v>
      </c>
      <c r="D173" s="5">
        <v>12685.0</v>
      </c>
      <c r="E173" s="6">
        <f t="shared" si="1"/>
        <v>5</v>
      </c>
      <c r="F173" s="6">
        <f t="shared" si="2"/>
        <v>98004</v>
      </c>
      <c r="G173" s="6">
        <f t="shared" si="3"/>
        <v>31194</v>
      </c>
      <c r="H173" s="6" t="str">
        <f t="shared" si="4"/>
        <v>F</v>
      </c>
      <c r="I173" s="6" t="str">
        <f t="shared" si="5"/>
        <v>Transformative change</v>
      </c>
      <c r="J173" s="6" t="str">
        <f t="shared" si="6"/>
        <v>Low</v>
      </c>
      <c r="K173" s="6">
        <f t="shared" si="7"/>
        <v>1653455</v>
      </c>
      <c r="L173" s="6">
        <f t="shared" si="8"/>
        <v>164269.1758</v>
      </c>
    </row>
    <row r="174">
      <c r="A174" s="4" t="s">
        <v>500</v>
      </c>
      <c r="B174" s="4" t="s">
        <v>501</v>
      </c>
      <c r="C174" s="4" t="s">
        <v>74</v>
      </c>
      <c r="D174" s="5">
        <v>5961.0</v>
      </c>
      <c r="E174" s="6">
        <f t="shared" si="1"/>
        <v>3</v>
      </c>
      <c r="F174" s="6">
        <f t="shared" si="2"/>
        <v>26272</v>
      </c>
      <c r="G174" s="6">
        <f t="shared" si="3"/>
        <v>15727</v>
      </c>
      <c r="H174" s="6" t="str">
        <f t="shared" si="4"/>
        <v>C</v>
      </c>
      <c r="I174" s="6" t="str">
        <f t="shared" si="5"/>
        <v>Transformative change</v>
      </c>
      <c r="J174" s="6" t="str">
        <f t="shared" si="6"/>
        <v>High</v>
      </c>
      <c r="K174" s="6">
        <f t="shared" si="7"/>
        <v>392612</v>
      </c>
      <c r="L174" s="6">
        <f t="shared" si="8"/>
        <v>369902.4234</v>
      </c>
    </row>
    <row r="175">
      <c r="A175" s="4" t="s">
        <v>502</v>
      </c>
      <c r="B175" s="4" t="s">
        <v>457</v>
      </c>
      <c r="C175" s="4" t="s">
        <v>433</v>
      </c>
      <c r="D175" s="5">
        <v>15309.0</v>
      </c>
      <c r="E175" s="6">
        <f t="shared" si="1"/>
        <v>5</v>
      </c>
      <c r="F175" s="6">
        <f t="shared" si="2"/>
        <v>94239</v>
      </c>
      <c r="G175" s="6">
        <f t="shared" si="3"/>
        <v>23864</v>
      </c>
      <c r="H175" s="6" t="str">
        <f t="shared" si="4"/>
        <v>G</v>
      </c>
      <c r="I175" s="6" t="str">
        <f t="shared" si="5"/>
        <v>High ambition</v>
      </c>
      <c r="J175" s="6" t="str">
        <f t="shared" si="6"/>
        <v>Low</v>
      </c>
      <c r="K175" s="6">
        <f t="shared" si="7"/>
        <v>675918</v>
      </c>
      <c r="L175" s="6">
        <f t="shared" si="8"/>
        <v>212576.227</v>
      </c>
    </row>
    <row r="176">
      <c r="A176" s="4" t="s">
        <v>503</v>
      </c>
      <c r="B176" s="4" t="s">
        <v>504</v>
      </c>
      <c r="C176" s="4" t="s">
        <v>505</v>
      </c>
      <c r="D176" s="5">
        <v>536921.0</v>
      </c>
      <c r="E176" s="6">
        <f t="shared" si="1"/>
        <v>3</v>
      </c>
      <c r="F176" s="6">
        <f t="shared" si="2"/>
        <v>6302</v>
      </c>
      <c r="G176" s="6">
        <f t="shared" si="3"/>
        <v>52956</v>
      </c>
      <c r="H176" s="6" t="str">
        <f t="shared" si="4"/>
        <v>G</v>
      </c>
      <c r="I176" s="6" t="str">
        <f t="shared" si="5"/>
        <v>Transformative change</v>
      </c>
      <c r="J176" s="6" t="str">
        <f t="shared" si="6"/>
        <v>Low</v>
      </c>
      <c r="K176" s="6">
        <f t="shared" si="7"/>
        <v>1828978</v>
      </c>
      <c r="L176" s="6">
        <f t="shared" si="8"/>
        <v>730174.3008</v>
      </c>
    </row>
    <row r="177">
      <c r="A177" s="4" t="s">
        <v>506</v>
      </c>
      <c r="B177" s="4" t="s">
        <v>507</v>
      </c>
      <c r="C177" s="4" t="s">
        <v>508</v>
      </c>
      <c r="D177" s="5">
        <v>16946.0</v>
      </c>
      <c r="E177" s="6">
        <f t="shared" si="1"/>
        <v>3</v>
      </c>
      <c r="F177" s="6">
        <f t="shared" si="2"/>
        <v>99574</v>
      </c>
      <c r="G177" s="6">
        <f t="shared" si="3"/>
        <v>27711</v>
      </c>
      <c r="H177" s="6" t="str">
        <f t="shared" si="4"/>
        <v>B</v>
      </c>
      <c r="I177" s="6" t="str">
        <f t="shared" si="5"/>
        <v>Transformative change</v>
      </c>
      <c r="J177" s="6" t="str">
        <f t="shared" si="6"/>
        <v>High</v>
      </c>
      <c r="K177" s="6">
        <f t="shared" si="7"/>
        <v>1287656</v>
      </c>
      <c r="L177" s="6">
        <f t="shared" si="8"/>
        <v>921739.7287</v>
      </c>
    </row>
    <row r="178">
      <c r="A178" s="4" t="s">
        <v>509</v>
      </c>
      <c r="B178" s="4" t="s">
        <v>510</v>
      </c>
      <c r="C178" s="4" t="s">
        <v>511</v>
      </c>
      <c r="D178" s="5">
        <v>5096.0</v>
      </c>
      <c r="E178" s="6">
        <f t="shared" si="1"/>
        <v>4</v>
      </c>
      <c r="F178" s="6">
        <f t="shared" si="2"/>
        <v>43371</v>
      </c>
      <c r="G178" s="6">
        <f t="shared" si="3"/>
        <v>28488</v>
      </c>
      <c r="H178" s="6" t="str">
        <f t="shared" si="4"/>
        <v>C</v>
      </c>
      <c r="I178" s="6" t="str">
        <f t="shared" si="5"/>
        <v>Transformative change</v>
      </c>
      <c r="J178" s="6" t="str">
        <f t="shared" si="6"/>
        <v>High</v>
      </c>
      <c r="K178" s="6">
        <f t="shared" si="7"/>
        <v>3476209</v>
      </c>
      <c r="L178" s="6">
        <f t="shared" si="8"/>
        <v>3206359.56</v>
      </c>
    </row>
    <row r="179">
      <c r="A179" s="4" t="s">
        <v>512</v>
      </c>
      <c r="B179" s="4" t="s">
        <v>513</v>
      </c>
      <c r="C179" s="4" t="s">
        <v>153</v>
      </c>
      <c r="D179" s="5">
        <v>7134.0</v>
      </c>
      <c r="E179" s="6">
        <f t="shared" si="1"/>
        <v>5</v>
      </c>
      <c r="F179" s="6">
        <f t="shared" si="2"/>
        <v>38547</v>
      </c>
      <c r="G179" s="6">
        <f t="shared" si="3"/>
        <v>37598</v>
      </c>
      <c r="H179" s="6" t="str">
        <f t="shared" si="4"/>
        <v>A</v>
      </c>
      <c r="I179" s="6" t="str">
        <f t="shared" si="5"/>
        <v>Transformative change</v>
      </c>
      <c r="J179" s="6" t="str">
        <f t="shared" si="6"/>
        <v>Medium</v>
      </c>
      <c r="K179" s="6">
        <f t="shared" si="7"/>
        <v>3398110</v>
      </c>
      <c r="L179" s="6">
        <f t="shared" si="8"/>
        <v>2640849.391</v>
      </c>
    </row>
    <row r="180">
      <c r="A180" s="4" t="s">
        <v>514</v>
      </c>
      <c r="B180" s="4" t="s">
        <v>515</v>
      </c>
      <c r="C180" s="4" t="s">
        <v>516</v>
      </c>
      <c r="D180" s="5">
        <v>18324.0</v>
      </c>
      <c r="E180" s="6">
        <f t="shared" si="1"/>
        <v>2</v>
      </c>
      <c r="F180" s="6">
        <f t="shared" si="2"/>
        <v>88633</v>
      </c>
      <c r="G180" s="6">
        <f t="shared" si="3"/>
        <v>64808</v>
      </c>
      <c r="H180" s="6" t="str">
        <f t="shared" si="4"/>
        <v>A</v>
      </c>
      <c r="I180" s="6" t="str">
        <f t="shared" si="5"/>
        <v>Transformative change</v>
      </c>
      <c r="J180" s="6" t="str">
        <f t="shared" si="6"/>
        <v>Medium</v>
      </c>
      <c r="K180" s="6">
        <f t="shared" si="7"/>
        <v>3736314</v>
      </c>
      <c r="L180" s="6">
        <f t="shared" si="8"/>
        <v>986303.7947</v>
      </c>
    </row>
    <row r="181">
      <c r="A181" s="4" t="s">
        <v>517</v>
      </c>
      <c r="B181" s="4" t="s">
        <v>518</v>
      </c>
      <c r="C181" s="4" t="s">
        <v>74</v>
      </c>
      <c r="D181" s="5">
        <v>15537.0</v>
      </c>
      <c r="E181" s="6">
        <f t="shared" si="1"/>
        <v>4</v>
      </c>
      <c r="F181" s="6">
        <f t="shared" si="2"/>
        <v>93325</v>
      </c>
      <c r="G181" s="6">
        <f t="shared" si="3"/>
        <v>88750</v>
      </c>
      <c r="H181" s="6" t="str">
        <f t="shared" si="4"/>
        <v>B</v>
      </c>
      <c r="I181" s="6" t="str">
        <f t="shared" si="5"/>
        <v>Transformative change</v>
      </c>
      <c r="J181" s="6" t="str">
        <f t="shared" si="6"/>
        <v>Medium</v>
      </c>
      <c r="K181" s="6">
        <f t="shared" si="7"/>
        <v>2489639</v>
      </c>
      <c r="L181" s="6">
        <f t="shared" si="8"/>
        <v>336124.1312</v>
      </c>
    </row>
    <row r="182">
      <c r="A182" s="4" t="s">
        <v>519</v>
      </c>
      <c r="B182" s="4" t="s">
        <v>520</v>
      </c>
      <c r="C182" s="4" t="s">
        <v>74</v>
      </c>
      <c r="D182" s="5">
        <v>16622.0</v>
      </c>
      <c r="E182" s="6">
        <f t="shared" si="1"/>
        <v>2</v>
      </c>
      <c r="F182" s="6">
        <f t="shared" si="2"/>
        <v>11313</v>
      </c>
      <c r="G182" s="6">
        <f t="shared" si="3"/>
        <v>27322</v>
      </c>
      <c r="H182" s="6" t="str">
        <f t="shared" si="4"/>
        <v>C</v>
      </c>
      <c r="I182" s="6" t="str">
        <f t="shared" si="5"/>
        <v>Transformative change</v>
      </c>
      <c r="J182" s="6" t="str">
        <f t="shared" si="6"/>
        <v>Low</v>
      </c>
      <c r="K182" s="6">
        <f t="shared" si="7"/>
        <v>42029</v>
      </c>
      <c r="L182" s="6">
        <f t="shared" si="8"/>
        <v>15762.46184</v>
      </c>
    </row>
    <row r="183">
      <c r="A183" s="4" t="s">
        <v>521</v>
      </c>
      <c r="B183" s="4" t="s">
        <v>522</v>
      </c>
      <c r="C183" s="4" t="s">
        <v>74</v>
      </c>
      <c r="D183" s="5">
        <v>554197.0</v>
      </c>
      <c r="E183" s="6">
        <f t="shared" si="1"/>
        <v>2</v>
      </c>
      <c r="F183" s="6">
        <f t="shared" si="2"/>
        <v>49956</v>
      </c>
      <c r="G183" s="6">
        <f t="shared" si="3"/>
        <v>41650</v>
      </c>
      <c r="H183" s="6" t="str">
        <f t="shared" si="4"/>
        <v>E</v>
      </c>
      <c r="I183" s="6" t="str">
        <f t="shared" si="5"/>
        <v>Transformative change</v>
      </c>
      <c r="J183" s="6" t="str">
        <f t="shared" si="6"/>
        <v>Low</v>
      </c>
      <c r="K183" s="6">
        <f t="shared" si="7"/>
        <v>311379</v>
      </c>
      <c r="L183" s="6">
        <f t="shared" si="8"/>
        <v>106217.2857</v>
      </c>
    </row>
    <row r="184">
      <c r="A184" s="4" t="s">
        <v>523</v>
      </c>
      <c r="B184" s="4" t="s">
        <v>524</v>
      </c>
      <c r="C184" s="4" t="s">
        <v>74</v>
      </c>
      <c r="D184" s="5">
        <v>17345.0</v>
      </c>
      <c r="E184" s="6">
        <f t="shared" si="1"/>
        <v>5</v>
      </c>
      <c r="F184" s="6">
        <f t="shared" si="2"/>
        <v>79819</v>
      </c>
      <c r="G184" s="6">
        <f t="shared" si="3"/>
        <v>48779</v>
      </c>
      <c r="H184" s="6" t="str">
        <f t="shared" si="4"/>
        <v>D</v>
      </c>
      <c r="I184" s="6" t="str">
        <f t="shared" si="5"/>
        <v>Transformative change</v>
      </c>
      <c r="J184" s="6" t="str">
        <f t="shared" si="6"/>
        <v>High</v>
      </c>
      <c r="K184" s="6">
        <f t="shared" si="7"/>
        <v>1414663</v>
      </c>
      <c r="L184" s="6">
        <f t="shared" si="8"/>
        <v>822580.2794</v>
      </c>
    </row>
    <row r="185">
      <c r="A185" s="4" t="s">
        <v>392</v>
      </c>
      <c r="B185" s="4" t="s">
        <v>525</v>
      </c>
      <c r="C185" s="4" t="s">
        <v>74</v>
      </c>
      <c r="D185" s="5">
        <v>14221.0</v>
      </c>
      <c r="E185" s="6">
        <f t="shared" si="1"/>
        <v>2</v>
      </c>
      <c r="F185" s="6">
        <f t="shared" si="2"/>
        <v>44573</v>
      </c>
      <c r="G185" s="6">
        <f t="shared" si="3"/>
        <v>39628</v>
      </c>
      <c r="H185" s="6" t="str">
        <f t="shared" si="4"/>
        <v>G</v>
      </c>
      <c r="I185" s="6" t="str">
        <f t="shared" si="5"/>
        <v>Transformative change</v>
      </c>
      <c r="J185" s="6" t="str">
        <f t="shared" si="6"/>
        <v>High</v>
      </c>
      <c r="K185" s="6">
        <f t="shared" si="7"/>
        <v>3956077</v>
      </c>
      <c r="L185" s="6">
        <f t="shared" si="8"/>
        <v>2324262.585</v>
      </c>
    </row>
    <row r="186">
      <c r="A186" s="4" t="s">
        <v>526</v>
      </c>
      <c r="B186" s="4" t="s">
        <v>527</v>
      </c>
      <c r="C186" s="4" t="s">
        <v>528</v>
      </c>
      <c r="D186" s="5">
        <v>13575.0</v>
      </c>
      <c r="E186" s="6">
        <f t="shared" si="1"/>
        <v>1</v>
      </c>
      <c r="F186" s="6">
        <f t="shared" si="2"/>
        <v>25279</v>
      </c>
      <c r="G186" s="6">
        <f t="shared" si="3"/>
        <v>63931</v>
      </c>
      <c r="H186" s="6" t="str">
        <f t="shared" si="4"/>
        <v>E</v>
      </c>
      <c r="I186" s="6" t="str">
        <f t="shared" si="5"/>
        <v>Transformative change</v>
      </c>
      <c r="J186" s="6" t="str">
        <f t="shared" si="6"/>
        <v>Medium</v>
      </c>
      <c r="K186" s="6">
        <f t="shared" si="7"/>
        <v>2674910</v>
      </c>
      <c r="L186" s="6">
        <f t="shared" si="8"/>
        <v>2629585.839</v>
      </c>
    </row>
    <row r="187">
      <c r="A187" s="4" t="s">
        <v>529</v>
      </c>
      <c r="B187" s="4" t="s">
        <v>530</v>
      </c>
      <c r="C187" s="4" t="s">
        <v>74</v>
      </c>
      <c r="D187" s="5">
        <v>12438.0</v>
      </c>
      <c r="E187" s="6">
        <f t="shared" si="1"/>
        <v>2</v>
      </c>
      <c r="F187" s="6">
        <f t="shared" si="2"/>
        <v>14539</v>
      </c>
      <c r="G187" s="6">
        <f t="shared" si="3"/>
        <v>32158</v>
      </c>
      <c r="H187" s="6" t="str">
        <f t="shared" si="4"/>
        <v>C</v>
      </c>
      <c r="I187" s="6" t="str">
        <f t="shared" si="5"/>
        <v>Transformative change</v>
      </c>
      <c r="J187" s="6" t="str">
        <f t="shared" si="6"/>
        <v>Medium</v>
      </c>
      <c r="K187" s="6">
        <f t="shared" si="7"/>
        <v>3419881</v>
      </c>
      <c r="L187" s="6">
        <f t="shared" si="8"/>
        <v>3092726.536</v>
      </c>
    </row>
    <row r="188">
      <c r="A188" s="4" t="s">
        <v>531</v>
      </c>
      <c r="B188" s="4" t="s">
        <v>532</v>
      </c>
      <c r="C188" s="4" t="s">
        <v>533</v>
      </c>
      <c r="D188" s="5">
        <v>14024.0</v>
      </c>
      <c r="E188" s="6">
        <f t="shared" si="1"/>
        <v>2</v>
      </c>
      <c r="F188" s="6">
        <f t="shared" si="2"/>
        <v>68546</v>
      </c>
      <c r="G188" s="6">
        <f t="shared" si="3"/>
        <v>51309</v>
      </c>
      <c r="H188" s="6" t="str">
        <f t="shared" si="4"/>
        <v>D</v>
      </c>
      <c r="I188" s="6" t="str">
        <f t="shared" si="5"/>
        <v>Transformative change</v>
      </c>
      <c r="J188" s="6" t="str">
        <f t="shared" si="6"/>
        <v>High</v>
      </c>
      <c r="K188" s="6">
        <f t="shared" si="7"/>
        <v>1486632</v>
      </c>
      <c r="L188" s="6">
        <f t="shared" si="8"/>
        <v>854931.9764</v>
      </c>
    </row>
    <row r="189">
      <c r="A189" s="4" t="s">
        <v>534</v>
      </c>
      <c r="B189" s="4" t="s">
        <v>535</v>
      </c>
      <c r="C189" s="4" t="s">
        <v>536</v>
      </c>
      <c r="D189" s="5">
        <v>10083.0</v>
      </c>
      <c r="E189" s="6">
        <f t="shared" si="1"/>
        <v>3</v>
      </c>
      <c r="F189" s="6">
        <f t="shared" si="2"/>
        <v>59534</v>
      </c>
      <c r="G189" s="6">
        <f t="shared" si="3"/>
        <v>24117</v>
      </c>
      <c r="H189" s="6" t="str">
        <f t="shared" si="4"/>
        <v>A</v>
      </c>
      <c r="I189" s="6" t="str">
        <f t="shared" si="5"/>
        <v>Transformative change</v>
      </c>
      <c r="J189" s="6" t="str">
        <f t="shared" si="6"/>
        <v>Medium</v>
      </c>
      <c r="K189" s="6">
        <f t="shared" si="7"/>
        <v>905120</v>
      </c>
      <c r="L189" s="6">
        <f t="shared" si="8"/>
        <v>298919.3433</v>
      </c>
    </row>
    <row r="190">
      <c r="A190" s="4" t="s">
        <v>537</v>
      </c>
      <c r="B190" s="4" t="s">
        <v>538</v>
      </c>
      <c r="C190" s="4" t="s">
        <v>539</v>
      </c>
      <c r="D190" s="5">
        <v>64856.0</v>
      </c>
      <c r="E190" s="6">
        <f t="shared" si="1"/>
        <v>5</v>
      </c>
      <c r="F190" s="6">
        <f t="shared" si="2"/>
        <v>39624</v>
      </c>
      <c r="G190" s="6">
        <f t="shared" si="3"/>
        <v>27886</v>
      </c>
      <c r="H190" s="6" t="str">
        <f t="shared" si="4"/>
        <v>C</v>
      </c>
      <c r="I190" s="6" t="str">
        <f t="shared" si="5"/>
        <v>Transformative change</v>
      </c>
      <c r="J190" s="6" t="str">
        <f t="shared" si="6"/>
        <v>High</v>
      </c>
      <c r="K190" s="6">
        <f t="shared" si="7"/>
        <v>813615</v>
      </c>
      <c r="L190" s="6">
        <f t="shared" si="8"/>
        <v>482124.9952</v>
      </c>
    </row>
    <row r="191">
      <c r="A191" s="4" t="s">
        <v>540</v>
      </c>
      <c r="B191" s="4" t="s">
        <v>541</v>
      </c>
      <c r="C191" s="4" t="s">
        <v>542</v>
      </c>
      <c r="D191" s="5">
        <v>81637.0</v>
      </c>
      <c r="E191" s="6">
        <f t="shared" si="1"/>
        <v>3</v>
      </c>
      <c r="F191" s="6">
        <f t="shared" si="2"/>
        <v>95596</v>
      </c>
      <c r="G191" s="6">
        <f t="shared" si="3"/>
        <v>40213</v>
      </c>
      <c r="H191" s="6" t="str">
        <f t="shared" si="4"/>
        <v>A</v>
      </c>
      <c r="I191" s="6" t="str">
        <f t="shared" si="5"/>
        <v>High ambition</v>
      </c>
      <c r="J191" s="6" t="str">
        <f t="shared" si="6"/>
        <v>High</v>
      </c>
      <c r="K191" s="6">
        <f t="shared" si="7"/>
        <v>2766029</v>
      </c>
      <c r="L191" s="6">
        <f t="shared" si="8"/>
        <v>1536739.275</v>
      </c>
    </row>
    <row r="192">
      <c r="A192" s="4" t="s">
        <v>543</v>
      </c>
      <c r="B192" s="4" t="s">
        <v>544</v>
      </c>
      <c r="C192" s="4" t="s">
        <v>545</v>
      </c>
      <c r="D192" s="5">
        <v>14492.0</v>
      </c>
      <c r="E192" s="6">
        <f t="shared" si="1"/>
        <v>2</v>
      </c>
      <c r="F192" s="6">
        <f t="shared" si="2"/>
        <v>68563</v>
      </c>
      <c r="G192" s="6">
        <f t="shared" si="3"/>
        <v>46917</v>
      </c>
      <c r="H192" s="6" t="str">
        <f t="shared" si="4"/>
        <v>E</v>
      </c>
      <c r="I192" s="6" t="str">
        <f t="shared" si="5"/>
        <v>Transformative change</v>
      </c>
      <c r="J192" s="6" t="str">
        <f t="shared" si="6"/>
        <v>Medium</v>
      </c>
      <c r="K192" s="6">
        <f t="shared" si="7"/>
        <v>2729284</v>
      </c>
      <c r="L192" s="6">
        <f t="shared" si="8"/>
        <v>1575463.001</v>
      </c>
    </row>
    <row r="193">
      <c r="A193" s="4" t="s">
        <v>546</v>
      </c>
      <c r="B193" s="4" t="s">
        <v>547</v>
      </c>
      <c r="C193" s="4" t="s">
        <v>548</v>
      </c>
      <c r="D193" s="5">
        <v>5153.0</v>
      </c>
      <c r="E193" s="6">
        <f t="shared" si="1"/>
        <v>3</v>
      </c>
      <c r="F193" s="6">
        <f t="shared" si="2"/>
        <v>27098</v>
      </c>
      <c r="G193" s="6">
        <f t="shared" si="3"/>
        <v>26046</v>
      </c>
      <c r="H193" s="6" t="str">
        <f t="shared" si="4"/>
        <v>A</v>
      </c>
      <c r="I193" s="6" t="str">
        <f t="shared" si="5"/>
        <v>Transformative change</v>
      </c>
      <c r="J193" s="6" t="str">
        <f t="shared" si="6"/>
        <v>High</v>
      </c>
      <c r="K193" s="6">
        <f t="shared" si="7"/>
        <v>3797458</v>
      </c>
      <c r="L193" s="6">
        <f t="shared" si="8"/>
        <v>2043045.019</v>
      </c>
    </row>
    <row r="194">
      <c r="A194" s="4" t="s">
        <v>549</v>
      </c>
      <c r="B194" s="4" t="s">
        <v>550</v>
      </c>
      <c r="C194" s="4" t="s">
        <v>551</v>
      </c>
      <c r="D194" s="5">
        <v>12748.0</v>
      </c>
      <c r="E194" s="6">
        <f t="shared" si="1"/>
        <v>2</v>
      </c>
      <c r="F194" s="6">
        <f t="shared" si="2"/>
        <v>54779</v>
      </c>
      <c r="G194" s="6">
        <f t="shared" si="3"/>
        <v>52282</v>
      </c>
      <c r="H194" s="6" t="str">
        <f t="shared" si="4"/>
        <v>C</v>
      </c>
      <c r="I194" s="6" t="str">
        <f t="shared" si="5"/>
        <v>High ambition</v>
      </c>
      <c r="J194" s="6" t="str">
        <f t="shared" si="6"/>
        <v>Low</v>
      </c>
      <c r="K194" s="6">
        <f t="shared" si="7"/>
        <v>3479397</v>
      </c>
      <c r="L194" s="6">
        <f t="shared" si="8"/>
        <v>2321012.204</v>
      </c>
    </row>
    <row r="195">
      <c r="A195" s="4" t="s">
        <v>552</v>
      </c>
      <c r="B195" s="4" t="s">
        <v>553</v>
      </c>
      <c r="C195" s="4" t="s">
        <v>554</v>
      </c>
      <c r="D195" s="5">
        <v>18401.0</v>
      </c>
      <c r="E195" s="6">
        <f t="shared" si="1"/>
        <v>3</v>
      </c>
      <c r="F195" s="6">
        <f t="shared" si="2"/>
        <v>93682</v>
      </c>
      <c r="G195" s="6">
        <f t="shared" si="3"/>
        <v>60958</v>
      </c>
      <c r="H195" s="6" t="str">
        <f t="shared" si="4"/>
        <v>E</v>
      </c>
      <c r="I195" s="6" t="str">
        <f t="shared" si="5"/>
        <v>Transformative change</v>
      </c>
      <c r="J195" s="6" t="str">
        <f t="shared" si="6"/>
        <v>Medium</v>
      </c>
      <c r="K195" s="6">
        <f t="shared" si="7"/>
        <v>1486546</v>
      </c>
      <c r="L195" s="6">
        <f t="shared" si="8"/>
        <v>878599.6187</v>
      </c>
    </row>
    <row r="196">
      <c r="A196" s="4" t="s">
        <v>555</v>
      </c>
      <c r="B196" s="4" t="s">
        <v>556</v>
      </c>
      <c r="C196" s="4" t="s">
        <v>74</v>
      </c>
      <c r="D196" s="5">
        <v>8255.0</v>
      </c>
      <c r="E196" s="6">
        <f t="shared" si="1"/>
        <v>2</v>
      </c>
      <c r="F196" s="6">
        <f t="shared" si="2"/>
        <v>21835</v>
      </c>
      <c r="G196" s="6">
        <f t="shared" si="3"/>
        <v>63877</v>
      </c>
      <c r="H196" s="6" t="str">
        <f t="shared" si="4"/>
        <v>D</v>
      </c>
      <c r="I196" s="6" t="str">
        <f t="shared" si="5"/>
        <v>Transformative change</v>
      </c>
      <c r="J196" s="6" t="str">
        <f t="shared" si="6"/>
        <v>High</v>
      </c>
      <c r="K196" s="6">
        <f t="shared" si="7"/>
        <v>3657697</v>
      </c>
      <c r="L196" s="6">
        <f t="shared" si="8"/>
        <v>2225832.462</v>
      </c>
    </row>
    <row r="197">
      <c r="A197" s="4" t="s">
        <v>369</v>
      </c>
      <c r="B197" s="4" t="s">
        <v>557</v>
      </c>
      <c r="C197" s="4" t="s">
        <v>558</v>
      </c>
      <c r="D197" s="5">
        <v>234264.0</v>
      </c>
      <c r="E197" s="6">
        <f t="shared" si="1"/>
        <v>2</v>
      </c>
      <c r="F197" s="6">
        <f t="shared" si="2"/>
        <v>69123</v>
      </c>
      <c r="G197" s="6">
        <f t="shared" si="3"/>
        <v>6965</v>
      </c>
      <c r="H197" s="6" t="str">
        <f t="shared" si="4"/>
        <v>C</v>
      </c>
      <c r="I197" s="6" t="str">
        <f t="shared" si="5"/>
        <v>Transformative change</v>
      </c>
      <c r="J197" s="6" t="str">
        <f t="shared" si="6"/>
        <v>High</v>
      </c>
      <c r="K197" s="6">
        <f t="shared" si="7"/>
        <v>2607365</v>
      </c>
      <c r="L197" s="6">
        <f t="shared" si="8"/>
        <v>1160360.333</v>
      </c>
    </row>
    <row r="198">
      <c r="A198" s="4" t="s">
        <v>559</v>
      </c>
      <c r="B198" s="4" t="s">
        <v>560</v>
      </c>
      <c r="C198" s="4" t="s">
        <v>561</v>
      </c>
      <c r="D198" s="5">
        <v>16714.0</v>
      </c>
      <c r="E198" s="6">
        <f t="shared" si="1"/>
        <v>1</v>
      </c>
      <c r="F198" s="6">
        <f t="shared" si="2"/>
        <v>34660</v>
      </c>
      <c r="G198" s="6">
        <f t="shared" si="3"/>
        <v>15895</v>
      </c>
      <c r="H198" s="6" t="str">
        <f t="shared" si="4"/>
        <v>C</v>
      </c>
      <c r="I198" s="6" t="str">
        <f t="shared" si="5"/>
        <v>Transformative change</v>
      </c>
      <c r="J198" s="6" t="str">
        <f t="shared" si="6"/>
        <v>Medium</v>
      </c>
      <c r="K198" s="6">
        <f t="shared" si="7"/>
        <v>3794545</v>
      </c>
      <c r="L198" s="6">
        <f t="shared" si="8"/>
        <v>3762272.429</v>
      </c>
    </row>
    <row r="199">
      <c r="A199" s="4" t="s">
        <v>562</v>
      </c>
      <c r="B199" s="4" t="s">
        <v>563</v>
      </c>
      <c r="C199" s="4" t="s">
        <v>564</v>
      </c>
      <c r="D199" s="5">
        <v>8985.0</v>
      </c>
      <c r="E199" s="6">
        <f t="shared" si="1"/>
        <v>1</v>
      </c>
      <c r="F199" s="6">
        <f t="shared" si="2"/>
        <v>7148</v>
      </c>
      <c r="G199" s="6">
        <f t="shared" si="3"/>
        <v>35457</v>
      </c>
      <c r="H199" s="6" t="str">
        <f t="shared" si="4"/>
        <v>G</v>
      </c>
      <c r="I199" s="6" t="str">
        <f t="shared" si="5"/>
        <v>Transformative change</v>
      </c>
      <c r="J199" s="6" t="str">
        <f t="shared" si="6"/>
        <v>Medium</v>
      </c>
      <c r="K199" s="6">
        <f t="shared" si="7"/>
        <v>378526</v>
      </c>
      <c r="L199" s="6">
        <f t="shared" si="8"/>
        <v>295608.1765</v>
      </c>
    </row>
    <row r="200">
      <c r="A200" s="4" t="s">
        <v>565</v>
      </c>
      <c r="B200" s="4" t="s">
        <v>566</v>
      </c>
      <c r="C200" s="4" t="s">
        <v>74</v>
      </c>
      <c r="D200" s="5">
        <v>7691.0</v>
      </c>
      <c r="E200" s="6">
        <f t="shared" si="1"/>
        <v>1</v>
      </c>
      <c r="F200" s="6">
        <f t="shared" si="2"/>
        <v>22209</v>
      </c>
      <c r="G200" s="6">
        <f t="shared" si="3"/>
        <v>62551</v>
      </c>
      <c r="H200" s="6" t="str">
        <f t="shared" si="4"/>
        <v>A</v>
      </c>
      <c r="I200" s="6" t="str">
        <f t="shared" si="5"/>
        <v>Transformative change</v>
      </c>
      <c r="J200" s="6" t="str">
        <f t="shared" si="6"/>
        <v>Medium</v>
      </c>
      <c r="K200" s="6">
        <f t="shared" si="7"/>
        <v>3178514</v>
      </c>
      <c r="L200" s="6">
        <f t="shared" si="8"/>
        <v>657218.1658</v>
      </c>
    </row>
    <row r="201">
      <c r="A201" s="4" t="s">
        <v>567</v>
      </c>
      <c r="B201" s="4" t="s">
        <v>568</v>
      </c>
      <c r="C201" s="4" t="s">
        <v>74</v>
      </c>
      <c r="D201" s="5">
        <v>21380.0</v>
      </c>
      <c r="E201" s="6">
        <f t="shared" si="1"/>
        <v>2</v>
      </c>
      <c r="F201" s="6">
        <f t="shared" si="2"/>
        <v>35208</v>
      </c>
      <c r="G201" s="6">
        <f t="shared" si="3"/>
        <v>39846</v>
      </c>
      <c r="H201" s="6" t="str">
        <f t="shared" si="4"/>
        <v>E</v>
      </c>
      <c r="I201" s="6" t="str">
        <f t="shared" si="5"/>
        <v>Transformative change</v>
      </c>
      <c r="J201" s="6" t="str">
        <f t="shared" si="6"/>
        <v>Medium</v>
      </c>
      <c r="K201" s="6">
        <f t="shared" si="7"/>
        <v>3363763</v>
      </c>
      <c r="L201" s="6">
        <f t="shared" si="8"/>
        <v>2478049.526</v>
      </c>
    </row>
    <row r="202">
      <c r="A202" s="4" t="s">
        <v>569</v>
      </c>
      <c r="B202" s="4" t="s">
        <v>570</v>
      </c>
      <c r="C202" s="4" t="s">
        <v>571</v>
      </c>
      <c r="D202" s="5">
        <v>6465.0</v>
      </c>
      <c r="E202" s="6">
        <f t="shared" si="1"/>
        <v>3</v>
      </c>
      <c r="F202" s="6">
        <f t="shared" si="2"/>
        <v>44581</v>
      </c>
      <c r="G202" s="6">
        <f t="shared" si="3"/>
        <v>44697</v>
      </c>
      <c r="H202" s="6" t="str">
        <f t="shared" si="4"/>
        <v>F</v>
      </c>
      <c r="I202" s="6" t="str">
        <f t="shared" si="5"/>
        <v>Transformative change</v>
      </c>
      <c r="J202" s="6" t="str">
        <f t="shared" si="6"/>
        <v>High</v>
      </c>
      <c r="K202" s="6">
        <f t="shared" si="7"/>
        <v>3890948</v>
      </c>
      <c r="L202" s="6">
        <f t="shared" si="8"/>
        <v>2436971.278</v>
      </c>
    </row>
    <row r="203">
      <c r="A203" s="4" t="s">
        <v>572</v>
      </c>
      <c r="B203" s="4" t="s">
        <v>573</v>
      </c>
      <c r="C203" s="4" t="s">
        <v>329</v>
      </c>
      <c r="D203" s="5">
        <v>39445.0</v>
      </c>
      <c r="E203" s="6">
        <f t="shared" si="1"/>
        <v>5</v>
      </c>
      <c r="F203" s="6">
        <f t="shared" si="2"/>
        <v>29170</v>
      </c>
      <c r="G203" s="6">
        <f t="shared" si="3"/>
        <v>33846</v>
      </c>
      <c r="H203" s="6" t="str">
        <f t="shared" si="4"/>
        <v>G</v>
      </c>
      <c r="I203" s="6" t="str">
        <f t="shared" si="5"/>
        <v>Transformative change</v>
      </c>
      <c r="J203" s="6" t="str">
        <f t="shared" si="6"/>
        <v>High</v>
      </c>
      <c r="K203" s="6">
        <f t="shared" si="7"/>
        <v>3255481</v>
      </c>
      <c r="L203" s="6">
        <f t="shared" si="8"/>
        <v>2884935.009</v>
      </c>
    </row>
    <row r="204">
      <c r="A204" s="4" t="s">
        <v>574</v>
      </c>
      <c r="B204" s="4" t="s">
        <v>575</v>
      </c>
      <c r="C204" s="4" t="s">
        <v>576</v>
      </c>
      <c r="D204" s="5">
        <v>774847.0</v>
      </c>
      <c r="E204" s="6">
        <f t="shared" si="1"/>
        <v>3</v>
      </c>
      <c r="F204" s="6">
        <f t="shared" si="2"/>
        <v>73568</v>
      </c>
      <c r="G204" s="6">
        <f t="shared" si="3"/>
        <v>40355</v>
      </c>
      <c r="H204" s="6" t="str">
        <f t="shared" si="4"/>
        <v>F</v>
      </c>
      <c r="I204" s="6" t="str">
        <f t="shared" si="5"/>
        <v>Transformative change</v>
      </c>
      <c r="J204" s="6" t="str">
        <f t="shared" si="6"/>
        <v>Low</v>
      </c>
      <c r="K204" s="6">
        <f t="shared" si="7"/>
        <v>2233503</v>
      </c>
      <c r="L204" s="6">
        <f t="shared" si="8"/>
        <v>1130414.257</v>
      </c>
    </row>
    <row r="205">
      <c r="A205" s="4" t="s">
        <v>577</v>
      </c>
      <c r="B205" s="4" t="s">
        <v>578</v>
      </c>
      <c r="C205" s="4" t="s">
        <v>579</v>
      </c>
      <c r="D205" s="5">
        <v>7949.0</v>
      </c>
      <c r="E205" s="6">
        <f t="shared" si="1"/>
        <v>5</v>
      </c>
      <c r="F205" s="6">
        <f t="shared" si="2"/>
        <v>99986</v>
      </c>
      <c r="G205" s="6">
        <f t="shared" si="3"/>
        <v>96986</v>
      </c>
      <c r="H205" s="6" t="str">
        <f t="shared" si="4"/>
        <v>C</v>
      </c>
      <c r="I205" s="6" t="str">
        <f t="shared" si="5"/>
        <v>Transformative change</v>
      </c>
      <c r="J205" s="6" t="str">
        <f t="shared" si="6"/>
        <v>Medium</v>
      </c>
      <c r="K205" s="6">
        <f t="shared" si="7"/>
        <v>2321270</v>
      </c>
      <c r="L205" s="6">
        <f t="shared" si="8"/>
        <v>443393.0542</v>
      </c>
    </row>
    <row r="206">
      <c r="A206" s="4" t="s">
        <v>580</v>
      </c>
      <c r="B206" s="4" t="s">
        <v>581</v>
      </c>
      <c r="C206" s="4" t="s">
        <v>74</v>
      </c>
      <c r="D206" s="5">
        <v>10245.0</v>
      </c>
      <c r="E206" s="6">
        <f t="shared" si="1"/>
        <v>2</v>
      </c>
      <c r="F206" s="6">
        <f t="shared" si="2"/>
        <v>21658</v>
      </c>
      <c r="G206" s="6">
        <f t="shared" si="3"/>
        <v>59603</v>
      </c>
      <c r="H206" s="6" t="str">
        <f t="shared" si="4"/>
        <v>B</v>
      </c>
      <c r="I206" s="6" t="str">
        <f t="shared" si="5"/>
        <v>Transformative change</v>
      </c>
      <c r="J206" s="6" t="str">
        <f t="shared" si="6"/>
        <v>Medium</v>
      </c>
      <c r="K206" s="6">
        <f t="shared" si="7"/>
        <v>1208642</v>
      </c>
      <c r="L206" s="6">
        <f t="shared" si="8"/>
        <v>134971.6923</v>
      </c>
    </row>
    <row r="207">
      <c r="A207" s="4" t="s">
        <v>582</v>
      </c>
      <c r="B207" s="4" t="s">
        <v>583</v>
      </c>
      <c r="C207" s="4" t="s">
        <v>584</v>
      </c>
      <c r="D207" s="5">
        <v>297192.0</v>
      </c>
      <c r="E207" s="6">
        <f t="shared" si="1"/>
        <v>5</v>
      </c>
      <c r="F207" s="6">
        <f t="shared" si="2"/>
        <v>79279</v>
      </c>
      <c r="G207" s="6">
        <f t="shared" si="3"/>
        <v>41699</v>
      </c>
      <c r="H207" s="6" t="str">
        <f t="shared" si="4"/>
        <v>C</v>
      </c>
      <c r="I207" s="6" t="str">
        <f t="shared" si="5"/>
        <v>High ambition</v>
      </c>
      <c r="J207" s="6" t="str">
        <f t="shared" si="6"/>
        <v>Medium</v>
      </c>
      <c r="K207" s="6">
        <f t="shared" si="7"/>
        <v>3493399</v>
      </c>
      <c r="L207" s="6">
        <f t="shared" si="8"/>
        <v>1484120.678</v>
      </c>
    </row>
    <row r="208">
      <c r="A208" s="4" t="s">
        <v>585</v>
      </c>
      <c r="B208" s="4" t="s">
        <v>586</v>
      </c>
      <c r="C208" s="4" t="s">
        <v>587</v>
      </c>
      <c r="D208" s="5">
        <v>93489.0</v>
      </c>
      <c r="E208" s="6">
        <f t="shared" si="1"/>
        <v>2</v>
      </c>
      <c r="F208" s="6">
        <f t="shared" si="2"/>
        <v>68486</v>
      </c>
      <c r="G208" s="6">
        <f t="shared" si="3"/>
        <v>16921</v>
      </c>
      <c r="H208" s="6" t="str">
        <f t="shared" si="4"/>
        <v>G</v>
      </c>
      <c r="I208" s="6" t="str">
        <f t="shared" si="5"/>
        <v>Transformative change</v>
      </c>
      <c r="J208" s="6" t="str">
        <f t="shared" si="6"/>
        <v>Medium</v>
      </c>
      <c r="K208" s="6">
        <f t="shared" si="7"/>
        <v>2473109</v>
      </c>
      <c r="L208" s="6">
        <f t="shared" si="8"/>
        <v>1400263.129</v>
      </c>
    </row>
    <row r="209">
      <c r="A209" s="4" t="s">
        <v>412</v>
      </c>
      <c r="B209" s="4" t="s">
        <v>588</v>
      </c>
      <c r="C209" s="4" t="s">
        <v>589</v>
      </c>
      <c r="D209" s="5">
        <v>8744.0</v>
      </c>
      <c r="E209" s="6">
        <f t="shared" si="1"/>
        <v>1</v>
      </c>
      <c r="F209" s="6">
        <f t="shared" si="2"/>
        <v>12898</v>
      </c>
      <c r="G209" s="6">
        <f t="shared" si="3"/>
        <v>25343</v>
      </c>
      <c r="H209" s="6" t="str">
        <f t="shared" si="4"/>
        <v>C</v>
      </c>
      <c r="I209" s="6" t="str">
        <f t="shared" si="5"/>
        <v>Transformative change</v>
      </c>
      <c r="J209" s="6" t="str">
        <f t="shared" si="6"/>
        <v>Low</v>
      </c>
      <c r="K209" s="6">
        <f t="shared" si="7"/>
        <v>721259</v>
      </c>
      <c r="L209" s="6">
        <f t="shared" si="8"/>
        <v>411352.4213</v>
      </c>
    </row>
    <row r="210">
      <c r="A210" s="4" t="s">
        <v>590</v>
      </c>
      <c r="B210" s="4" t="s">
        <v>591</v>
      </c>
      <c r="C210" s="4" t="s">
        <v>592</v>
      </c>
      <c r="D210" s="5">
        <v>732994.0</v>
      </c>
      <c r="E210" s="6">
        <f t="shared" si="1"/>
        <v>1</v>
      </c>
      <c r="F210" s="6">
        <f t="shared" si="2"/>
        <v>59718</v>
      </c>
      <c r="G210" s="6">
        <f t="shared" si="3"/>
        <v>54670</v>
      </c>
      <c r="H210" s="6" t="str">
        <f t="shared" si="4"/>
        <v>B</v>
      </c>
      <c r="I210" s="6" t="str">
        <f t="shared" si="5"/>
        <v>Transformative change</v>
      </c>
      <c r="J210" s="6" t="str">
        <f t="shared" si="6"/>
        <v>Medium</v>
      </c>
      <c r="K210" s="6">
        <f t="shared" si="7"/>
        <v>3504368</v>
      </c>
      <c r="L210" s="6">
        <f t="shared" si="8"/>
        <v>3229054.369</v>
      </c>
    </row>
    <row r="211">
      <c r="A211" s="4" t="s">
        <v>593</v>
      </c>
      <c r="B211" s="4" t="s">
        <v>594</v>
      </c>
      <c r="C211" s="4" t="s">
        <v>595</v>
      </c>
      <c r="D211" s="5">
        <v>23160.0</v>
      </c>
      <c r="E211" s="6">
        <f t="shared" si="1"/>
        <v>3</v>
      </c>
      <c r="F211" s="6">
        <f t="shared" si="2"/>
        <v>45399</v>
      </c>
      <c r="G211" s="6">
        <f t="shared" si="3"/>
        <v>5557</v>
      </c>
      <c r="H211" s="6" t="str">
        <f t="shared" si="4"/>
        <v>C</v>
      </c>
      <c r="I211" s="6" t="str">
        <f t="shared" si="5"/>
        <v>Transformative change</v>
      </c>
      <c r="J211" s="6" t="str">
        <f t="shared" si="6"/>
        <v>Low</v>
      </c>
      <c r="K211" s="6">
        <f t="shared" si="7"/>
        <v>3246801</v>
      </c>
      <c r="L211" s="6">
        <f t="shared" si="8"/>
        <v>2236597.41</v>
      </c>
    </row>
    <row r="212">
      <c r="A212" s="4" t="s">
        <v>596</v>
      </c>
      <c r="B212" s="4" t="s">
        <v>597</v>
      </c>
      <c r="C212" s="4" t="s">
        <v>598</v>
      </c>
      <c r="D212" s="5">
        <v>19494.0</v>
      </c>
      <c r="E212" s="6">
        <f t="shared" si="1"/>
        <v>4</v>
      </c>
      <c r="F212" s="6">
        <f t="shared" si="2"/>
        <v>85394</v>
      </c>
      <c r="G212" s="6">
        <f t="shared" si="3"/>
        <v>104</v>
      </c>
      <c r="H212" s="6" t="str">
        <f t="shared" si="4"/>
        <v>G</v>
      </c>
      <c r="I212" s="6" t="str">
        <f t="shared" si="5"/>
        <v>Transformative change</v>
      </c>
      <c r="J212" s="6" t="str">
        <f t="shared" si="6"/>
        <v>Low</v>
      </c>
      <c r="K212" s="6">
        <f t="shared" si="7"/>
        <v>1960009</v>
      </c>
      <c r="L212" s="6">
        <f t="shared" si="8"/>
        <v>1864305.411</v>
      </c>
    </row>
    <row r="213">
      <c r="A213" s="4" t="s">
        <v>599</v>
      </c>
      <c r="B213" s="4" t="s">
        <v>600</v>
      </c>
      <c r="C213" s="4" t="s">
        <v>601</v>
      </c>
      <c r="D213" s="5">
        <v>7939.0</v>
      </c>
      <c r="E213" s="6">
        <f t="shared" si="1"/>
        <v>5</v>
      </c>
      <c r="F213" s="6">
        <f t="shared" si="2"/>
        <v>38484</v>
      </c>
      <c r="G213" s="6">
        <f t="shared" si="3"/>
        <v>82</v>
      </c>
      <c r="H213" s="6" t="str">
        <f t="shared" si="4"/>
        <v>C</v>
      </c>
      <c r="I213" s="6" t="str">
        <f t="shared" si="5"/>
        <v>Transformative change</v>
      </c>
      <c r="J213" s="6" t="str">
        <f t="shared" si="6"/>
        <v>Medium</v>
      </c>
      <c r="K213" s="6">
        <f t="shared" si="7"/>
        <v>742911</v>
      </c>
      <c r="L213" s="6">
        <f t="shared" si="8"/>
        <v>566721.5488</v>
      </c>
    </row>
    <row r="214">
      <c r="A214" s="4" t="s">
        <v>602</v>
      </c>
      <c r="B214" s="4" t="s">
        <v>603</v>
      </c>
      <c r="C214" s="4" t="s">
        <v>604</v>
      </c>
      <c r="D214" s="5">
        <v>353591.0</v>
      </c>
      <c r="E214" s="6">
        <f t="shared" si="1"/>
        <v>5</v>
      </c>
      <c r="F214" s="6">
        <f t="shared" si="2"/>
        <v>32707</v>
      </c>
      <c r="G214" s="6">
        <f t="shared" si="3"/>
        <v>17831</v>
      </c>
      <c r="H214" s="6" t="str">
        <f t="shared" si="4"/>
        <v>B</v>
      </c>
      <c r="I214" s="6" t="str">
        <f t="shared" si="5"/>
        <v>Transformative change</v>
      </c>
      <c r="J214" s="6" t="str">
        <f t="shared" si="6"/>
        <v>High</v>
      </c>
      <c r="K214" s="6">
        <f t="shared" si="7"/>
        <v>1290126</v>
      </c>
      <c r="L214" s="6">
        <f t="shared" si="8"/>
        <v>215895.0166</v>
      </c>
    </row>
    <row r="215">
      <c r="A215" s="4" t="s">
        <v>605</v>
      </c>
      <c r="B215" s="4" t="s">
        <v>606</v>
      </c>
      <c r="C215" s="4" t="s">
        <v>607</v>
      </c>
      <c r="D215" s="5">
        <v>6870.0</v>
      </c>
      <c r="E215" s="6">
        <f t="shared" si="1"/>
        <v>3</v>
      </c>
      <c r="F215" s="6">
        <f t="shared" si="2"/>
        <v>50379</v>
      </c>
      <c r="G215" s="6">
        <f t="shared" si="3"/>
        <v>41291</v>
      </c>
      <c r="H215" s="6" t="str">
        <f t="shared" si="4"/>
        <v>E</v>
      </c>
      <c r="I215" s="6" t="str">
        <f t="shared" si="5"/>
        <v>Transformative change</v>
      </c>
      <c r="J215" s="6" t="str">
        <f t="shared" si="6"/>
        <v>Medium</v>
      </c>
      <c r="K215" s="6">
        <f t="shared" si="7"/>
        <v>1974790</v>
      </c>
      <c r="L215" s="6">
        <f t="shared" si="8"/>
        <v>21008.74325</v>
      </c>
    </row>
    <row r="216">
      <c r="A216" s="4" t="s">
        <v>608</v>
      </c>
      <c r="B216" s="4" t="s">
        <v>609</v>
      </c>
      <c r="C216" s="4" t="s">
        <v>74</v>
      </c>
      <c r="D216" s="5">
        <v>13809.0</v>
      </c>
      <c r="E216" s="6">
        <f t="shared" si="1"/>
        <v>3</v>
      </c>
      <c r="F216" s="6">
        <f t="shared" si="2"/>
        <v>24232</v>
      </c>
      <c r="G216" s="6">
        <f t="shared" si="3"/>
        <v>17116</v>
      </c>
      <c r="H216" s="6" t="str">
        <f t="shared" si="4"/>
        <v>G</v>
      </c>
      <c r="I216" s="6" t="str">
        <f t="shared" si="5"/>
        <v>Transformative change</v>
      </c>
      <c r="J216" s="6" t="str">
        <f t="shared" si="6"/>
        <v>Low</v>
      </c>
      <c r="K216" s="6">
        <f t="shared" si="7"/>
        <v>3742666</v>
      </c>
      <c r="L216" s="6">
        <f t="shared" si="8"/>
        <v>2091651.947</v>
      </c>
    </row>
    <row r="217">
      <c r="A217" s="4" t="s">
        <v>610</v>
      </c>
      <c r="B217" s="4" t="s">
        <v>611</v>
      </c>
      <c r="C217" s="4" t="s">
        <v>612</v>
      </c>
      <c r="D217" s="5">
        <v>53678.0</v>
      </c>
      <c r="E217" s="6">
        <f t="shared" si="1"/>
        <v>4</v>
      </c>
      <c r="F217" s="6">
        <f t="shared" si="2"/>
        <v>59161</v>
      </c>
      <c r="G217" s="6">
        <f t="shared" si="3"/>
        <v>50033</v>
      </c>
      <c r="H217" s="6" t="str">
        <f t="shared" si="4"/>
        <v>D</v>
      </c>
      <c r="I217" s="6" t="str">
        <f t="shared" si="5"/>
        <v>Transformative change</v>
      </c>
      <c r="J217" s="6" t="str">
        <f t="shared" si="6"/>
        <v>Medium</v>
      </c>
      <c r="K217" s="6">
        <f t="shared" si="7"/>
        <v>2444269</v>
      </c>
      <c r="L217" s="6">
        <f t="shared" si="8"/>
        <v>425929.5468</v>
      </c>
    </row>
    <row r="218">
      <c r="A218" s="4" t="s">
        <v>613</v>
      </c>
      <c r="B218" s="4" t="s">
        <v>614</v>
      </c>
      <c r="C218" s="4" t="s">
        <v>615</v>
      </c>
      <c r="D218" s="5">
        <v>18907.0</v>
      </c>
      <c r="E218" s="6">
        <f t="shared" si="1"/>
        <v>2</v>
      </c>
      <c r="F218" s="6">
        <f t="shared" si="2"/>
        <v>26599</v>
      </c>
      <c r="G218" s="6">
        <f t="shared" si="3"/>
        <v>44821</v>
      </c>
      <c r="H218" s="6" t="str">
        <f t="shared" si="4"/>
        <v>D</v>
      </c>
      <c r="I218" s="6" t="str">
        <f t="shared" si="5"/>
        <v>High ambition</v>
      </c>
      <c r="J218" s="6" t="str">
        <f t="shared" si="6"/>
        <v>Low</v>
      </c>
      <c r="K218" s="6">
        <f t="shared" si="7"/>
        <v>661732</v>
      </c>
      <c r="L218" s="6">
        <f t="shared" si="8"/>
        <v>365989.6669</v>
      </c>
    </row>
    <row r="219">
      <c r="A219" s="4" t="s">
        <v>616</v>
      </c>
      <c r="B219" s="4" t="s">
        <v>617</v>
      </c>
      <c r="C219" s="4" t="s">
        <v>74</v>
      </c>
      <c r="D219" s="5">
        <v>5756.0</v>
      </c>
      <c r="E219" s="6">
        <f t="shared" si="1"/>
        <v>1</v>
      </c>
      <c r="F219" s="6">
        <f t="shared" si="2"/>
        <v>57026</v>
      </c>
      <c r="G219" s="6">
        <f t="shared" si="3"/>
        <v>7093</v>
      </c>
      <c r="H219" s="6" t="str">
        <f t="shared" si="4"/>
        <v>C</v>
      </c>
      <c r="I219" s="6" t="str">
        <f t="shared" si="5"/>
        <v>Transformative change</v>
      </c>
      <c r="J219" s="6" t="str">
        <f t="shared" si="6"/>
        <v>Medium</v>
      </c>
      <c r="K219" s="6">
        <f t="shared" si="7"/>
        <v>1797114</v>
      </c>
      <c r="L219" s="6">
        <f t="shared" si="8"/>
        <v>502453.1017</v>
      </c>
    </row>
    <row r="220">
      <c r="A220" s="4" t="s">
        <v>618</v>
      </c>
      <c r="B220" s="4" t="s">
        <v>619</v>
      </c>
      <c r="C220" s="4" t="s">
        <v>620</v>
      </c>
      <c r="D220" s="5">
        <v>14167.0</v>
      </c>
      <c r="E220" s="6">
        <f t="shared" si="1"/>
        <v>1</v>
      </c>
      <c r="F220" s="6">
        <f t="shared" si="2"/>
        <v>50611</v>
      </c>
      <c r="G220" s="6">
        <f t="shared" si="3"/>
        <v>38169</v>
      </c>
      <c r="H220" s="6" t="str">
        <f t="shared" si="4"/>
        <v>B</v>
      </c>
      <c r="I220" s="6" t="str">
        <f t="shared" si="5"/>
        <v>Transformative change</v>
      </c>
      <c r="J220" s="6" t="str">
        <f t="shared" si="6"/>
        <v>Low</v>
      </c>
      <c r="K220" s="6">
        <f t="shared" si="7"/>
        <v>1658882</v>
      </c>
      <c r="L220" s="6">
        <f t="shared" si="8"/>
        <v>1160976.775</v>
      </c>
    </row>
    <row r="221">
      <c r="A221" s="4" t="s">
        <v>621</v>
      </c>
      <c r="B221" s="4" t="s">
        <v>622</v>
      </c>
      <c r="C221" s="4" t="s">
        <v>623</v>
      </c>
      <c r="D221" s="5">
        <v>16039.0</v>
      </c>
      <c r="E221" s="6">
        <f t="shared" si="1"/>
        <v>2</v>
      </c>
      <c r="F221" s="6">
        <f t="shared" si="2"/>
        <v>74508</v>
      </c>
      <c r="G221" s="6">
        <f t="shared" si="3"/>
        <v>20371</v>
      </c>
      <c r="H221" s="6" t="str">
        <f t="shared" si="4"/>
        <v>E</v>
      </c>
      <c r="I221" s="6" t="str">
        <f t="shared" si="5"/>
        <v>Transformative change</v>
      </c>
      <c r="J221" s="6" t="str">
        <f t="shared" si="6"/>
        <v>High</v>
      </c>
      <c r="K221" s="6">
        <f t="shared" si="7"/>
        <v>1693293</v>
      </c>
      <c r="L221" s="6">
        <f t="shared" si="8"/>
        <v>625455.1245</v>
      </c>
    </row>
    <row r="222">
      <c r="A222" s="4" t="s">
        <v>624</v>
      </c>
      <c r="B222" s="4" t="s">
        <v>625</v>
      </c>
      <c r="C222" s="4" t="s">
        <v>626</v>
      </c>
      <c r="D222" s="5">
        <v>9575.0</v>
      </c>
      <c r="E222" s="6">
        <f t="shared" si="1"/>
        <v>2</v>
      </c>
      <c r="F222" s="6">
        <f t="shared" si="2"/>
        <v>11805</v>
      </c>
      <c r="G222" s="6">
        <f t="shared" si="3"/>
        <v>66087</v>
      </c>
      <c r="H222" s="6" t="str">
        <f t="shared" si="4"/>
        <v>G</v>
      </c>
      <c r="I222" s="6" t="str">
        <f t="shared" si="5"/>
        <v>High ambition</v>
      </c>
      <c r="J222" s="6" t="str">
        <f t="shared" si="6"/>
        <v>Medium</v>
      </c>
      <c r="K222" s="6">
        <f t="shared" si="7"/>
        <v>1677368</v>
      </c>
      <c r="L222" s="6">
        <f t="shared" si="8"/>
        <v>970155.1553</v>
      </c>
    </row>
    <row r="223">
      <c r="A223" s="4" t="s">
        <v>412</v>
      </c>
      <c r="B223" s="4" t="s">
        <v>627</v>
      </c>
      <c r="C223" s="4" t="s">
        <v>628</v>
      </c>
      <c r="D223" s="5">
        <v>91575.0</v>
      </c>
      <c r="E223" s="6">
        <f t="shared" si="1"/>
        <v>3</v>
      </c>
      <c r="F223" s="6">
        <f t="shared" si="2"/>
        <v>85637</v>
      </c>
      <c r="G223" s="6">
        <f t="shared" si="3"/>
        <v>52788</v>
      </c>
      <c r="H223" s="6" t="str">
        <f t="shared" si="4"/>
        <v>F</v>
      </c>
      <c r="I223" s="6" t="str">
        <f t="shared" si="5"/>
        <v>High ambition</v>
      </c>
      <c r="J223" s="6" t="str">
        <f t="shared" si="6"/>
        <v>Low</v>
      </c>
      <c r="K223" s="6">
        <f t="shared" si="7"/>
        <v>1960211</v>
      </c>
      <c r="L223" s="6">
        <f t="shared" si="8"/>
        <v>1389356.894</v>
      </c>
    </row>
    <row r="224">
      <c r="A224" s="4" t="s">
        <v>629</v>
      </c>
      <c r="B224" s="4" t="s">
        <v>630</v>
      </c>
      <c r="C224" s="4" t="s">
        <v>631</v>
      </c>
      <c r="D224" s="5">
        <v>16471.0</v>
      </c>
      <c r="E224" s="6">
        <f t="shared" si="1"/>
        <v>3</v>
      </c>
      <c r="F224" s="6">
        <f t="shared" si="2"/>
        <v>84467</v>
      </c>
      <c r="G224" s="6">
        <f t="shared" si="3"/>
        <v>39362</v>
      </c>
      <c r="H224" s="6" t="str">
        <f t="shared" si="4"/>
        <v>G</v>
      </c>
      <c r="I224" s="6" t="str">
        <f t="shared" si="5"/>
        <v>Transformative change</v>
      </c>
      <c r="J224" s="6" t="str">
        <f t="shared" si="6"/>
        <v>Low</v>
      </c>
      <c r="K224" s="6">
        <f t="shared" si="7"/>
        <v>2769361</v>
      </c>
      <c r="L224" s="6">
        <f t="shared" si="8"/>
        <v>1181316.213</v>
      </c>
    </row>
    <row r="225">
      <c r="A225" s="4" t="s">
        <v>632</v>
      </c>
      <c r="B225" s="4" t="s">
        <v>633</v>
      </c>
      <c r="C225" s="4" t="s">
        <v>634</v>
      </c>
      <c r="D225" s="5">
        <v>11656.0</v>
      </c>
      <c r="E225" s="6">
        <f t="shared" si="1"/>
        <v>3</v>
      </c>
      <c r="F225" s="6">
        <f t="shared" si="2"/>
        <v>39049</v>
      </c>
      <c r="G225" s="6">
        <f t="shared" si="3"/>
        <v>38176</v>
      </c>
      <c r="H225" s="6" t="str">
        <f t="shared" si="4"/>
        <v>D</v>
      </c>
      <c r="I225" s="6" t="str">
        <f t="shared" si="5"/>
        <v>Transformative change</v>
      </c>
      <c r="J225" s="6" t="str">
        <f t="shared" si="6"/>
        <v>High</v>
      </c>
      <c r="K225" s="6">
        <f t="shared" si="7"/>
        <v>968916</v>
      </c>
      <c r="L225" s="6">
        <f t="shared" si="8"/>
        <v>933719.2565</v>
      </c>
    </row>
    <row r="226">
      <c r="A226" s="4" t="s">
        <v>635</v>
      </c>
      <c r="B226" s="4" t="s">
        <v>636</v>
      </c>
      <c r="C226" s="4" t="s">
        <v>637</v>
      </c>
      <c r="D226" s="5">
        <v>5537.0</v>
      </c>
      <c r="E226" s="6">
        <f t="shared" si="1"/>
        <v>4</v>
      </c>
      <c r="F226" s="6">
        <f t="shared" si="2"/>
        <v>30078</v>
      </c>
      <c r="G226" s="6">
        <f t="shared" si="3"/>
        <v>8604</v>
      </c>
      <c r="H226" s="6" t="str">
        <f t="shared" si="4"/>
        <v>E</v>
      </c>
      <c r="I226" s="6" t="str">
        <f t="shared" si="5"/>
        <v>Transformative change</v>
      </c>
      <c r="J226" s="6" t="str">
        <f t="shared" si="6"/>
        <v>High</v>
      </c>
      <c r="K226" s="6">
        <f t="shared" si="7"/>
        <v>1486140</v>
      </c>
      <c r="L226" s="6">
        <f t="shared" si="8"/>
        <v>1475950.013</v>
      </c>
    </row>
    <row r="227">
      <c r="A227" s="4" t="s">
        <v>638</v>
      </c>
      <c r="B227" s="4" t="s">
        <v>639</v>
      </c>
      <c r="C227" s="4" t="s">
        <v>640</v>
      </c>
      <c r="D227" s="5">
        <v>396662.0</v>
      </c>
      <c r="E227" s="6">
        <f t="shared" si="1"/>
        <v>1</v>
      </c>
      <c r="F227" s="6">
        <f t="shared" si="2"/>
        <v>64034</v>
      </c>
      <c r="G227" s="6">
        <f t="shared" si="3"/>
        <v>34989</v>
      </c>
      <c r="H227" s="6" t="str">
        <f t="shared" si="4"/>
        <v>C</v>
      </c>
      <c r="I227" s="6" t="str">
        <f t="shared" si="5"/>
        <v>Transformative change</v>
      </c>
      <c r="J227" s="6" t="str">
        <f t="shared" si="6"/>
        <v>Low</v>
      </c>
      <c r="K227" s="6">
        <f t="shared" si="7"/>
        <v>2213271</v>
      </c>
      <c r="L227" s="6">
        <f t="shared" si="8"/>
        <v>1884644.492</v>
      </c>
    </row>
    <row r="228">
      <c r="A228" s="4" t="s">
        <v>641</v>
      </c>
      <c r="B228" s="4" t="s">
        <v>642</v>
      </c>
      <c r="C228" s="4" t="s">
        <v>576</v>
      </c>
      <c r="D228" s="5">
        <v>5524.0</v>
      </c>
      <c r="E228" s="6">
        <f t="shared" si="1"/>
        <v>3</v>
      </c>
      <c r="F228" s="6">
        <f t="shared" si="2"/>
        <v>97223</v>
      </c>
      <c r="G228" s="6">
        <f t="shared" si="3"/>
        <v>39727</v>
      </c>
      <c r="H228" s="6" t="str">
        <f t="shared" si="4"/>
        <v>E</v>
      </c>
      <c r="I228" s="6" t="str">
        <f t="shared" si="5"/>
        <v>Transformative change</v>
      </c>
      <c r="J228" s="6" t="str">
        <f t="shared" si="6"/>
        <v>Medium</v>
      </c>
      <c r="K228" s="6">
        <f t="shared" si="7"/>
        <v>3261251</v>
      </c>
      <c r="L228" s="6">
        <f t="shared" si="8"/>
        <v>366526.8133</v>
      </c>
    </row>
    <row r="229">
      <c r="A229" s="4" t="s">
        <v>643</v>
      </c>
      <c r="B229" s="4" t="s">
        <v>644</v>
      </c>
      <c r="C229" s="4" t="s">
        <v>645</v>
      </c>
      <c r="D229" s="5">
        <v>8152.0</v>
      </c>
      <c r="E229" s="6">
        <f t="shared" si="1"/>
        <v>5</v>
      </c>
      <c r="F229" s="6">
        <f t="shared" si="2"/>
        <v>18536</v>
      </c>
      <c r="G229" s="6">
        <f t="shared" si="3"/>
        <v>29484</v>
      </c>
      <c r="H229" s="6" t="str">
        <f t="shared" si="4"/>
        <v>C</v>
      </c>
      <c r="I229" s="6" t="str">
        <f t="shared" si="5"/>
        <v>Transformative change</v>
      </c>
      <c r="J229" s="6" t="str">
        <f t="shared" si="6"/>
        <v>Low</v>
      </c>
      <c r="K229" s="6">
        <f t="shared" si="7"/>
        <v>1352098</v>
      </c>
      <c r="L229" s="6">
        <f t="shared" si="8"/>
        <v>1034281.534</v>
      </c>
    </row>
    <row r="230">
      <c r="A230" s="4" t="s">
        <v>646</v>
      </c>
      <c r="B230" s="4" t="s">
        <v>647</v>
      </c>
      <c r="C230" s="4" t="s">
        <v>74</v>
      </c>
      <c r="D230" s="5">
        <v>14394.0</v>
      </c>
      <c r="E230" s="6">
        <f t="shared" si="1"/>
        <v>4</v>
      </c>
      <c r="F230" s="6">
        <f t="shared" si="2"/>
        <v>13925</v>
      </c>
      <c r="G230" s="6">
        <f t="shared" si="3"/>
        <v>46227</v>
      </c>
      <c r="H230" s="6" t="str">
        <f t="shared" si="4"/>
        <v>B</v>
      </c>
      <c r="I230" s="6" t="str">
        <f t="shared" si="5"/>
        <v>High ambition</v>
      </c>
      <c r="J230" s="6" t="str">
        <f t="shared" si="6"/>
        <v>Low</v>
      </c>
      <c r="K230" s="6">
        <f t="shared" si="7"/>
        <v>2406633</v>
      </c>
      <c r="L230" s="6">
        <f t="shared" si="8"/>
        <v>1206984.394</v>
      </c>
    </row>
    <row r="231">
      <c r="A231" s="4" t="s">
        <v>648</v>
      </c>
      <c r="B231" s="4" t="s">
        <v>649</v>
      </c>
      <c r="C231" s="4" t="s">
        <v>650</v>
      </c>
      <c r="D231" s="5">
        <v>15903.0</v>
      </c>
      <c r="E231" s="6">
        <f t="shared" si="1"/>
        <v>3</v>
      </c>
      <c r="F231" s="6">
        <f t="shared" si="2"/>
        <v>94097</v>
      </c>
      <c r="G231" s="6">
        <f t="shared" si="3"/>
        <v>47800</v>
      </c>
      <c r="H231" s="6" t="str">
        <f t="shared" si="4"/>
        <v>G</v>
      </c>
      <c r="I231" s="6" t="str">
        <f t="shared" si="5"/>
        <v>High ambition</v>
      </c>
      <c r="J231" s="6" t="str">
        <f t="shared" si="6"/>
        <v>High</v>
      </c>
      <c r="K231" s="6">
        <f t="shared" si="7"/>
        <v>3214288</v>
      </c>
      <c r="L231" s="6">
        <f t="shared" si="8"/>
        <v>2789896.978</v>
      </c>
    </row>
    <row r="232">
      <c r="A232" s="4" t="s">
        <v>651</v>
      </c>
      <c r="B232" s="4" t="s">
        <v>652</v>
      </c>
      <c r="C232" s="4" t="s">
        <v>653</v>
      </c>
      <c r="D232" s="5">
        <v>319013.0</v>
      </c>
      <c r="E232" s="6">
        <f t="shared" si="1"/>
        <v>3</v>
      </c>
      <c r="F232" s="6">
        <f t="shared" si="2"/>
        <v>41446</v>
      </c>
      <c r="G232" s="6">
        <f t="shared" si="3"/>
        <v>18817</v>
      </c>
      <c r="H232" s="6" t="str">
        <f t="shared" si="4"/>
        <v>D</v>
      </c>
      <c r="I232" s="6" t="str">
        <f t="shared" si="5"/>
        <v>High ambition</v>
      </c>
      <c r="J232" s="6" t="str">
        <f t="shared" si="6"/>
        <v>High</v>
      </c>
      <c r="K232" s="6">
        <f t="shared" si="7"/>
        <v>981710</v>
      </c>
      <c r="L232" s="6">
        <f t="shared" si="8"/>
        <v>275631.9782</v>
      </c>
    </row>
    <row r="233">
      <c r="A233" s="4" t="s">
        <v>654</v>
      </c>
      <c r="B233" s="4" t="s">
        <v>655</v>
      </c>
      <c r="C233" s="4" t="s">
        <v>656</v>
      </c>
      <c r="D233" s="5">
        <v>50560.0</v>
      </c>
      <c r="E233" s="6">
        <f t="shared" si="1"/>
        <v>5</v>
      </c>
      <c r="F233" s="6">
        <f t="shared" si="2"/>
        <v>76736</v>
      </c>
      <c r="G233" s="6">
        <f t="shared" si="3"/>
        <v>57045</v>
      </c>
      <c r="H233" s="6" t="str">
        <f t="shared" si="4"/>
        <v>B</v>
      </c>
      <c r="I233" s="6" t="str">
        <f t="shared" si="5"/>
        <v>Transformative change</v>
      </c>
      <c r="J233" s="6" t="str">
        <f t="shared" si="6"/>
        <v>High</v>
      </c>
      <c r="K233" s="6">
        <f t="shared" si="7"/>
        <v>3426880</v>
      </c>
      <c r="L233" s="6">
        <f t="shared" si="8"/>
        <v>564977.988</v>
      </c>
    </row>
    <row r="234">
      <c r="A234" s="4" t="s">
        <v>657</v>
      </c>
      <c r="B234" s="4" t="s">
        <v>658</v>
      </c>
      <c r="C234" s="4" t="s">
        <v>659</v>
      </c>
      <c r="D234" s="5">
        <v>9979.0</v>
      </c>
      <c r="E234" s="6">
        <f t="shared" si="1"/>
        <v>4</v>
      </c>
      <c r="F234" s="6">
        <f t="shared" si="2"/>
        <v>22513</v>
      </c>
      <c r="G234" s="6">
        <f t="shared" si="3"/>
        <v>9339</v>
      </c>
      <c r="H234" s="6" t="str">
        <f t="shared" si="4"/>
        <v>A</v>
      </c>
      <c r="I234" s="6" t="str">
        <f t="shared" si="5"/>
        <v>Transformative change</v>
      </c>
      <c r="J234" s="6" t="str">
        <f t="shared" si="6"/>
        <v>Medium</v>
      </c>
      <c r="K234" s="6">
        <f t="shared" si="7"/>
        <v>1195462</v>
      </c>
      <c r="L234" s="6">
        <f t="shared" si="8"/>
        <v>855992.9929</v>
      </c>
    </row>
    <row r="235">
      <c r="A235" s="4" t="s">
        <v>660</v>
      </c>
      <c r="B235" s="4" t="s">
        <v>661</v>
      </c>
      <c r="C235" s="4" t="s">
        <v>662</v>
      </c>
      <c r="D235" s="5">
        <v>5061.0</v>
      </c>
      <c r="E235" s="6">
        <f t="shared" si="1"/>
        <v>1</v>
      </c>
      <c r="F235" s="6">
        <f t="shared" si="2"/>
        <v>56794</v>
      </c>
      <c r="G235" s="6">
        <f t="shared" si="3"/>
        <v>1135</v>
      </c>
      <c r="H235" s="6" t="str">
        <f t="shared" si="4"/>
        <v>G</v>
      </c>
      <c r="I235" s="6" t="str">
        <f t="shared" si="5"/>
        <v>Transformative change</v>
      </c>
      <c r="J235" s="6" t="str">
        <f t="shared" si="6"/>
        <v>Low</v>
      </c>
      <c r="K235" s="6">
        <f t="shared" si="7"/>
        <v>3966114</v>
      </c>
      <c r="L235" s="6">
        <f t="shared" si="8"/>
        <v>165486.0749</v>
      </c>
    </row>
    <row r="236">
      <c r="A236" s="4" t="s">
        <v>663</v>
      </c>
      <c r="B236" s="4" t="s">
        <v>664</v>
      </c>
      <c r="C236" s="4" t="s">
        <v>74</v>
      </c>
      <c r="D236" s="5">
        <v>10676.0</v>
      </c>
      <c r="E236" s="6">
        <f t="shared" si="1"/>
        <v>1</v>
      </c>
      <c r="F236" s="6">
        <f t="shared" si="2"/>
        <v>99006</v>
      </c>
      <c r="G236" s="6">
        <f t="shared" si="3"/>
        <v>40042</v>
      </c>
      <c r="H236" s="6" t="str">
        <f t="shared" si="4"/>
        <v>F</v>
      </c>
      <c r="I236" s="6" t="str">
        <f t="shared" si="5"/>
        <v>Transformative change</v>
      </c>
      <c r="J236" s="6" t="str">
        <f t="shared" si="6"/>
        <v>Medium</v>
      </c>
      <c r="K236" s="6">
        <f t="shared" si="7"/>
        <v>1041454</v>
      </c>
      <c r="L236" s="6">
        <f t="shared" si="8"/>
        <v>712676.5106</v>
      </c>
    </row>
    <row r="237">
      <c r="A237" s="4" t="s">
        <v>665</v>
      </c>
      <c r="B237" s="4" t="s">
        <v>666</v>
      </c>
      <c r="C237" s="4" t="s">
        <v>667</v>
      </c>
      <c r="D237" s="5">
        <v>7791.0</v>
      </c>
      <c r="E237" s="6">
        <f t="shared" si="1"/>
        <v>5</v>
      </c>
      <c r="F237" s="6">
        <f t="shared" si="2"/>
        <v>88705</v>
      </c>
      <c r="G237" s="6">
        <f t="shared" si="3"/>
        <v>9704</v>
      </c>
      <c r="H237" s="6" t="str">
        <f t="shared" si="4"/>
        <v>G</v>
      </c>
      <c r="I237" s="6" t="str">
        <f t="shared" si="5"/>
        <v>Transformative change</v>
      </c>
      <c r="J237" s="6" t="str">
        <f t="shared" si="6"/>
        <v>High</v>
      </c>
      <c r="K237" s="6">
        <f t="shared" si="7"/>
        <v>1251440</v>
      </c>
      <c r="L237" s="6">
        <f t="shared" si="8"/>
        <v>976892.5338</v>
      </c>
    </row>
    <row r="238">
      <c r="A238" s="4" t="s">
        <v>668</v>
      </c>
      <c r="B238" s="4" t="s">
        <v>669</v>
      </c>
      <c r="C238" s="4" t="s">
        <v>670</v>
      </c>
      <c r="D238" s="5">
        <v>18951.0</v>
      </c>
      <c r="E238" s="6">
        <f t="shared" si="1"/>
        <v>3</v>
      </c>
      <c r="F238" s="6">
        <f t="shared" si="2"/>
        <v>12077</v>
      </c>
      <c r="G238" s="6">
        <f t="shared" si="3"/>
        <v>17955</v>
      </c>
      <c r="H238" s="6" t="str">
        <f t="shared" si="4"/>
        <v>G</v>
      </c>
      <c r="I238" s="6" t="str">
        <f t="shared" si="5"/>
        <v>Transformative change</v>
      </c>
      <c r="J238" s="6" t="str">
        <f t="shared" si="6"/>
        <v>High</v>
      </c>
      <c r="K238" s="6">
        <f t="shared" si="7"/>
        <v>3065835</v>
      </c>
      <c r="L238" s="6">
        <f t="shared" si="8"/>
        <v>1108764.092</v>
      </c>
    </row>
    <row r="239">
      <c r="A239" s="4" t="s">
        <v>671</v>
      </c>
      <c r="B239" s="4" t="s">
        <v>672</v>
      </c>
      <c r="C239" s="4" t="s">
        <v>673</v>
      </c>
      <c r="D239" s="5">
        <v>11694.0</v>
      </c>
      <c r="E239" s="6">
        <f t="shared" si="1"/>
        <v>2</v>
      </c>
      <c r="F239" s="6">
        <f t="shared" si="2"/>
        <v>25720</v>
      </c>
      <c r="G239" s="6">
        <f t="shared" si="3"/>
        <v>28622</v>
      </c>
      <c r="H239" s="6" t="str">
        <f t="shared" si="4"/>
        <v>A</v>
      </c>
      <c r="I239" s="6" t="str">
        <f t="shared" si="5"/>
        <v>Transformative change</v>
      </c>
      <c r="J239" s="6" t="str">
        <f t="shared" si="6"/>
        <v>Low</v>
      </c>
      <c r="K239" s="6">
        <f t="shared" si="7"/>
        <v>242514</v>
      </c>
      <c r="L239" s="6">
        <f t="shared" si="8"/>
        <v>132520.7135</v>
      </c>
    </row>
    <row r="240">
      <c r="A240" s="4" t="s">
        <v>151</v>
      </c>
      <c r="B240" s="4" t="s">
        <v>674</v>
      </c>
      <c r="C240" s="4" t="s">
        <v>675</v>
      </c>
      <c r="D240" s="5">
        <v>12505.0</v>
      </c>
      <c r="E240" s="6">
        <f t="shared" si="1"/>
        <v>3</v>
      </c>
      <c r="F240" s="6">
        <f t="shared" si="2"/>
        <v>71730</v>
      </c>
      <c r="G240" s="6">
        <f t="shared" si="3"/>
        <v>35166</v>
      </c>
      <c r="H240" s="6" t="str">
        <f t="shared" si="4"/>
        <v>F</v>
      </c>
      <c r="I240" s="6" t="str">
        <f t="shared" si="5"/>
        <v>Transformative change</v>
      </c>
      <c r="J240" s="6" t="str">
        <f t="shared" si="6"/>
        <v>High</v>
      </c>
      <c r="K240" s="6">
        <f t="shared" si="7"/>
        <v>2608314</v>
      </c>
      <c r="L240" s="6">
        <f t="shared" si="8"/>
        <v>1653364.735</v>
      </c>
    </row>
    <row r="241">
      <c r="A241" s="4" t="s">
        <v>676</v>
      </c>
      <c r="B241" s="4" t="s">
        <v>677</v>
      </c>
      <c r="C241" s="4" t="s">
        <v>678</v>
      </c>
      <c r="D241" s="5">
        <v>25098.0</v>
      </c>
      <c r="E241" s="6">
        <f t="shared" si="1"/>
        <v>1</v>
      </c>
      <c r="F241" s="6">
        <f t="shared" si="2"/>
        <v>68581</v>
      </c>
      <c r="G241" s="6">
        <f t="shared" si="3"/>
        <v>20270</v>
      </c>
      <c r="H241" s="6" t="str">
        <f t="shared" si="4"/>
        <v>D</v>
      </c>
      <c r="I241" s="6" t="str">
        <f t="shared" si="5"/>
        <v>Transformative change</v>
      </c>
      <c r="J241" s="6" t="str">
        <f t="shared" si="6"/>
        <v>Low</v>
      </c>
      <c r="K241" s="6">
        <f t="shared" si="7"/>
        <v>1079145</v>
      </c>
      <c r="L241" s="6">
        <f t="shared" si="8"/>
        <v>373889.1938</v>
      </c>
    </row>
    <row r="242">
      <c r="A242" s="4" t="s">
        <v>679</v>
      </c>
      <c r="B242" s="4" t="s">
        <v>680</v>
      </c>
      <c r="C242" s="4" t="s">
        <v>681</v>
      </c>
      <c r="D242" s="5">
        <v>16234.0</v>
      </c>
      <c r="E242" s="6">
        <f t="shared" si="1"/>
        <v>5</v>
      </c>
      <c r="F242" s="6">
        <f t="shared" si="2"/>
        <v>22829</v>
      </c>
      <c r="G242" s="6">
        <f t="shared" si="3"/>
        <v>8824</v>
      </c>
      <c r="H242" s="6" t="str">
        <f t="shared" si="4"/>
        <v>F</v>
      </c>
      <c r="I242" s="6" t="str">
        <f t="shared" si="5"/>
        <v>High ambition</v>
      </c>
      <c r="J242" s="6" t="str">
        <f t="shared" si="6"/>
        <v>High</v>
      </c>
      <c r="K242" s="6">
        <f t="shared" si="7"/>
        <v>1056095</v>
      </c>
      <c r="L242" s="6">
        <f t="shared" si="8"/>
        <v>770854.5876</v>
      </c>
    </row>
    <row r="243">
      <c r="A243" s="4" t="s">
        <v>682</v>
      </c>
      <c r="B243" s="4" t="s">
        <v>683</v>
      </c>
      <c r="C243" s="4" t="s">
        <v>684</v>
      </c>
      <c r="D243" s="5">
        <v>13532.0</v>
      </c>
      <c r="E243" s="6">
        <f t="shared" si="1"/>
        <v>1</v>
      </c>
      <c r="F243" s="6">
        <f t="shared" si="2"/>
        <v>19127</v>
      </c>
      <c r="G243" s="6">
        <f t="shared" si="3"/>
        <v>7770</v>
      </c>
      <c r="H243" s="6" t="str">
        <f t="shared" si="4"/>
        <v>C</v>
      </c>
      <c r="I243" s="6" t="str">
        <f t="shared" si="5"/>
        <v>Transformative change</v>
      </c>
      <c r="J243" s="6" t="str">
        <f t="shared" si="6"/>
        <v>Medium</v>
      </c>
      <c r="K243" s="6">
        <f t="shared" si="7"/>
        <v>3804224</v>
      </c>
      <c r="L243" s="6">
        <f t="shared" si="8"/>
        <v>1759196.526</v>
      </c>
    </row>
    <row r="244">
      <c r="A244" s="4" t="s">
        <v>685</v>
      </c>
      <c r="B244" s="4" t="s">
        <v>686</v>
      </c>
      <c r="C244" s="4" t="s">
        <v>687</v>
      </c>
      <c r="D244" s="5">
        <v>15731.0</v>
      </c>
      <c r="E244" s="6">
        <f t="shared" si="1"/>
        <v>2</v>
      </c>
      <c r="F244" s="6">
        <f t="shared" si="2"/>
        <v>70567</v>
      </c>
      <c r="G244" s="6">
        <f t="shared" si="3"/>
        <v>52945</v>
      </c>
      <c r="H244" s="6" t="str">
        <f t="shared" si="4"/>
        <v>B</v>
      </c>
      <c r="I244" s="6" t="str">
        <f t="shared" si="5"/>
        <v>Transformative change</v>
      </c>
      <c r="J244" s="6" t="str">
        <f t="shared" si="6"/>
        <v>High</v>
      </c>
      <c r="K244" s="6">
        <f t="shared" si="7"/>
        <v>2530790</v>
      </c>
      <c r="L244" s="6">
        <f t="shared" si="8"/>
        <v>1462085.659</v>
      </c>
    </row>
    <row r="245">
      <c r="A245" s="4" t="s">
        <v>688</v>
      </c>
      <c r="B245" s="4" t="s">
        <v>689</v>
      </c>
      <c r="C245" s="4" t="s">
        <v>690</v>
      </c>
      <c r="D245" s="5">
        <v>15013.0</v>
      </c>
      <c r="E245" s="6">
        <f t="shared" si="1"/>
        <v>1</v>
      </c>
      <c r="F245" s="6">
        <f t="shared" si="2"/>
        <v>31861</v>
      </c>
      <c r="G245" s="6">
        <f t="shared" si="3"/>
        <v>9924</v>
      </c>
      <c r="H245" s="6" t="str">
        <f t="shared" si="4"/>
        <v>F</v>
      </c>
      <c r="I245" s="6" t="str">
        <f t="shared" si="5"/>
        <v>High ambition</v>
      </c>
      <c r="J245" s="6" t="str">
        <f t="shared" si="6"/>
        <v>Medium</v>
      </c>
      <c r="K245" s="6">
        <f t="shared" si="7"/>
        <v>1469611</v>
      </c>
      <c r="L245" s="6">
        <f t="shared" si="8"/>
        <v>1257113.031</v>
      </c>
    </row>
    <row r="246">
      <c r="A246" s="4" t="s">
        <v>691</v>
      </c>
      <c r="B246" s="4" t="s">
        <v>692</v>
      </c>
      <c r="C246" s="4" t="s">
        <v>74</v>
      </c>
      <c r="D246" s="5">
        <v>5535.0</v>
      </c>
      <c r="E246" s="6">
        <f t="shared" si="1"/>
        <v>2</v>
      </c>
      <c r="F246" s="6">
        <f t="shared" si="2"/>
        <v>96368</v>
      </c>
      <c r="G246" s="6">
        <f t="shared" si="3"/>
        <v>7156</v>
      </c>
      <c r="H246" s="6" t="str">
        <f t="shared" si="4"/>
        <v>F</v>
      </c>
      <c r="I246" s="6" t="str">
        <f t="shared" si="5"/>
        <v>Transformative change</v>
      </c>
      <c r="J246" s="6" t="str">
        <f t="shared" si="6"/>
        <v>Medium</v>
      </c>
      <c r="K246" s="6">
        <f t="shared" si="7"/>
        <v>3908288</v>
      </c>
      <c r="L246" s="6">
        <f t="shared" si="8"/>
        <v>1496924.58</v>
      </c>
    </row>
    <row r="247">
      <c r="A247" s="4" t="s">
        <v>693</v>
      </c>
      <c r="B247" s="4" t="s">
        <v>694</v>
      </c>
      <c r="C247" s="4" t="s">
        <v>74</v>
      </c>
      <c r="D247" s="5">
        <v>9769.0</v>
      </c>
      <c r="E247" s="6">
        <f t="shared" si="1"/>
        <v>4</v>
      </c>
      <c r="F247" s="6">
        <f t="shared" si="2"/>
        <v>70454</v>
      </c>
      <c r="G247" s="6">
        <f t="shared" si="3"/>
        <v>5910</v>
      </c>
      <c r="H247" s="6" t="str">
        <f t="shared" si="4"/>
        <v>A</v>
      </c>
      <c r="I247" s="6" t="str">
        <f t="shared" si="5"/>
        <v>Transformative change</v>
      </c>
      <c r="J247" s="6" t="str">
        <f t="shared" si="6"/>
        <v>High</v>
      </c>
      <c r="K247" s="6">
        <f t="shared" si="7"/>
        <v>3205001</v>
      </c>
      <c r="L247" s="6">
        <f t="shared" si="8"/>
        <v>138586.51</v>
      </c>
    </row>
    <row r="248">
      <c r="A248" s="4" t="s">
        <v>695</v>
      </c>
      <c r="B248" s="4" t="s">
        <v>696</v>
      </c>
      <c r="C248" s="4" t="s">
        <v>697</v>
      </c>
      <c r="D248" s="5">
        <v>13041.0</v>
      </c>
      <c r="E248" s="6">
        <f t="shared" si="1"/>
        <v>1</v>
      </c>
      <c r="F248" s="6">
        <f t="shared" si="2"/>
        <v>53241</v>
      </c>
      <c r="G248" s="6">
        <f t="shared" si="3"/>
        <v>34886</v>
      </c>
      <c r="H248" s="6" t="str">
        <f t="shared" si="4"/>
        <v>B</v>
      </c>
      <c r="I248" s="6" t="str">
        <f t="shared" si="5"/>
        <v>Transformative change</v>
      </c>
      <c r="J248" s="6" t="str">
        <f t="shared" si="6"/>
        <v>Low</v>
      </c>
      <c r="K248" s="6">
        <f t="shared" si="7"/>
        <v>3911607</v>
      </c>
      <c r="L248" s="6">
        <f t="shared" si="8"/>
        <v>3639810.76</v>
      </c>
    </row>
    <row r="249">
      <c r="A249" s="4" t="s">
        <v>698</v>
      </c>
      <c r="B249" s="4" t="s">
        <v>699</v>
      </c>
      <c r="C249" s="4" t="s">
        <v>74</v>
      </c>
      <c r="D249" s="5">
        <v>9418.0</v>
      </c>
      <c r="E249" s="6">
        <f t="shared" si="1"/>
        <v>3</v>
      </c>
      <c r="F249" s="6">
        <f t="shared" si="2"/>
        <v>78190</v>
      </c>
      <c r="G249" s="6">
        <f t="shared" si="3"/>
        <v>55135</v>
      </c>
      <c r="H249" s="6" t="str">
        <f t="shared" si="4"/>
        <v>G</v>
      </c>
      <c r="I249" s="6" t="str">
        <f t="shared" si="5"/>
        <v>Transformative change</v>
      </c>
      <c r="J249" s="6" t="str">
        <f t="shared" si="6"/>
        <v>Low</v>
      </c>
      <c r="K249" s="6">
        <f t="shared" si="7"/>
        <v>2109750</v>
      </c>
      <c r="L249" s="6">
        <f t="shared" si="8"/>
        <v>2005757.58</v>
      </c>
    </row>
    <row r="250">
      <c r="A250" s="4" t="s">
        <v>700</v>
      </c>
      <c r="B250" s="4" t="s">
        <v>701</v>
      </c>
      <c r="C250" s="4" t="s">
        <v>702</v>
      </c>
      <c r="D250" s="5">
        <v>11128.0</v>
      </c>
      <c r="E250" s="6">
        <f t="shared" si="1"/>
        <v>2</v>
      </c>
      <c r="F250" s="6">
        <f t="shared" si="2"/>
        <v>21581</v>
      </c>
      <c r="G250" s="6">
        <f t="shared" si="3"/>
        <v>65081</v>
      </c>
      <c r="H250" s="6" t="str">
        <f t="shared" si="4"/>
        <v>G</v>
      </c>
      <c r="I250" s="6" t="str">
        <f t="shared" si="5"/>
        <v>Transformative change</v>
      </c>
      <c r="J250" s="6" t="str">
        <f t="shared" si="6"/>
        <v>High</v>
      </c>
      <c r="K250" s="6">
        <f t="shared" si="7"/>
        <v>1576706</v>
      </c>
      <c r="L250" s="6">
        <f t="shared" si="8"/>
        <v>170168.595</v>
      </c>
    </row>
    <row r="251">
      <c r="A251" s="4" t="s">
        <v>703</v>
      </c>
      <c r="B251" s="4" t="s">
        <v>704</v>
      </c>
      <c r="C251" s="4" t="s">
        <v>74</v>
      </c>
      <c r="D251" s="5">
        <v>12667.0</v>
      </c>
      <c r="E251" s="6">
        <f t="shared" si="1"/>
        <v>3</v>
      </c>
      <c r="F251" s="6">
        <f t="shared" si="2"/>
        <v>29367</v>
      </c>
      <c r="G251" s="6">
        <f t="shared" si="3"/>
        <v>7369</v>
      </c>
      <c r="H251" s="6" t="str">
        <f t="shared" si="4"/>
        <v>C</v>
      </c>
      <c r="I251" s="6" t="str">
        <f t="shared" si="5"/>
        <v>High ambition</v>
      </c>
      <c r="J251" s="6" t="str">
        <f t="shared" si="6"/>
        <v>Medium</v>
      </c>
      <c r="K251" s="6">
        <f t="shared" si="7"/>
        <v>827678</v>
      </c>
      <c r="L251" s="6">
        <f t="shared" si="8"/>
        <v>192252.5983</v>
      </c>
    </row>
    <row r="252">
      <c r="A252" s="4" t="s">
        <v>705</v>
      </c>
      <c r="B252" s="4" t="s">
        <v>706</v>
      </c>
      <c r="C252" s="4" t="s">
        <v>74</v>
      </c>
      <c r="D252" s="5">
        <v>145699.0</v>
      </c>
      <c r="E252" s="6">
        <f t="shared" si="1"/>
        <v>1</v>
      </c>
      <c r="F252" s="6">
        <f t="shared" si="2"/>
        <v>72411</v>
      </c>
      <c r="G252" s="6">
        <f t="shared" si="3"/>
        <v>40736</v>
      </c>
      <c r="H252" s="6" t="str">
        <f t="shared" si="4"/>
        <v>C</v>
      </c>
      <c r="I252" s="6" t="str">
        <f t="shared" si="5"/>
        <v>Transformative change</v>
      </c>
      <c r="J252" s="6" t="str">
        <f t="shared" si="6"/>
        <v>Medium</v>
      </c>
      <c r="K252" s="6">
        <f t="shared" si="7"/>
        <v>1911268</v>
      </c>
      <c r="L252" s="6">
        <f t="shared" si="8"/>
        <v>291535.1421</v>
      </c>
    </row>
    <row r="253">
      <c r="A253" s="4" t="s">
        <v>707</v>
      </c>
      <c r="B253" s="4" t="s">
        <v>708</v>
      </c>
      <c r="C253" s="4" t="s">
        <v>709</v>
      </c>
      <c r="D253" s="5">
        <v>12684.0</v>
      </c>
      <c r="E253" s="6">
        <f t="shared" si="1"/>
        <v>4</v>
      </c>
      <c r="F253" s="6">
        <f t="shared" si="2"/>
        <v>8635</v>
      </c>
      <c r="G253" s="6">
        <f t="shared" si="3"/>
        <v>35324</v>
      </c>
      <c r="H253" s="6" t="str">
        <f t="shared" si="4"/>
        <v>D</v>
      </c>
      <c r="I253" s="6" t="str">
        <f t="shared" si="5"/>
        <v>High ambition</v>
      </c>
      <c r="J253" s="6" t="str">
        <f t="shared" si="6"/>
        <v>High</v>
      </c>
      <c r="K253" s="6">
        <f t="shared" si="7"/>
        <v>1744832</v>
      </c>
      <c r="L253" s="6">
        <f t="shared" si="8"/>
        <v>990304.6022</v>
      </c>
    </row>
    <row r="254">
      <c r="A254" s="4" t="s">
        <v>710</v>
      </c>
      <c r="B254" s="4" t="s">
        <v>711</v>
      </c>
      <c r="C254" s="4" t="s">
        <v>712</v>
      </c>
      <c r="D254" s="5">
        <v>11734.0</v>
      </c>
      <c r="E254" s="6">
        <f t="shared" si="1"/>
        <v>1</v>
      </c>
      <c r="F254" s="6">
        <f t="shared" si="2"/>
        <v>85065</v>
      </c>
      <c r="G254" s="6">
        <f t="shared" si="3"/>
        <v>47827</v>
      </c>
      <c r="H254" s="6" t="str">
        <f t="shared" si="4"/>
        <v>C</v>
      </c>
      <c r="I254" s="6" t="str">
        <f t="shared" si="5"/>
        <v>Transformative change</v>
      </c>
      <c r="J254" s="6" t="str">
        <f t="shared" si="6"/>
        <v>High</v>
      </c>
      <c r="K254" s="6">
        <f t="shared" si="7"/>
        <v>3006451</v>
      </c>
      <c r="L254" s="6">
        <f t="shared" si="8"/>
        <v>362236.026</v>
      </c>
    </row>
    <row r="255">
      <c r="A255" s="4" t="s">
        <v>713</v>
      </c>
      <c r="B255" s="4" t="s">
        <v>714</v>
      </c>
      <c r="C255" s="4" t="s">
        <v>715</v>
      </c>
      <c r="D255" s="5">
        <v>18553.0</v>
      </c>
      <c r="E255" s="6">
        <f t="shared" si="1"/>
        <v>5</v>
      </c>
      <c r="F255" s="6">
        <f t="shared" si="2"/>
        <v>73286</v>
      </c>
      <c r="G255" s="6">
        <f t="shared" si="3"/>
        <v>51008</v>
      </c>
      <c r="H255" s="6" t="str">
        <f t="shared" si="4"/>
        <v>A</v>
      </c>
      <c r="I255" s="6" t="str">
        <f t="shared" si="5"/>
        <v>Transformative change</v>
      </c>
      <c r="J255" s="6" t="str">
        <f t="shared" si="6"/>
        <v>Medium</v>
      </c>
      <c r="K255" s="6">
        <f t="shared" si="7"/>
        <v>3390225</v>
      </c>
      <c r="L255" s="6">
        <f t="shared" si="8"/>
        <v>1455806.338</v>
      </c>
    </row>
    <row r="256">
      <c r="A256" s="4" t="s">
        <v>716</v>
      </c>
      <c r="B256" s="4" t="s">
        <v>717</v>
      </c>
      <c r="C256" s="4" t="s">
        <v>718</v>
      </c>
      <c r="D256" s="5">
        <v>13627.0</v>
      </c>
      <c r="E256" s="6">
        <f t="shared" si="1"/>
        <v>2</v>
      </c>
      <c r="F256" s="6">
        <f t="shared" si="2"/>
        <v>58329</v>
      </c>
      <c r="G256" s="6">
        <f t="shared" si="3"/>
        <v>40282</v>
      </c>
      <c r="H256" s="6" t="str">
        <f t="shared" si="4"/>
        <v>B</v>
      </c>
      <c r="I256" s="6" t="str">
        <f t="shared" si="5"/>
        <v>Transformative change</v>
      </c>
      <c r="J256" s="6" t="str">
        <f t="shared" si="6"/>
        <v>High</v>
      </c>
      <c r="K256" s="6">
        <f t="shared" si="7"/>
        <v>2221610</v>
      </c>
      <c r="L256" s="6">
        <f t="shared" si="8"/>
        <v>174860.6157</v>
      </c>
    </row>
    <row r="257">
      <c r="A257" s="4" t="s">
        <v>719</v>
      </c>
      <c r="B257" s="4" t="s">
        <v>720</v>
      </c>
      <c r="C257" s="4" t="s">
        <v>74</v>
      </c>
      <c r="D257" s="5">
        <v>976075.0</v>
      </c>
      <c r="E257" s="6">
        <f t="shared" si="1"/>
        <v>5</v>
      </c>
      <c r="F257" s="6">
        <f t="shared" si="2"/>
        <v>45479</v>
      </c>
      <c r="G257" s="6">
        <f t="shared" si="3"/>
        <v>26821</v>
      </c>
      <c r="H257" s="6" t="str">
        <f t="shared" si="4"/>
        <v>C</v>
      </c>
      <c r="I257" s="6" t="str">
        <f t="shared" si="5"/>
        <v>High ambition</v>
      </c>
      <c r="J257" s="6" t="str">
        <f t="shared" si="6"/>
        <v>Low</v>
      </c>
      <c r="K257" s="6">
        <f t="shared" si="7"/>
        <v>1059536</v>
      </c>
      <c r="L257" s="6">
        <f t="shared" si="8"/>
        <v>873762.3825</v>
      </c>
    </row>
    <row r="258">
      <c r="A258" s="4" t="s">
        <v>721</v>
      </c>
      <c r="B258" s="4" t="s">
        <v>722</v>
      </c>
      <c r="C258" s="4" t="s">
        <v>723</v>
      </c>
      <c r="D258" s="5">
        <v>17107.0</v>
      </c>
      <c r="E258" s="6">
        <f t="shared" si="1"/>
        <v>2</v>
      </c>
      <c r="F258" s="6">
        <f t="shared" si="2"/>
        <v>82019</v>
      </c>
      <c r="G258" s="6">
        <f t="shared" si="3"/>
        <v>20322</v>
      </c>
      <c r="H258" s="6" t="str">
        <f t="shared" si="4"/>
        <v>C</v>
      </c>
      <c r="I258" s="6" t="str">
        <f t="shared" si="5"/>
        <v>Transformative change</v>
      </c>
      <c r="J258" s="6" t="str">
        <f t="shared" si="6"/>
        <v>High</v>
      </c>
      <c r="K258" s="6">
        <f t="shared" si="7"/>
        <v>3621985</v>
      </c>
      <c r="L258" s="6">
        <f t="shared" si="8"/>
        <v>1881603.861</v>
      </c>
    </row>
    <row r="259">
      <c r="A259" s="4" t="s">
        <v>724</v>
      </c>
      <c r="B259" s="4" t="s">
        <v>725</v>
      </c>
      <c r="C259" s="4" t="s">
        <v>726</v>
      </c>
      <c r="D259" s="5">
        <v>72609.0</v>
      </c>
      <c r="E259" s="6">
        <f t="shared" si="1"/>
        <v>1</v>
      </c>
      <c r="F259" s="6">
        <f t="shared" si="2"/>
        <v>67423</v>
      </c>
      <c r="G259" s="6">
        <f t="shared" si="3"/>
        <v>12357</v>
      </c>
      <c r="H259" s="6" t="str">
        <f t="shared" si="4"/>
        <v>F</v>
      </c>
      <c r="I259" s="6" t="str">
        <f t="shared" si="5"/>
        <v>Transformative change</v>
      </c>
      <c r="J259" s="6" t="str">
        <f t="shared" si="6"/>
        <v>Low</v>
      </c>
      <c r="K259" s="6">
        <f t="shared" si="7"/>
        <v>1561792</v>
      </c>
      <c r="L259" s="6">
        <f t="shared" si="8"/>
        <v>792706.2973</v>
      </c>
    </row>
    <row r="260">
      <c r="A260" s="4" t="s">
        <v>727</v>
      </c>
      <c r="B260" s="4" t="s">
        <v>728</v>
      </c>
      <c r="C260" s="4" t="s">
        <v>74</v>
      </c>
      <c r="D260" s="5">
        <v>8075.0</v>
      </c>
      <c r="E260" s="6">
        <f t="shared" si="1"/>
        <v>5</v>
      </c>
      <c r="F260" s="6">
        <f t="shared" si="2"/>
        <v>18000</v>
      </c>
      <c r="G260" s="6">
        <f t="shared" si="3"/>
        <v>33521</v>
      </c>
      <c r="H260" s="6" t="str">
        <f t="shared" si="4"/>
        <v>D</v>
      </c>
      <c r="I260" s="6" t="str">
        <f t="shared" si="5"/>
        <v>Transformative change</v>
      </c>
      <c r="J260" s="6" t="str">
        <f t="shared" si="6"/>
        <v>Medium</v>
      </c>
      <c r="K260" s="6">
        <f t="shared" si="7"/>
        <v>929358</v>
      </c>
      <c r="L260" s="6">
        <f t="shared" si="8"/>
        <v>462577.2842</v>
      </c>
    </row>
    <row r="261">
      <c r="A261" s="4" t="s">
        <v>488</v>
      </c>
      <c r="B261" s="4" t="s">
        <v>729</v>
      </c>
      <c r="C261" s="4" t="s">
        <v>730</v>
      </c>
      <c r="D261" s="5">
        <v>11759.0</v>
      </c>
      <c r="E261" s="6">
        <f t="shared" si="1"/>
        <v>2</v>
      </c>
      <c r="F261" s="6">
        <f t="shared" si="2"/>
        <v>8495</v>
      </c>
      <c r="G261" s="6">
        <f t="shared" si="3"/>
        <v>80147</v>
      </c>
      <c r="H261" s="6" t="str">
        <f t="shared" si="4"/>
        <v>G</v>
      </c>
      <c r="I261" s="6" t="str">
        <f t="shared" si="5"/>
        <v>Transformative change</v>
      </c>
      <c r="J261" s="6" t="str">
        <f t="shared" si="6"/>
        <v>High</v>
      </c>
      <c r="K261" s="6">
        <f t="shared" si="7"/>
        <v>2589004</v>
      </c>
      <c r="L261" s="6">
        <f t="shared" si="8"/>
        <v>429284.4351</v>
      </c>
    </row>
    <row r="262">
      <c r="A262" s="4" t="s">
        <v>731</v>
      </c>
      <c r="B262" s="4" t="s">
        <v>732</v>
      </c>
      <c r="C262" s="4" t="s">
        <v>733</v>
      </c>
      <c r="D262" s="5">
        <v>11928.0</v>
      </c>
      <c r="E262" s="6">
        <f t="shared" si="1"/>
        <v>3</v>
      </c>
      <c r="F262" s="6">
        <f t="shared" si="2"/>
        <v>17663</v>
      </c>
      <c r="G262" s="6">
        <f t="shared" si="3"/>
        <v>10640</v>
      </c>
      <c r="H262" s="6" t="str">
        <f t="shared" si="4"/>
        <v>G</v>
      </c>
      <c r="I262" s="6" t="str">
        <f t="shared" si="5"/>
        <v>Transformative change</v>
      </c>
      <c r="J262" s="6" t="str">
        <f t="shared" si="6"/>
        <v>High</v>
      </c>
      <c r="K262" s="6">
        <f t="shared" si="7"/>
        <v>1325684</v>
      </c>
      <c r="L262" s="6">
        <f t="shared" si="8"/>
        <v>1313524.22</v>
      </c>
    </row>
    <row r="263">
      <c r="A263" s="4" t="s">
        <v>734</v>
      </c>
      <c r="B263" s="4" t="s">
        <v>735</v>
      </c>
      <c r="C263" s="4" t="s">
        <v>736</v>
      </c>
      <c r="D263" s="5">
        <v>19877.0</v>
      </c>
      <c r="E263" s="6">
        <f t="shared" si="1"/>
        <v>2</v>
      </c>
      <c r="F263" s="6">
        <f t="shared" si="2"/>
        <v>27311</v>
      </c>
      <c r="G263" s="6">
        <f t="shared" si="3"/>
        <v>10803</v>
      </c>
      <c r="H263" s="6" t="str">
        <f t="shared" si="4"/>
        <v>G</v>
      </c>
      <c r="I263" s="6" t="str">
        <f t="shared" si="5"/>
        <v>Transformative change</v>
      </c>
      <c r="J263" s="6" t="str">
        <f t="shared" si="6"/>
        <v>Medium</v>
      </c>
      <c r="K263" s="6">
        <f t="shared" si="7"/>
        <v>2048779</v>
      </c>
      <c r="L263" s="6">
        <f t="shared" si="8"/>
        <v>162480.8713</v>
      </c>
    </row>
    <row r="264">
      <c r="A264" s="4" t="s">
        <v>737</v>
      </c>
      <c r="B264" s="4" t="s">
        <v>738</v>
      </c>
      <c r="C264" s="4" t="s">
        <v>739</v>
      </c>
      <c r="D264" s="5">
        <v>14485.0</v>
      </c>
      <c r="E264" s="6">
        <f t="shared" si="1"/>
        <v>4</v>
      </c>
      <c r="F264" s="6">
        <f t="shared" si="2"/>
        <v>62836</v>
      </c>
      <c r="G264" s="6">
        <f t="shared" si="3"/>
        <v>10304</v>
      </c>
      <c r="H264" s="6" t="str">
        <f t="shared" si="4"/>
        <v>D</v>
      </c>
      <c r="I264" s="6" t="str">
        <f t="shared" si="5"/>
        <v>Transformative change</v>
      </c>
      <c r="J264" s="6" t="str">
        <f t="shared" si="6"/>
        <v>Medium</v>
      </c>
      <c r="K264" s="6">
        <f t="shared" si="7"/>
        <v>1009681</v>
      </c>
      <c r="L264" s="6">
        <f t="shared" si="8"/>
        <v>990694.9764</v>
      </c>
    </row>
    <row r="265">
      <c r="A265" s="4" t="s">
        <v>740</v>
      </c>
      <c r="B265" s="4" t="s">
        <v>741</v>
      </c>
      <c r="C265" s="4" t="s">
        <v>742</v>
      </c>
      <c r="D265" s="5">
        <v>27341.0</v>
      </c>
      <c r="E265" s="6">
        <f t="shared" si="1"/>
        <v>5</v>
      </c>
      <c r="F265" s="6">
        <f t="shared" si="2"/>
        <v>83737</v>
      </c>
      <c r="G265" s="6">
        <f t="shared" si="3"/>
        <v>4359</v>
      </c>
      <c r="H265" s="6" t="str">
        <f t="shared" si="4"/>
        <v>A</v>
      </c>
      <c r="I265" s="6" t="str">
        <f t="shared" si="5"/>
        <v>Transformative change</v>
      </c>
      <c r="J265" s="6" t="str">
        <f t="shared" si="6"/>
        <v>High</v>
      </c>
      <c r="K265" s="6">
        <f t="shared" si="7"/>
        <v>3699900</v>
      </c>
      <c r="L265" s="6">
        <f t="shared" si="8"/>
        <v>2780512.345</v>
      </c>
    </row>
    <row r="266">
      <c r="A266" s="4" t="s">
        <v>743</v>
      </c>
      <c r="B266" s="4" t="s">
        <v>744</v>
      </c>
      <c r="C266" s="4" t="s">
        <v>745</v>
      </c>
      <c r="D266" s="5">
        <v>8393.0</v>
      </c>
      <c r="E266" s="6">
        <f t="shared" si="1"/>
        <v>4</v>
      </c>
      <c r="F266" s="6">
        <f t="shared" si="2"/>
        <v>49143</v>
      </c>
      <c r="G266" s="6">
        <f t="shared" si="3"/>
        <v>21962</v>
      </c>
      <c r="H266" s="6" t="str">
        <f t="shared" si="4"/>
        <v>C</v>
      </c>
      <c r="I266" s="6" t="str">
        <f t="shared" si="5"/>
        <v>High ambition</v>
      </c>
      <c r="J266" s="6" t="str">
        <f t="shared" si="6"/>
        <v>Medium</v>
      </c>
      <c r="K266" s="6">
        <f t="shared" si="7"/>
        <v>1606396</v>
      </c>
      <c r="L266" s="6">
        <f t="shared" si="8"/>
        <v>1223317.568</v>
      </c>
    </row>
    <row r="267">
      <c r="A267" s="4" t="s">
        <v>746</v>
      </c>
      <c r="B267" s="4" t="s">
        <v>747</v>
      </c>
      <c r="C267" s="4" t="s">
        <v>748</v>
      </c>
      <c r="D267" s="5">
        <v>65528.0</v>
      </c>
      <c r="E267" s="6">
        <f t="shared" si="1"/>
        <v>3</v>
      </c>
      <c r="F267" s="6">
        <f t="shared" si="2"/>
        <v>17842</v>
      </c>
      <c r="G267" s="6">
        <f t="shared" si="3"/>
        <v>14417</v>
      </c>
      <c r="H267" s="6" t="str">
        <f t="shared" si="4"/>
        <v>A</v>
      </c>
      <c r="I267" s="6" t="str">
        <f t="shared" si="5"/>
        <v>Transformative change</v>
      </c>
      <c r="J267" s="6" t="str">
        <f t="shared" si="6"/>
        <v>Low</v>
      </c>
      <c r="K267" s="6">
        <f t="shared" si="7"/>
        <v>1270875</v>
      </c>
      <c r="L267" s="6">
        <f t="shared" si="8"/>
        <v>17137.34585</v>
      </c>
    </row>
    <row r="268">
      <c r="A268" s="4" t="s">
        <v>749</v>
      </c>
      <c r="B268" s="4" t="s">
        <v>750</v>
      </c>
      <c r="C268" s="4" t="s">
        <v>751</v>
      </c>
      <c r="D268" s="5">
        <v>6183.0</v>
      </c>
      <c r="E268" s="6">
        <f t="shared" si="1"/>
        <v>1</v>
      </c>
      <c r="F268" s="6">
        <f t="shared" si="2"/>
        <v>68817</v>
      </c>
      <c r="G268" s="6">
        <f t="shared" si="3"/>
        <v>16712</v>
      </c>
      <c r="H268" s="6" t="str">
        <f t="shared" si="4"/>
        <v>C</v>
      </c>
      <c r="I268" s="6" t="str">
        <f t="shared" si="5"/>
        <v>High ambition</v>
      </c>
      <c r="J268" s="6" t="str">
        <f t="shared" si="6"/>
        <v>Low</v>
      </c>
      <c r="K268" s="6">
        <f t="shared" si="7"/>
        <v>2089742</v>
      </c>
      <c r="L268" s="6">
        <f t="shared" si="8"/>
        <v>2011641.105</v>
      </c>
    </row>
    <row r="269">
      <c r="A269" s="4" t="s">
        <v>752</v>
      </c>
      <c r="B269" s="4" t="s">
        <v>753</v>
      </c>
      <c r="C269" s="4" t="s">
        <v>754</v>
      </c>
      <c r="D269" s="5">
        <v>10830.0</v>
      </c>
      <c r="E269" s="6">
        <f t="shared" si="1"/>
        <v>3</v>
      </c>
      <c r="F269" s="6">
        <f t="shared" si="2"/>
        <v>48814</v>
      </c>
      <c r="G269" s="6">
        <f t="shared" si="3"/>
        <v>32958</v>
      </c>
      <c r="H269" s="6" t="str">
        <f t="shared" si="4"/>
        <v>A</v>
      </c>
      <c r="I269" s="6" t="str">
        <f t="shared" si="5"/>
        <v>Transformative change</v>
      </c>
      <c r="J269" s="6" t="str">
        <f t="shared" si="6"/>
        <v>High</v>
      </c>
      <c r="K269" s="6">
        <f t="shared" si="7"/>
        <v>2441457</v>
      </c>
      <c r="L269" s="6">
        <f t="shared" si="8"/>
        <v>245570.1079</v>
      </c>
    </row>
    <row r="270">
      <c r="A270" s="4" t="s">
        <v>21</v>
      </c>
      <c r="B270" s="4" t="s">
        <v>755</v>
      </c>
      <c r="C270" s="4" t="s">
        <v>756</v>
      </c>
      <c r="D270" s="5">
        <v>15751.0</v>
      </c>
      <c r="E270" s="6">
        <f t="shared" si="1"/>
        <v>3</v>
      </c>
      <c r="F270" s="6">
        <f t="shared" si="2"/>
        <v>59940</v>
      </c>
      <c r="G270" s="6">
        <f t="shared" si="3"/>
        <v>4538</v>
      </c>
      <c r="H270" s="6" t="str">
        <f t="shared" si="4"/>
        <v>C</v>
      </c>
      <c r="I270" s="6" t="str">
        <f t="shared" si="5"/>
        <v>Transformative change</v>
      </c>
      <c r="J270" s="6" t="str">
        <f t="shared" si="6"/>
        <v>High</v>
      </c>
      <c r="K270" s="6">
        <f t="shared" si="7"/>
        <v>3837994</v>
      </c>
      <c r="L270" s="6">
        <f t="shared" si="8"/>
        <v>3085440.038</v>
      </c>
    </row>
    <row r="271">
      <c r="A271" s="4" t="s">
        <v>757</v>
      </c>
      <c r="B271" s="4" t="s">
        <v>758</v>
      </c>
      <c r="C271" s="4" t="s">
        <v>759</v>
      </c>
      <c r="D271" s="5">
        <v>58382.0</v>
      </c>
      <c r="E271" s="6">
        <f t="shared" si="1"/>
        <v>1</v>
      </c>
      <c r="F271" s="6">
        <f t="shared" si="2"/>
        <v>76795</v>
      </c>
      <c r="G271" s="6">
        <f t="shared" si="3"/>
        <v>42246</v>
      </c>
      <c r="H271" s="6" t="str">
        <f t="shared" si="4"/>
        <v>G</v>
      </c>
      <c r="I271" s="6" t="str">
        <f t="shared" si="5"/>
        <v>Transformative change</v>
      </c>
      <c r="J271" s="6" t="str">
        <f t="shared" si="6"/>
        <v>Medium</v>
      </c>
      <c r="K271" s="6">
        <f t="shared" si="7"/>
        <v>3587125</v>
      </c>
      <c r="L271" s="6">
        <f t="shared" si="8"/>
        <v>723875.6049</v>
      </c>
    </row>
    <row r="272">
      <c r="A272" s="4" t="s">
        <v>760</v>
      </c>
      <c r="B272" s="4" t="s">
        <v>761</v>
      </c>
      <c r="C272" s="4" t="s">
        <v>74</v>
      </c>
      <c r="D272" s="5">
        <v>7716.0</v>
      </c>
      <c r="E272" s="6">
        <f t="shared" si="1"/>
        <v>3</v>
      </c>
      <c r="F272" s="6">
        <f t="shared" si="2"/>
        <v>47150</v>
      </c>
      <c r="G272" s="6">
        <f t="shared" si="3"/>
        <v>17484</v>
      </c>
      <c r="H272" s="6" t="str">
        <f t="shared" si="4"/>
        <v>D</v>
      </c>
      <c r="I272" s="6" t="str">
        <f t="shared" si="5"/>
        <v>Transformative change</v>
      </c>
      <c r="J272" s="6" t="str">
        <f t="shared" si="6"/>
        <v>High</v>
      </c>
      <c r="K272" s="6">
        <f t="shared" si="7"/>
        <v>3082260</v>
      </c>
      <c r="L272" s="6">
        <f t="shared" si="8"/>
        <v>205431.3167</v>
      </c>
    </row>
    <row r="273">
      <c r="A273" s="4" t="s">
        <v>762</v>
      </c>
      <c r="B273" s="4" t="s">
        <v>763</v>
      </c>
      <c r="C273" s="4" t="s">
        <v>764</v>
      </c>
      <c r="D273" s="5">
        <v>18591.0</v>
      </c>
      <c r="E273" s="6">
        <f t="shared" si="1"/>
        <v>4</v>
      </c>
      <c r="F273" s="6">
        <f t="shared" si="2"/>
        <v>90685</v>
      </c>
      <c r="G273" s="6">
        <f t="shared" si="3"/>
        <v>26714</v>
      </c>
      <c r="H273" s="6" t="str">
        <f t="shared" si="4"/>
        <v>G</v>
      </c>
      <c r="I273" s="6" t="str">
        <f t="shared" si="5"/>
        <v>Transformative change</v>
      </c>
      <c r="J273" s="6" t="str">
        <f t="shared" si="6"/>
        <v>Medium</v>
      </c>
      <c r="K273" s="6">
        <f t="shared" si="7"/>
        <v>426541</v>
      </c>
      <c r="L273" s="6">
        <f t="shared" si="8"/>
        <v>418761.9986</v>
      </c>
    </row>
    <row r="274">
      <c r="A274" s="4" t="s">
        <v>765</v>
      </c>
      <c r="B274" s="4" t="s">
        <v>766</v>
      </c>
      <c r="C274" s="4" t="s">
        <v>767</v>
      </c>
      <c r="D274" s="5">
        <v>11990.0</v>
      </c>
      <c r="E274" s="6">
        <f t="shared" si="1"/>
        <v>4</v>
      </c>
      <c r="F274" s="6">
        <f t="shared" si="2"/>
        <v>42776</v>
      </c>
      <c r="G274" s="6">
        <f t="shared" si="3"/>
        <v>42653</v>
      </c>
      <c r="H274" s="6" t="str">
        <f t="shared" si="4"/>
        <v>E</v>
      </c>
      <c r="I274" s="6" t="str">
        <f t="shared" si="5"/>
        <v>Transformative change</v>
      </c>
      <c r="J274" s="6" t="str">
        <f t="shared" si="6"/>
        <v>High</v>
      </c>
      <c r="K274" s="6">
        <f t="shared" si="7"/>
        <v>447926</v>
      </c>
      <c r="L274" s="6">
        <f t="shared" si="8"/>
        <v>129761.6903</v>
      </c>
    </row>
    <row r="275">
      <c r="A275" s="4" t="s">
        <v>768</v>
      </c>
      <c r="B275" s="4" t="s">
        <v>769</v>
      </c>
      <c r="C275" s="4" t="s">
        <v>770</v>
      </c>
      <c r="D275" s="5">
        <v>16921.0</v>
      </c>
      <c r="E275" s="6">
        <f t="shared" si="1"/>
        <v>4</v>
      </c>
      <c r="F275" s="6">
        <f t="shared" si="2"/>
        <v>64873</v>
      </c>
      <c r="G275" s="6">
        <f t="shared" si="3"/>
        <v>8622</v>
      </c>
      <c r="H275" s="6" t="str">
        <f t="shared" si="4"/>
        <v>E</v>
      </c>
      <c r="I275" s="6" t="str">
        <f t="shared" si="5"/>
        <v>High ambition</v>
      </c>
      <c r="J275" s="6" t="str">
        <f t="shared" si="6"/>
        <v>High</v>
      </c>
      <c r="K275" s="6">
        <f t="shared" si="7"/>
        <v>911976</v>
      </c>
      <c r="L275" s="6">
        <f t="shared" si="8"/>
        <v>524760.783</v>
      </c>
    </row>
    <row r="276">
      <c r="A276" s="4" t="s">
        <v>771</v>
      </c>
      <c r="B276" s="4" t="s">
        <v>772</v>
      </c>
      <c r="C276" s="4" t="s">
        <v>773</v>
      </c>
      <c r="D276" s="5">
        <v>15639.0</v>
      </c>
      <c r="E276" s="6">
        <f t="shared" si="1"/>
        <v>4</v>
      </c>
      <c r="F276" s="6">
        <f t="shared" si="2"/>
        <v>49427</v>
      </c>
      <c r="G276" s="6">
        <f t="shared" si="3"/>
        <v>4429</v>
      </c>
      <c r="H276" s="6" t="str">
        <f t="shared" si="4"/>
        <v>C</v>
      </c>
      <c r="I276" s="6" t="str">
        <f t="shared" si="5"/>
        <v>High ambition</v>
      </c>
      <c r="J276" s="6" t="str">
        <f t="shared" si="6"/>
        <v>Medium</v>
      </c>
      <c r="K276" s="6">
        <f t="shared" si="7"/>
        <v>1849059</v>
      </c>
      <c r="L276" s="6">
        <f t="shared" si="8"/>
        <v>1272264.575</v>
      </c>
    </row>
    <row r="277">
      <c r="A277" s="4" t="s">
        <v>774</v>
      </c>
      <c r="B277" s="4" t="s">
        <v>775</v>
      </c>
      <c r="C277" s="4" t="s">
        <v>74</v>
      </c>
      <c r="D277" s="5">
        <v>16162.0</v>
      </c>
      <c r="E277" s="6">
        <f t="shared" si="1"/>
        <v>4</v>
      </c>
      <c r="F277" s="6">
        <f t="shared" si="2"/>
        <v>79930</v>
      </c>
      <c r="G277" s="6">
        <f t="shared" si="3"/>
        <v>33012</v>
      </c>
      <c r="H277" s="6" t="str">
        <f t="shared" si="4"/>
        <v>G</v>
      </c>
      <c r="I277" s="6" t="str">
        <f t="shared" si="5"/>
        <v>Transformative change</v>
      </c>
      <c r="J277" s="6" t="str">
        <f t="shared" si="6"/>
        <v>High</v>
      </c>
      <c r="K277" s="6">
        <f t="shared" si="7"/>
        <v>2742700</v>
      </c>
      <c r="L277" s="6">
        <f t="shared" si="8"/>
        <v>1523003.66</v>
      </c>
    </row>
    <row r="278">
      <c r="A278" s="4" t="s">
        <v>776</v>
      </c>
      <c r="B278" s="4" t="s">
        <v>777</v>
      </c>
      <c r="C278" s="4" t="s">
        <v>778</v>
      </c>
      <c r="D278" s="5">
        <v>18228.0</v>
      </c>
      <c r="E278" s="6">
        <f t="shared" si="1"/>
        <v>4</v>
      </c>
      <c r="F278" s="6">
        <f t="shared" si="2"/>
        <v>17024</v>
      </c>
      <c r="G278" s="6">
        <f t="shared" si="3"/>
        <v>48885</v>
      </c>
      <c r="H278" s="6" t="str">
        <f t="shared" si="4"/>
        <v>C</v>
      </c>
      <c r="I278" s="6" t="str">
        <f t="shared" si="5"/>
        <v>Transformative change</v>
      </c>
      <c r="J278" s="6" t="str">
        <f t="shared" si="6"/>
        <v>Low</v>
      </c>
      <c r="K278" s="6">
        <f t="shared" si="7"/>
        <v>835782</v>
      </c>
      <c r="L278" s="6">
        <f t="shared" si="8"/>
        <v>245740.1614</v>
      </c>
    </row>
    <row r="279">
      <c r="A279" s="4" t="s">
        <v>779</v>
      </c>
      <c r="B279" s="4" t="s">
        <v>780</v>
      </c>
      <c r="C279" s="4" t="s">
        <v>781</v>
      </c>
      <c r="D279" s="5">
        <v>19517.0</v>
      </c>
      <c r="E279" s="6">
        <f t="shared" si="1"/>
        <v>5</v>
      </c>
      <c r="F279" s="6">
        <f t="shared" si="2"/>
        <v>30233</v>
      </c>
      <c r="G279" s="6">
        <f t="shared" si="3"/>
        <v>47409</v>
      </c>
      <c r="H279" s="6" t="str">
        <f t="shared" si="4"/>
        <v>C</v>
      </c>
      <c r="I279" s="6" t="str">
        <f t="shared" si="5"/>
        <v>High ambition</v>
      </c>
      <c r="J279" s="6" t="str">
        <f t="shared" si="6"/>
        <v>Low</v>
      </c>
      <c r="K279" s="6">
        <f t="shared" si="7"/>
        <v>841339</v>
      </c>
      <c r="L279" s="6">
        <f t="shared" si="8"/>
        <v>312599.9264</v>
      </c>
    </row>
    <row r="280">
      <c r="A280" s="4" t="s">
        <v>782</v>
      </c>
      <c r="B280" s="4" t="s">
        <v>783</v>
      </c>
      <c r="C280" s="4" t="s">
        <v>784</v>
      </c>
      <c r="D280" s="5">
        <v>11738.0</v>
      </c>
      <c r="E280" s="6">
        <f t="shared" si="1"/>
        <v>1</v>
      </c>
      <c r="F280" s="6">
        <f t="shared" si="2"/>
        <v>97281</v>
      </c>
      <c r="G280" s="6">
        <f t="shared" si="3"/>
        <v>66772</v>
      </c>
      <c r="H280" s="6" t="str">
        <f t="shared" si="4"/>
        <v>D</v>
      </c>
      <c r="I280" s="6" t="str">
        <f t="shared" si="5"/>
        <v>High ambition</v>
      </c>
      <c r="J280" s="6" t="str">
        <f t="shared" si="6"/>
        <v>Low</v>
      </c>
      <c r="K280" s="6">
        <f t="shared" si="7"/>
        <v>3774626</v>
      </c>
      <c r="L280" s="6">
        <f t="shared" si="8"/>
        <v>3098713.001</v>
      </c>
    </row>
    <row r="281">
      <c r="A281" s="4" t="s">
        <v>785</v>
      </c>
      <c r="B281" s="4" t="s">
        <v>786</v>
      </c>
      <c r="C281" s="4" t="s">
        <v>238</v>
      </c>
      <c r="D281" s="5">
        <v>11866.0</v>
      </c>
      <c r="E281" s="6">
        <f t="shared" si="1"/>
        <v>4</v>
      </c>
      <c r="F281" s="6">
        <f t="shared" si="2"/>
        <v>45543</v>
      </c>
      <c r="G281" s="6">
        <f t="shared" si="3"/>
        <v>13685</v>
      </c>
      <c r="H281" s="6" t="str">
        <f t="shared" si="4"/>
        <v>A</v>
      </c>
      <c r="I281" s="6" t="str">
        <f t="shared" si="5"/>
        <v>Transformative change</v>
      </c>
      <c r="J281" s="6" t="str">
        <f t="shared" si="6"/>
        <v>Medium</v>
      </c>
      <c r="K281" s="6">
        <f t="shared" si="7"/>
        <v>3013217</v>
      </c>
      <c r="L281" s="6">
        <f t="shared" si="8"/>
        <v>2303717.761</v>
      </c>
    </row>
    <row r="282">
      <c r="A282" s="4" t="s">
        <v>787</v>
      </c>
      <c r="B282" s="4" t="s">
        <v>788</v>
      </c>
      <c r="C282" s="4" t="s">
        <v>789</v>
      </c>
      <c r="D282" s="5">
        <v>8573.0</v>
      </c>
      <c r="E282" s="6">
        <f t="shared" si="1"/>
        <v>2</v>
      </c>
      <c r="F282" s="6">
        <f t="shared" si="2"/>
        <v>68618</v>
      </c>
      <c r="G282" s="6">
        <f t="shared" si="3"/>
        <v>33402</v>
      </c>
      <c r="H282" s="6" t="str">
        <f t="shared" si="4"/>
        <v>E</v>
      </c>
      <c r="I282" s="6" t="str">
        <f t="shared" si="5"/>
        <v>Transformative change</v>
      </c>
      <c r="J282" s="6" t="str">
        <f t="shared" si="6"/>
        <v>Low</v>
      </c>
      <c r="K282" s="6">
        <f t="shared" si="7"/>
        <v>841835</v>
      </c>
      <c r="L282" s="6">
        <f t="shared" si="8"/>
        <v>631089.2019</v>
      </c>
    </row>
    <row r="283">
      <c r="A283" s="4" t="s">
        <v>790</v>
      </c>
      <c r="B283" s="4" t="s">
        <v>791</v>
      </c>
      <c r="C283" s="4" t="s">
        <v>792</v>
      </c>
      <c r="D283" s="5">
        <v>16760.0</v>
      </c>
      <c r="E283" s="6">
        <f t="shared" si="1"/>
        <v>2</v>
      </c>
      <c r="F283" s="6">
        <f t="shared" si="2"/>
        <v>9523</v>
      </c>
      <c r="G283" s="6">
        <f t="shared" si="3"/>
        <v>53826</v>
      </c>
      <c r="H283" s="6" t="str">
        <f t="shared" si="4"/>
        <v>E</v>
      </c>
      <c r="I283" s="6" t="str">
        <f t="shared" si="5"/>
        <v>Transformative change</v>
      </c>
      <c r="J283" s="6" t="str">
        <f t="shared" si="6"/>
        <v>Medium</v>
      </c>
      <c r="K283" s="6">
        <f t="shared" si="7"/>
        <v>328638</v>
      </c>
      <c r="L283" s="6">
        <f t="shared" si="8"/>
        <v>213651.5496</v>
      </c>
    </row>
    <row r="284">
      <c r="A284" s="4" t="s">
        <v>793</v>
      </c>
      <c r="B284" s="4" t="s">
        <v>794</v>
      </c>
      <c r="C284" s="4" t="s">
        <v>795</v>
      </c>
      <c r="D284" s="5">
        <v>252534.0</v>
      </c>
      <c r="E284" s="6">
        <f t="shared" si="1"/>
        <v>1</v>
      </c>
      <c r="F284" s="6">
        <f t="shared" si="2"/>
        <v>38543</v>
      </c>
      <c r="G284" s="6">
        <f t="shared" si="3"/>
        <v>1593</v>
      </c>
      <c r="H284" s="6" t="str">
        <f t="shared" si="4"/>
        <v>A</v>
      </c>
      <c r="I284" s="6" t="str">
        <f t="shared" si="5"/>
        <v>Transformative change</v>
      </c>
      <c r="J284" s="6" t="str">
        <f t="shared" si="6"/>
        <v>Low</v>
      </c>
      <c r="K284" s="6">
        <f t="shared" si="7"/>
        <v>3609662</v>
      </c>
      <c r="L284" s="6">
        <f t="shared" si="8"/>
        <v>497112.6013</v>
      </c>
    </row>
    <row r="285">
      <c r="A285" s="4" t="s">
        <v>796</v>
      </c>
      <c r="B285" s="4" t="s">
        <v>797</v>
      </c>
      <c r="C285" s="4" t="s">
        <v>798</v>
      </c>
      <c r="D285" s="5">
        <v>322262.0</v>
      </c>
      <c r="E285" s="6">
        <f t="shared" si="1"/>
        <v>1</v>
      </c>
      <c r="F285" s="6">
        <f t="shared" si="2"/>
        <v>86210</v>
      </c>
      <c r="G285" s="6">
        <f t="shared" si="3"/>
        <v>45614</v>
      </c>
      <c r="H285" s="6" t="str">
        <f t="shared" si="4"/>
        <v>A</v>
      </c>
      <c r="I285" s="6" t="str">
        <f t="shared" si="5"/>
        <v>Transformative change</v>
      </c>
      <c r="J285" s="6" t="str">
        <f t="shared" si="6"/>
        <v>High</v>
      </c>
      <c r="K285" s="6">
        <f t="shared" si="7"/>
        <v>1128169</v>
      </c>
      <c r="L285" s="6">
        <f t="shared" si="8"/>
        <v>1102867.566</v>
      </c>
    </row>
    <row r="286">
      <c r="A286" s="4" t="s">
        <v>799</v>
      </c>
      <c r="B286" s="4" t="s">
        <v>800</v>
      </c>
      <c r="C286" s="4" t="s">
        <v>801</v>
      </c>
      <c r="D286" s="5">
        <v>9680.0</v>
      </c>
      <c r="E286" s="6">
        <f t="shared" si="1"/>
        <v>4</v>
      </c>
      <c r="F286" s="6">
        <f t="shared" si="2"/>
        <v>22455</v>
      </c>
      <c r="G286" s="6">
        <f t="shared" si="3"/>
        <v>54690</v>
      </c>
      <c r="H286" s="6" t="str">
        <f t="shared" si="4"/>
        <v>E</v>
      </c>
      <c r="I286" s="6" t="str">
        <f t="shared" si="5"/>
        <v>Transformative change</v>
      </c>
      <c r="J286" s="6" t="str">
        <f t="shared" si="6"/>
        <v>Low</v>
      </c>
      <c r="K286" s="6">
        <f t="shared" si="7"/>
        <v>725604</v>
      </c>
      <c r="L286" s="6">
        <f t="shared" si="8"/>
        <v>472388.8401</v>
      </c>
    </row>
    <row r="287">
      <c r="A287" s="4" t="s">
        <v>802</v>
      </c>
      <c r="B287" s="4" t="s">
        <v>803</v>
      </c>
      <c r="C287" s="4" t="s">
        <v>804</v>
      </c>
      <c r="D287" s="5">
        <v>15052.0</v>
      </c>
      <c r="E287" s="6">
        <f t="shared" si="1"/>
        <v>2</v>
      </c>
      <c r="F287" s="6">
        <f t="shared" si="2"/>
        <v>49415</v>
      </c>
      <c r="G287" s="6">
        <f t="shared" si="3"/>
        <v>43500</v>
      </c>
      <c r="H287" s="6" t="str">
        <f t="shared" si="4"/>
        <v>C</v>
      </c>
      <c r="I287" s="6" t="str">
        <f t="shared" si="5"/>
        <v>Transformative change</v>
      </c>
      <c r="J287" s="6" t="str">
        <f t="shared" si="6"/>
        <v>High</v>
      </c>
      <c r="K287" s="6">
        <f t="shared" si="7"/>
        <v>3910867</v>
      </c>
      <c r="L287" s="6">
        <f t="shared" si="8"/>
        <v>235660.8123</v>
      </c>
    </row>
    <row r="288">
      <c r="A288" s="4" t="s">
        <v>805</v>
      </c>
      <c r="B288" s="4" t="s">
        <v>806</v>
      </c>
      <c r="C288" s="4" t="s">
        <v>807</v>
      </c>
      <c r="D288" s="5">
        <v>10573.0</v>
      </c>
      <c r="E288" s="6">
        <f t="shared" si="1"/>
        <v>1</v>
      </c>
      <c r="F288" s="6">
        <f t="shared" si="2"/>
        <v>15907</v>
      </c>
      <c r="G288" s="6">
        <f t="shared" si="3"/>
        <v>53432</v>
      </c>
      <c r="H288" s="6" t="str">
        <f t="shared" si="4"/>
        <v>A</v>
      </c>
      <c r="I288" s="6" t="str">
        <f t="shared" si="5"/>
        <v>Transformative change</v>
      </c>
      <c r="J288" s="6" t="str">
        <f t="shared" si="6"/>
        <v>Medium</v>
      </c>
      <c r="K288" s="6">
        <f t="shared" si="7"/>
        <v>3944640</v>
      </c>
      <c r="L288" s="6">
        <f t="shared" si="8"/>
        <v>1255766.067</v>
      </c>
    </row>
    <row r="289">
      <c r="A289" s="4" t="s">
        <v>808</v>
      </c>
      <c r="B289" s="4" t="s">
        <v>809</v>
      </c>
      <c r="C289" s="4" t="s">
        <v>74</v>
      </c>
      <c r="D289" s="5">
        <v>58999.0</v>
      </c>
      <c r="E289" s="6">
        <f t="shared" si="1"/>
        <v>5</v>
      </c>
      <c r="F289" s="6">
        <f t="shared" si="2"/>
        <v>12091</v>
      </c>
      <c r="G289" s="6">
        <f t="shared" si="3"/>
        <v>76006</v>
      </c>
      <c r="H289" s="6" t="str">
        <f t="shared" si="4"/>
        <v>B</v>
      </c>
      <c r="I289" s="6" t="str">
        <f t="shared" si="5"/>
        <v>Transformative change</v>
      </c>
      <c r="J289" s="6" t="str">
        <f t="shared" si="6"/>
        <v>Medium</v>
      </c>
      <c r="K289" s="6">
        <f t="shared" si="7"/>
        <v>2165483</v>
      </c>
      <c r="L289" s="6">
        <f t="shared" si="8"/>
        <v>1903018.892</v>
      </c>
    </row>
    <row r="290">
      <c r="A290" s="4" t="s">
        <v>540</v>
      </c>
      <c r="B290" s="4" t="s">
        <v>810</v>
      </c>
      <c r="C290" s="4" t="s">
        <v>74</v>
      </c>
      <c r="D290" s="5">
        <v>42796.0</v>
      </c>
      <c r="E290" s="6">
        <f t="shared" si="1"/>
        <v>5</v>
      </c>
      <c r="F290" s="6">
        <f t="shared" si="2"/>
        <v>21311</v>
      </c>
      <c r="G290" s="6">
        <f t="shared" si="3"/>
        <v>7238</v>
      </c>
      <c r="H290" s="6" t="str">
        <f t="shared" si="4"/>
        <v>C</v>
      </c>
      <c r="I290" s="6" t="str">
        <f t="shared" si="5"/>
        <v>Transformative change</v>
      </c>
      <c r="J290" s="6" t="str">
        <f t="shared" si="6"/>
        <v>Low</v>
      </c>
      <c r="K290" s="6">
        <f t="shared" si="7"/>
        <v>374405</v>
      </c>
      <c r="L290" s="6">
        <f t="shared" si="8"/>
        <v>190326.3453</v>
      </c>
    </row>
    <row r="291">
      <c r="A291" s="4" t="s">
        <v>811</v>
      </c>
      <c r="B291" s="4" t="s">
        <v>812</v>
      </c>
      <c r="C291" s="4" t="s">
        <v>74</v>
      </c>
      <c r="D291" s="5">
        <v>10548.0</v>
      </c>
      <c r="E291" s="6">
        <f t="shared" si="1"/>
        <v>4</v>
      </c>
      <c r="F291" s="6">
        <f t="shared" si="2"/>
        <v>56631</v>
      </c>
      <c r="G291" s="6">
        <f t="shared" si="3"/>
        <v>52769</v>
      </c>
      <c r="H291" s="6" t="str">
        <f t="shared" si="4"/>
        <v>C</v>
      </c>
      <c r="I291" s="6" t="str">
        <f t="shared" si="5"/>
        <v>Transformative change</v>
      </c>
      <c r="J291" s="6" t="str">
        <f t="shared" si="6"/>
        <v>Low</v>
      </c>
      <c r="K291" s="6">
        <f t="shared" si="7"/>
        <v>3324644</v>
      </c>
      <c r="L291" s="6">
        <f t="shared" si="8"/>
        <v>2849284.909</v>
      </c>
    </row>
    <row r="292">
      <c r="A292" s="4" t="s">
        <v>813</v>
      </c>
      <c r="B292" s="4" t="s">
        <v>814</v>
      </c>
      <c r="C292" s="4" t="s">
        <v>815</v>
      </c>
      <c r="D292" s="5">
        <v>12565.0</v>
      </c>
      <c r="E292" s="6">
        <f t="shared" si="1"/>
        <v>4</v>
      </c>
      <c r="F292" s="6">
        <f t="shared" si="2"/>
        <v>78083</v>
      </c>
      <c r="G292" s="6">
        <f t="shared" si="3"/>
        <v>33465</v>
      </c>
      <c r="H292" s="6" t="str">
        <f t="shared" si="4"/>
        <v>D</v>
      </c>
      <c r="I292" s="6" t="str">
        <f t="shared" si="5"/>
        <v>Transformative change</v>
      </c>
      <c r="J292" s="6" t="str">
        <f t="shared" si="6"/>
        <v>High</v>
      </c>
      <c r="K292" s="6">
        <f t="shared" si="7"/>
        <v>2993360</v>
      </c>
      <c r="L292" s="6">
        <f t="shared" si="8"/>
        <v>1883835.056</v>
      </c>
    </row>
    <row r="293">
      <c r="A293" s="4" t="s">
        <v>816</v>
      </c>
      <c r="B293" s="4" t="s">
        <v>817</v>
      </c>
      <c r="C293" s="4" t="s">
        <v>818</v>
      </c>
      <c r="D293" s="5">
        <v>16137.0</v>
      </c>
      <c r="E293" s="6">
        <f t="shared" si="1"/>
        <v>2</v>
      </c>
      <c r="F293" s="6">
        <f t="shared" si="2"/>
        <v>89112</v>
      </c>
      <c r="G293" s="6">
        <f t="shared" si="3"/>
        <v>1669</v>
      </c>
      <c r="H293" s="6" t="str">
        <f t="shared" si="4"/>
        <v>B</v>
      </c>
      <c r="I293" s="6" t="str">
        <f t="shared" si="5"/>
        <v>Transformative change</v>
      </c>
      <c r="J293" s="6" t="str">
        <f t="shared" si="6"/>
        <v>Medium</v>
      </c>
      <c r="K293" s="6">
        <f t="shared" si="7"/>
        <v>461984</v>
      </c>
      <c r="L293" s="6">
        <f t="shared" si="8"/>
        <v>282052.7488</v>
      </c>
    </row>
    <row r="294">
      <c r="A294" s="4" t="s">
        <v>819</v>
      </c>
      <c r="B294" s="4" t="s">
        <v>820</v>
      </c>
      <c r="C294" s="4" t="s">
        <v>821</v>
      </c>
      <c r="D294" s="5">
        <v>149925.0</v>
      </c>
      <c r="E294" s="6">
        <f t="shared" si="1"/>
        <v>2</v>
      </c>
      <c r="F294" s="6">
        <f t="shared" si="2"/>
        <v>51244</v>
      </c>
      <c r="G294" s="6">
        <f t="shared" si="3"/>
        <v>29902</v>
      </c>
      <c r="H294" s="6" t="str">
        <f t="shared" si="4"/>
        <v>E</v>
      </c>
      <c r="I294" s="6" t="str">
        <f t="shared" si="5"/>
        <v>Transformative change</v>
      </c>
      <c r="J294" s="6" t="str">
        <f t="shared" si="6"/>
        <v>Medium</v>
      </c>
      <c r="K294" s="6">
        <f t="shared" si="7"/>
        <v>3421909</v>
      </c>
      <c r="L294" s="6">
        <f t="shared" si="8"/>
        <v>176906.3392</v>
      </c>
    </row>
    <row r="295">
      <c r="A295" s="4" t="s">
        <v>822</v>
      </c>
      <c r="B295" s="4" t="s">
        <v>823</v>
      </c>
      <c r="C295" s="4" t="s">
        <v>824</v>
      </c>
      <c r="D295" s="5">
        <v>16405.0</v>
      </c>
      <c r="E295" s="6">
        <f t="shared" si="1"/>
        <v>2</v>
      </c>
      <c r="F295" s="6">
        <f t="shared" si="2"/>
        <v>64488</v>
      </c>
      <c r="G295" s="6">
        <f t="shared" si="3"/>
        <v>49726</v>
      </c>
      <c r="H295" s="6" t="str">
        <f t="shared" si="4"/>
        <v>E</v>
      </c>
      <c r="I295" s="6" t="str">
        <f t="shared" si="5"/>
        <v>Transformative change</v>
      </c>
      <c r="J295" s="6" t="str">
        <f t="shared" si="6"/>
        <v>Medium</v>
      </c>
      <c r="K295" s="6">
        <f t="shared" si="7"/>
        <v>1672267</v>
      </c>
      <c r="L295" s="6">
        <f t="shared" si="8"/>
        <v>280772.6254</v>
      </c>
    </row>
    <row r="296">
      <c r="A296" s="4" t="s">
        <v>825</v>
      </c>
      <c r="B296" s="4" t="s">
        <v>826</v>
      </c>
      <c r="C296" s="4" t="s">
        <v>827</v>
      </c>
      <c r="D296" s="5">
        <v>5506.0</v>
      </c>
      <c r="E296" s="6">
        <f t="shared" si="1"/>
        <v>5</v>
      </c>
      <c r="F296" s="6">
        <f t="shared" si="2"/>
        <v>11454</v>
      </c>
      <c r="G296" s="6">
        <f t="shared" si="3"/>
        <v>4527</v>
      </c>
      <c r="H296" s="6" t="str">
        <f t="shared" si="4"/>
        <v>A</v>
      </c>
      <c r="I296" s="6" t="str">
        <f t="shared" si="5"/>
        <v>High ambition</v>
      </c>
      <c r="J296" s="6" t="str">
        <f t="shared" si="6"/>
        <v>Medium</v>
      </c>
      <c r="K296" s="6">
        <f t="shared" si="7"/>
        <v>3166502</v>
      </c>
      <c r="L296" s="6">
        <f t="shared" si="8"/>
        <v>2384019.155</v>
      </c>
    </row>
    <row r="297">
      <c r="A297" s="4" t="s">
        <v>828</v>
      </c>
      <c r="B297" s="4" t="s">
        <v>829</v>
      </c>
      <c r="C297" s="4" t="s">
        <v>74</v>
      </c>
      <c r="D297" s="5">
        <v>19985.0</v>
      </c>
      <c r="E297" s="6">
        <f t="shared" si="1"/>
        <v>4</v>
      </c>
      <c r="F297" s="6">
        <f t="shared" si="2"/>
        <v>43733</v>
      </c>
      <c r="G297" s="6">
        <f t="shared" si="3"/>
        <v>4210</v>
      </c>
      <c r="H297" s="6" t="str">
        <f t="shared" si="4"/>
        <v>G</v>
      </c>
      <c r="I297" s="6" t="str">
        <f t="shared" si="5"/>
        <v>Transformative change</v>
      </c>
      <c r="J297" s="6" t="str">
        <f t="shared" si="6"/>
        <v>High</v>
      </c>
      <c r="K297" s="6">
        <f t="shared" si="7"/>
        <v>314455</v>
      </c>
      <c r="L297" s="6">
        <f t="shared" si="8"/>
        <v>51758.27083</v>
      </c>
    </row>
    <row r="298">
      <c r="A298" s="4" t="s">
        <v>830</v>
      </c>
      <c r="B298" s="4" t="s">
        <v>831</v>
      </c>
      <c r="C298" s="4" t="s">
        <v>832</v>
      </c>
      <c r="D298" s="5">
        <v>52856.0</v>
      </c>
      <c r="E298" s="6">
        <f t="shared" si="1"/>
        <v>2</v>
      </c>
      <c r="F298" s="6">
        <f t="shared" si="2"/>
        <v>79504</v>
      </c>
      <c r="G298" s="6">
        <f t="shared" si="3"/>
        <v>24672</v>
      </c>
      <c r="H298" s="6" t="str">
        <f t="shared" si="4"/>
        <v>C</v>
      </c>
      <c r="I298" s="6" t="str">
        <f t="shared" si="5"/>
        <v>Transformative change</v>
      </c>
      <c r="J298" s="6" t="str">
        <f t="shared" si="6"/>
        <v>Medium</v>
      </c>
      <c r="K298" s="6">
        <f t="shared" si="7"/>
        <v>2556692</v>
      </c>
      <c r="L298" s="6">
        <f t="shared" si="8"/>
        <v>473424.9919</v>
      </c>
    </row>
    <row r="299">
      <c r="A299" s="4" t="s">
        <v>833</v>
      </c>
      <c r="B299" s="4" t="s">
        <v>834</v>
      </c>
      <c r="C299" s="4" t="s">
        <v>238</v>
      </c>
      <c r="D299" s="5">
        <v>5433.0</v>
      </c>
      <c r="E299" s="6">
        <f t="shared" si="1"/>
        <v>3</v>
      </c>
      <c r="F299" s="6">
        <f t="shared" si="2"/>
        <v>33919</v>
      </c>
      <c r="G299" s="6">
        <f t="shared" si="3"/>
        <v>30702</v>
      </c>
      <c r="H299" s="6" t="str">
        <f t="shared" si="4"/>
        <v>G</v>
      </c>
      <c r="I299" s="6" t="str">
        <f t="shared" si="5"/>
        <v>Transformative change</v>
      </c>
      <c r="J299" s="6" t="str">
        <f t="shared" si="6"/>
        <v>Low</v>
      </c>
      <c r="K299" s="6">
        <f t="shared" si="7"/>
        <v>2937768</v>
      </c>
      <c r="L299" s="6">
        <f t="shared" si="8"/>
        <v>1496711.525</v>
      </c>
    </row>
    <row r="300">
      <c r="A300" s="4" t="s">
        <v>835</v>
      </c>
      <c r="B300" s="4" t="s">
        <v>836</v>
      </c>
      <c r="C300" s="4" t="s">
        <v>837</v>
      </c>
      <c r="D300" s="5">
        <v>7539.0</v>
      </c>
      <c r="E300" s="6">
        <f t="shared" si="1"/>
        <v>3</v>
      </c>
      <c r="F300" s="6">
        <f t="shared" si="2"/>
        <v>78239</v>
      </c>
      <c r="G300" s="6">
        <f t="shared" si="3"/>
        <v>67076</v>
      </c>
      <c r="H300" s="6" t="str">
        <f t="shared" si="4"/>
        <v>E</v>
      </c>
      <c r="I300" s="6" t="str">
        <f t="shared" si="5"/>
        <v>Transformative change</v>
      </c>
      <c r="J300" s="6" t="str">
        <f t="shared" si="6"/>
        <v>High</v>
      </c>
      <c r="K300" s="6">
        <f t="shared" si="7"/>
        <v>835177</v>
      </c>
      <c r="L300" s="6">
        <f t="shared" si="8"/>
        <v>723245.9899</v>
      </c>
    </row>
    <row r="301">
      <c r="A301" s="4" t="s">
        <v>838</v>
      </c>
      <c r="B301" s="4" t="s">
        <v>839</v>
      </c>
      <c r="C301" s="4" t="s">
        <v>840</v>
      </c>
      <c r="D301" s="5">
        <v>335638.0</v>
      </c>
      <c r="E301" s="6">
        <f t="shared" si="1"/>
        <v>5</v>
      </c>
      <c r="F301" s="6">
        <f t="shared" si="2"/>
        <v>52246</v>
      </c>
      <c r="G301" s="6">
        <f t="shared" si="3"/>
        <v>27065</v>
      </c>
      <c r="H301" s="6" t="str">
        <f t="shared" si="4"/>
        <v>C</v>
      </c>
      <c r="I301" s="6" t="str">
        <f t="shared" si="5"/>
        <v>Transformative change</v>
      </c>
      <c r="J301" s="6" t="str">
        <f t="shared" si="6"/>
        <v>High</v>
      </c>
      <c r="K301" s="6">
        <f t="shared" si="7"/>
        <v>2030691</v>
      </c>
      <c r="L301" s="6">
        <f t="shared" si="8"/>
        <v>48683.03613</v>
      </c>
    </row>
    <row r="302">
      <c r="A302" s="4" t="s">
        <v>841</v>
      </c>
      <c r="B302" s="4" t="s">
        <v>842</v>
      </c>
      <c r="C302" s="4" t="s">
        <v>843</v>
      </c>
      <c r="D302" s="5">
        <v>8074.0</v>
      </c>
      <c r="E302" s="6">
        <f t="shared" si="1"/>
        <v>5</v>
      </c>
      <c r="F302" s="6">
        <f t="shared" si="2"/>
        <v>20940</v>
      </c>
      <c r="G302" s="6">
        <f t="shared" si="3"/>
        <v>20680</v>
      </c>
      <c r="H302" s="6" t="str">
        <f t="shared" si="4"/>
        <v>E</v>
      </c>
      <c r="I302" s="6" t="str">
        <f t="shared" si="5"/>
        <v>Transformative change</v>
      </c>
      <c r="J302" s="6" t="str">
        <f t="shared" si="6"/>
        <v>High</v>
      </c>
      <c r="K302" s="6">
        <f t="shared" si="7"/>
        <v>1460795</v>
      </c>
      <c r="L302" s="6">
        <f t="shared" si="8"/>
        <v>278904.2889</v>
      </c>
    </row>
    <row r="303">
      <c r="A303" s="4" t="s">
        <v>844</v>
      </c>
      <c r="B303" s="4" t="s">
        <v>845</v>
      </c>
      <c r="C303" s="4" t="s">
        <v>74</v>
      </c>
      <c r="D303" s="5">
        <v>11487.0</v>
      </c>
      <c r="E303" s="6">
        <f t="shared" si="1"/>
        <v>2</v>
      </c>
      <c r="F303" s="6">
        <f t="shared" si="2"/>
        <v>71017</v>
      </c>
      <c r="G303" s="6">
        <f t="shared" si="3"/>
        <v>42213</v>
      </c>
      <c r="H303" s="6" t="str">
        <f t="shared" si="4"/>
        <v>A</v>
      </c>
      <c r="I303" s="6" t="str">
        <f t="shared" si="5"/>
        <v>Transformative change</v>
      </c>
      <c r="J303" s="6" t="str">
        <f t="shared" si="6"/>
        <v>High</v>
      </c>
      <c r="K303" s="6">
        <f t="shared" si="7"/>
        <v>2492967</v>
      </c>
      <c r="L303" s="6">
        <f t="shared" si="8"/>
        <v>1381071.919</v>
      </c>
    </row>
    <row r="304">
      <c r="A304" s="4" t="s">
        <v>846</v>
      </c>
      <c r="B304" s="4" t="s">
        <v>847</v>
      </c>
      <c r="C304" s="4" t="s">
        <v>848</v>
      </c>
      <c r="D304" s="5">
        <v>16900.0</v>
      </c>
      <c r="E304" s="6">
        <f t="shared" si="1"/>
        <v>5</v>
      </c>
      <c r="F304" s="6">
        <f t="shared" si="2"/>
        <v>15145</v>
      </c>
      <c r="G304" s="6">
        <f t="shared" si="3"/>
        <v>12556</v>
      </c>
      <c r="H304" s="6" t="str">
        <f t="shared" si="4"/>
        <v>F</v>
      </c>
      <c r="I304" s="6" t="str">
        <f t="shared" si="5"/>
        <v>Transformative change</v>
      </c>
      <c r="J304" s="6" t="str">
        <f t="shared" si="6"/>
        <v>Low</v>
      </c>
      <c r="K304" s="6">
        <f t="shared" si="7"/>
        <v>844493</v>
      </c>
      <c r="L304" s="6">
        <f t="shared" si="8"/>
        <v>818723.0205</v>
      </c>
    </row>
    <row r="305">
      <c r="A305" s="4" t="s">
        <v>849</v>
      </c>
      <c r="B305" s="4" t="s">
        <v>850</v>
      </c>
      <c r="C305" s="4" t="s">
        <v>851</v>
      </c>
      <c r="D305" s="5">
        <v>15728.0</v>
      </c>
      <c r="E305" s="6">
        <f t="shared" si="1"/>
        <v>5</v>
      </c>
      <c r="F305" s="6">
        <f t="shared" si="2"/>
        <v>88553</v>
      </c>
      <c r="G305" s="6">
        <f t="shared" si="3"/>
        <v>85126</v>
      </c>
      <c r="H305" s="6" t="str">
        <f t="shared" si="4"/>
        <v>A</v>
      </c>
      <c r="I305" s="6" t="str">
        <f t="shared" si="5"/>
        <v>Transformative change</v>
      </c>
      <c r="J305" s="6" t="str">
        <f t="shared" si="6"/>
        <v>High</v>
      </c>
      <c r="K305" s="6">
        <f t="shared" si="7"/>
        <v>850550</v>
      </c>
      <c r="L305" s="6">
        <f t="shared" si="8"/>
        <v>46220.60722</v>
      </c>
    </row>
    <row r="306">
      <c r="A306" s="4" t="s">
        <v>852</v>
      </c>
      <c r="B306" s="4" t="s">
        <v>853</v>
      </c>
      <c r="C306" s="4" t="s">
        <v>854</v>
      </c>
      <c r="D306" s="5">
        <v>5691.0</v>
      </c>
      <c r="E306" s="6">
        <f t="shared" si="1"/>
        <v>2</v>
      </c>
      <c r="F306" s="6">
        <f t="shared" si="2"/>
        <v>22912</v>
      </c>
      <c r="G306" s="6">
        <f t="shared" si="3"/>
        <v>33526</v>
      </c>
      <c r="H306" s="6" t="str">
        <f t="shared" si="4"/>
        <v>F</v>
      </c>
      <c r="I306" s="6" t="str">
        <f t="shared" si="5"/>
        <v>High ambition</v>
      </c>
      <c r="J306" s="6" t="str">
        <f t="shared" si="6"/>
        <v>High</v>
      </c>
      <c r="K306" s="6">
        <f t="shared" si="7"/>
        <v>2098274</v>
      </c>
      <c r="L306" s="6">
        <f t="shared" si="8"/>
        <v>384648.7742</v>
      </c>
    </row>
    <row r="307">
      <c r="A307" s="4" t="s">
        <v>855</v>
      </c>
      <c r="B307" s="4" t="s">
        <v>856</v>
      </c>
      <c r="C307" s="4" t="s">
        <v>857</v>
      </c>
      <c r="D307" s="5">
        <v>10794.0</v>
      </c>
      <c r="E307" s="6">
        <f t="shared" si="1"/>
        <v>5</v>
      </c>
      <c r="F307" s="6">
        <f t="shared" si="2"/>
        <v>81060</v>
      </c>
      <c r="G307" s="6">
        <f t="shared" si="3"/>
        <v>14137</v>
      </c>
      <c r="H307" s="6" t="str">
        <f t="shared" si="4"/>
        <v>B</v>
      </c>
      <c r="I307" s="6" t="str">
        <f t="shared" si="5"/>
        <v>High ambition</v>
      </c>
      <c r="J307" s="6" t="str">
        <f t="shared" si="6"/>
        <v>Medium</v>
      </c>
      <c r="K307" s="6">
        <f t="shared" si="7"/>
        <v>2353528</v>
      </c>
      <c r="L307" s="6">
        <f t="shared" si="8"/>
        <v>343540.9888</v>
      </c>
    </row>
    <row r="308">
      <c r="A308" s="4" t="s">
        <v>858</v>
      </c>
      <c r="B308" s="4" t="s">
        <v>859</v>
      </c>
      <c r="C308" s="4" t="s">
        <v>860</v>
      </c>
      <c r="D308" s="5">
        <v>19393.0</v>
      </c>
      <c r="E308" s="6">
        <f t="shared" si="1"/>
        <v>5</v>
      </c>
      <c r="F308" s="6">
        <f t="shared" si="2"/>
        <v>16533</v>
      </c>
      <c r="G308" s="6">
        <f t="shared" si="3"/>
        <v>60767</v>
      </c>
      <c r="H308" s="6" t="str">
        <f t="shared" si="4"/>
        <v>D</v>
      </c>
      <c r="I308" s="6" t="str">
        <f t="shared" si="5"/>
        <v>Transformative change</v>
      </c>
      <c r="J308" s="6" t="str">
        <f t="shared" si="6"/>
        <v>Low</v>
      </c>
      <c r="K308" s="6">
        <f t="shared" si="7"/>
        <v>337096</v>
      </c>
      <c r="L308" s="6">
        <f t="shared" si="8"/>
        <v>157512.3496</v>
      </c>
    </row>
    <row r="309">
      <c r="A309" s="4" t="s">
        <v>861</v>
      </c>
      <c r="B309" s="4" t="s">
        <v>862</v>
      </c>
      <c r="C309" s="4" t="s">
        <v>863</v>
      </c>
      <c r="D309" s="5">
        <v>8652.0</v>
      </c>
      <c r="E309" s="6">
        <f t="shared" si="1"/>
        <v>3</v>
      </c>
      <c r="F309" s="6">
        <f t="shared" si="2"/>
        <v>80442</v>
      </c>
      <c r="G309" s="6">
        <f t="shared" si="3"/>
        <v>9252</v>
      </c>
      <c r="H309" s="6" t="str">
        <f t="shared" si="4"/>
        <v>B</v>
      </c>
      <c r="I309" s="6" t="str">
        <f t="shared" si="5"/>
        <v>Transformative change</v>
      </c>
      <c r="J309" s="6" t="str">
        <f t="shared" si="6"/>
        <v>Medium</v>
      </c>
      <c r="K309" s="6">
        <f t="shared" si="7"/>
        <v>2697015</v>
      </c>
      <c r="L309" s="6">
        <f t="shared" si="8"/>
        <v>1741502.127</v>
      </c>
    </row>
    <row r="310">
      <c r="A310" s="4" t="s">
        <v>864</v>
      </c>
      <c r="B310" s="4" t="s">
        <v>865</v>
      </c>
      <c r="C310" s="4" t="s">
        <v>866</v>
      </c>
      <c r="D310" s="5">
        <v>14336.0</v>
      </c>
      <c r="E310" s="6">
        <f t="shared" si="1"/>
        <v>1</v>
      </c>
      <c r="F310" s="6">
        <f t="shared" si="2"/>
        <v>88693</v>
      </c>
      <c r="G310" s="6">
        <f t="shared" si="3"/>
        <v>22346</v>
      </c>
      <c r="H310" s="6" t="str">
        <f t="shared" si="4"/>
        <v>G</v>
      </c>
      <c r="I310" s="6" t="str">
        <f t="shared" si="5"/>
        <v>Transformative change</v>
      </c>
      <c r="J310" s="6" t="str">
        <f t="shared" si="6"/>
        <v>Low</v>
      </c>
      <c r="K310" s="6">
        <f t="shared" si="7"/>
        <v>913758</v>
      </c>
      <c r="L310" s="6">
        <f t="shared" si="8"/>
        <v>742870.1955</v>
      </c>
    </row>
    <row r="311">
      <c r="A311" s="4" t="s">
        <v>867</v>
      </c>
      <c r="B311" s="4" t="s">
        <v>868</v>
      </c>
      <c r="C311" s="4" t="s">
        <v>869</v>
      </c>
      <c r="D311" s="5">
        <v>17548.0</v>
      </c>
      <c r="E311" s="6">
        <f t="shared" si="1"/>
        <v>5</v>
      </c>
      <c r="F311" s="6">
        <f t="shared" si="2"/>
        <v>35050</v>
      </c>
      <c r="G311" s="6">
        <f t="shared" si="3"/>
        <v>53010</v>
      </c>
      <c r="H311" s="6" t="str">
        <f t="shared" si="4"/>
        <v>D</v>
      </c>
      <c r="I311" s="6" t="str">
        <f t="shared" si="5"/>
        <v>Transformative change</v>
      </c>
      <c r="J311" s="6" t="str">
        <f t="shared" si="6"/>
        <v>Low</v>
      </c>
      <c r="K311" s="6">
        <f t="shared" si="7"/>
        <v>3665012</v>
      </c>
      <c r="L311" s="6">
        <f t="shared" si="8"/>
        <v>2084723.595</v>
      </c>
    </row>
    <row r="312">
      <c r="A312" s="4" t="s">
        <v>870</v>
      </c>
      <c r="B312" s="4" t="s">
        <v>871</v>
      </c>
      <c r="C312" s="4" t="s">
        <v>872</v>
      </c>
      <c r="D312" s="5">
        <v>8946.0</v>
      </c>
      <c r="E312" s="6">
        <f t="shared" si="1"/>
        <v>1</v>
      </c>
      <c r="F312" s="6">
        <f t="shared" si="2"/>
        <v>76069</v>
      </c>
      <c r="G312" s="6">
        <f t="shared" si="3"/>
        <v>12142</v>
      </c>
      <c r="H312" s="6" t="str">
        <f t="shared" si="4"/>
        <v>D</v>
      </c>
      <c r="I312" s="6" t="str">
        <f t="shared" si="5"/>
        <v>Transformative change</v>
      </c>
      <c r="J312" s="6" t="str">
        <f t="shared" si="6"/>
        <v>High</v>
      </c>
      <c r="K312" s="6">
        <f t="shared" si="7"/>
        <v>1286735</v>
      </c>
      <c r="L312" s="6">
        <f t="shared" si="8"/>
        <v>1280638.703</v>
      </c>
    </row>
    <row r="313">
      <c r="A313" s="4" t="s">
        <v>873</v>
      </c>
      <c r="B313" s="4" t="s">
        <v>874</v>
      </c>
      <c r="C313" s="4" t="s">
        <v>875</v>
      </c>
      <c r="D313" s="5">
        <v>48467.0</v>
      </c>
      <c r="E313" s="6">
        <f t="shared" si="1"/>
        <v>3</v>
      </c>
      <c r="F313" s="6">
        <f t="shared" si="2"/>
        <v>90384</v>
      </c>
      <c r="G313" s="6">
        <f t="shared" si="3"/>
        <v>12263</v>
      </c>
      <c r="H313" s="6" t="str">
        <f t="shared" si="4"/>
        <v>A</v>
      </c>
      <c r="I313" s="6" t="str">
        <f t="shared" si="5"/>
        <v>Transformative change</v>
      </c>
      <c r="J313" s="6" t="str">
        <f t="shared" si="6"/>
        <v>Medium</v>
      </c>
      <c r="K313" s="6">
        <f t="shared" si="7"/>
        <v>1317239</v>
      </c>
      <c r="L313" s="6">
        <f t="shared" si="8"/>
        <v>137035.2845</v>
      </c>
    </row>
    <row r="314">
      <c r="A314" s="4" t="s">
        <v>876</v>
      </c>
      <c r="B314" s="4" t="s">
        <v>877</v>
      </c>
      <c r="C314" s="4" t="s">
        <v>878</v>
      </c>
      <c r="D314" s="5">
        <v>7293.0</v>
      </c>
      <c r="E314" s="6">
        <f t="shared" si="1"/>
        <v>3</v>
      </c>
      <c r="F314" s="6">
        <f t="shared" si="2"/>
        <v>19380</v>
      </c>
      <c r="G314" s="6">
        <f t="shared" si="3"/>
        <v>24895</v>
      </c>
      <c r="H314" s="6" t="str">
        <f t="shared" si="4"/>
        <v>E</v>
      </c>
      <c r="I314" s="6" t="str">
        <f t="shared" si="5"/>
        <v>Transformative change</v>
      </c>
      <c r="J314" s="6" t="str">
        <f t="shared" si="6"/>
        <v>Medium</v>
      </c>
      <c r="K314" s="6">
        <f t="shared" si="7"/>
        <v>1861002</v>
      </c>
      <c r="L314" s="6">
        <f t="shared" si="8"/>
        <v>411205.0114</v>
      </c>
    </row>
    <row r="315">
      <c r="A315" s="4" t="s">
        <v>879</v>
      </c>
      <c r="B315" s="4" t="s">
        <v>880</v>
      </c>
      <c r="C315" s="4" t="s">
        <v>881</v>
      </c>
      <c r="D315" s="5">
        <v>13356.0</v>
      </c>
      <c r="E315" s="6">
        <f t="shared" si="1"/>
        <v>3</v>
      </c>
      <c r="F315" s="6">
        <f t="shared" si="2"/>
        <v>64741</v>
      </c>
      <c r="G315" s="6">
        <f t="shared" si="3"/>
        <v>14390</v>
      </c>
      <c r="H315" s="6" t="str">
        <f t="shared" si="4"/>
        <v>C</v>
      </c>
      <c r="I315" s="6" t="str">
        <f t="shared" si="5"/>
        <v>Transformative change</v>
      </c>
      <c r="J315" s="6" t="str">
        <f t="shared" si="6"/>
        <v>Medium</v>
      </c>
      <c r="K315" s="6">
        <f t="shared" si="7"/>
        <v>178932</v>
      </c>
      <c r="L315" s="6">
        <f t="shared" si="8"/>
        <v>10989.0833</v>
      </c>
    </row>
    <row r="316">
      <c r="A316" s="4" t="s">
        <v>882</v>
      </c>
      <c r="B316" s="4" t="s">
        <v>883</v>
      </c>
      <c r="C316" s="4" t="s">
        <v>884</v>
      </c>
      <c r="D316" s="5">
        <v>9491.0</v>
      </c>
      <c r="E316" s="6">
        <f t="shared" si="1"/>
        <v>1</v>
      </c>
      <c r="F316" s="6">
        <f t="shared" si="2"/>
        <v>38884</v>
      </c>
      <c r="G316" s="6">
        <f t="shared" si="3"/>
        <v>10651</v>
      </c>
      <c r="H316" s="6" t="str">
        <f t="shared" si="4"/>
        <v>G</v>
      </c>
      <c r="I316" s="6" t="str">
        <f t="shared" si="5"/>
        <v>Transformative change</v>
      </c>
      <c r="J316" s="6" t="str">
        <f t="shared" si="6"/>
        <v>Medium</v>
      </c>
      <c r="K316" s="6">
        <f t="shared" si="7"/>
        <v>261810</v>
      </c>
      <c r="L316" s="6">
        <f t="shared" si="8"/>
        <v>131068.4213</v>
      </c>
    </row>
    <row r="317">
      <c r="A317" s="4" t="s">
        <v>885</v>
      </c>
      <c r="B317" s="4" t="s">
        <v>886</v>
      </c>
      <c r="C317" s="4" t="s">
        <v>74</v>
      </c>
      <c r="D317" s="5">
        <v>800980.0</v>
      </c>
      <c r="E317" s="6">
        <f t="shared" si="1"/>
        <v>1</v>
      </c>
      <c r="F317" s="6">
        <f t="shared" si="2"/>
        <v>30804</v>
      </c>
      <c r="G317" s="6">
        <f t="shared" si="3"/>
        <v>5268</v>
      </c>
      <c r="H317" s="6" t="str">
        <f t="shared" si="4"/>
        <v>C</v>
      </c>
      <c r="I317" s="6" t="str">
        <f t="shared" si="5"/>
        <v>Transformative change</v>
      </c>
      <c r="J317" s="6" t="str">
        <f t="shared" si="6"/>
        <v>Medium</v>
      </c>
      <c r="K317" s="6">
        <f t="shared" si="7"/>
        <v>3933611</v>
      </c>
      <c r="L317" s="6">
        <f t="shared" si="8"/>
        <v>1151622.597</v>
      </c>
    </row>
    <row r="318">
      <c r="A318" s="4" t="s">
        <v>887</v>
      </c>
      <c r="B318" s="4" t="s">
        <v>888</v>
      </c>
      <c r="C318" s="4" t="s">
        <v>74</v>
      </c>
      <c r="D318" s="5">
        <v>8680.0</v>
      </c>
      <c r="E318" s="6">
        <f t="shared" si="1"/>
        <v>5</v>
      </c>
      <c r="F318" s="6">
        <f t="shared" si="2"/>
        <v>66309</v>
      </c>
      <c r="G318" s="6">
        <f t="shared" si="3"/>
        <v>51395</v>
      </c>
      <c r="H318" s="6" t="str">
        <f t="shared" si="4"/>
        <v>F</v>
      </c>
      <c r="I318" s="6" t="str">
        <f t="shared" si="5"/>
        <v>Transformative change</v>
      </c>
      <c r="J318" s="6" t="str">
        <f t="shared" si="6"/>
        <v>Medium</v>
      </c>
      <c r="K318" s="6">
        <f t="shared" si="7"/>
        <v>2701442</v>
      </c>
      <c r="L318" s="6">
        <f t="shared" si="8"/>
        <v>655822.3815</v>
      </c>
    </row>
    <row r="319">
      <c r="A319" s="4" t="s">
        <v>889</v>
      </c>
      <c r="B319" s="4" t="s">
        <v>890</v>
      </c>
      <c r="C319" s="4" t="s">
        <v>891</v>
      </c>
      <c r="D319" s="5">
        <v>6998.0</v>
      </c>
      <c r="E319" s="6">
        <f t="shared" si="1"/>
        <v>3</v>
      </c>
      <c r="F319" s="6">
        <f t="shared" si="2"/>
        <v>92178</v>
      </c>
      <c r="G319" s="6">
        <f t="shared" si="3"/>
        <v>79663</v>
      </c>
      <c r="H319" s="6" t="str">
        <f t="shared" si="4"/>
        <v>B</v>
      </c>
      <c r="I319" s="6" t="str">
        <f t="shared" si="5"/>
        <v>Transformative change</v>
      </c>
      <c r="J319" s="6" t="str">
        <f t="shared" si="6"/>
        <v>High</v>
      </c>
      <c r="K319" s="6">
        <f t="shared" si="7"/>
        <v>438811</v>
      </c>
      <c r="L319" s="6">
        <f t="shared" si="8"/>
        <v>256581.7881</v>
      </c>
    </row>
    <row r="320">
      <c r="A320" s="4" t="s">
        <v>892</v>
      </c>
      <c r="B320" s="4" t="s">
        <v>893</v>
      </c>
      <c r="C320" s="4" t="s">
        <v>394</v>
      </c>
      <c r="D320" s="5">
        <v>14338.0</v>
      </c>
      <c r="E320" s="6">
        <f t="shared" si="1"/>
        <v>4</v>
      </c>
      <c r="F320" s="6">
        <f t="shared" si="2"/>
        <v>70239</v>
      </c>
      <c r="G320" s="6">
        <f t="shared" si="3"/>
        <v>56687</v>
      </c>
      <c r="H320" s="6" t="str">
        <f t="shared" si="4"/>
        <v>G</v>
      </c>
      <c r="I320" s="6" t="str">
        <f t="shared" si="5"/>
        <v>Transformative change</v>
      </c>
      <c r="J320" s="6" t="str">
        <f t="shared" si="6"/>
        <v>High</v>
      </c>
      <c r="K320" s="6">
        <f t="shared" si="7"/>
        <v>2938932</v>
      </c>
      <c r="L320" s="6">
        <f t="shared" si="8"/>
        <v>1677490.751</v>
      </c>
    </row>
    <row r="321">
      <c r="A321" s="4" t="s">
        <v>894</v>
      </c>
      <c r="B321" s="4" t="s">
        <v>895</v>
      </c>
      <c r="C321" s="4" t="s">
        <v>74</v>
      </c>
      <c r="D321" s="5">
        <v>19596.0</v>
      </c>
      <c r="E321" s="6">
        <f t="shared" si="1"/>
        <v>4</v>
      </c>
      <c r="F321" s="6">
        <f t="shared" si="2"/>
        <v>89872</v>
      </c>
      <c r="G321" s="6">
        <f t="shared" si="3"/>
        <v>88371</v>
      </c>
      <c r="H321" s="6" t="str">
        <f t="shared" si="4"/>
        <v>B</v>
      </c>
      <c r="I321" s="6" t="str">
        <f t="shared" si="5"/>
        <v>Transformative change</v>
      </c>
      <c r="J321" s="6" t="str">
        <f t="shared" si="6"/>
        <v>Medium</v>
      </c>
      <c r="K321" s="6">
        <f t="shared" si="7"/>
        <v>2444798</v>
      </c>
      <c r="L321" s="6">
        <f t="shared" si="8"/>
        <v>1282329.276</v>
      </c>
    </row>
    <row r="322">
      <c r="A322" s="4" t="s">
        <v>896</v>
      </c>
      <c r="B322" s="4" t="s">
        <v>897</v>
      </c>
      <c r="C322" s="4" t="s">
        <v>898</v>
      </c>
      <c r="D322" s="5">
        <v>19349.0</v>
      </c>
      <c r="E322" s="6">
        <f t="shared" si="1"/>
        <v>4</v>
      </c>
      <c r="F322" s="6">
        <f t="shared" si="2"/>
        <v>39948</v>
      </c>
      <c r="G322" s="6">
        <f t="shared" si="3"/>
        <v>6990</v>
      </c>
      <c r="H322" s="6" t="str">
        <f t="shared" si="4"/>
        <v>E</v>
      </c>
      <c r="I322" s="6" t="str">
        <f t="shared" si="5"/>
        <v>Transformative change</v>
      </c>
      <c r="J322" s="6" t="str">
        <f t="shared" si="6"/>
        <v>High</v>
      </c>
      <c r="K322" s="6">
        <f t="shared" si="7"/>
        <v>2092751</v>
      </c>
      <c r="L322" s="6">
        <f t="shared" si="8"/>
        <v>1805055.895</v>
      </c>
    </row>
    <row r="323">
      <c r="A323" s="4" t="s">
        <v>899</v>
      </c>
      <c r="B323" s="4" t="s">
        <v>900</v>
      </c>
      <c r="C323" s="4" t="s">
        <v>901</v>
      </c>
      <c r="D323" s="5">
        <v>215865.0</v>
      </c>
      <c r="E323" s="6">
        <f t="shared" si="1"/>
        <v>3</v>
      </c>
      <c r="F323" s="6">
        <f t="shared" si="2"/>
        <v>71724</v>
      </c>
      <c r="G323" s="6">
        <f t="shared" si="3"/>
        <v>44187</v>
      </c>
      <c r="H323" s="6" t="str">
        <f t="shared" si="4"/>
        <v>E</v>
      </c>
      <c r="I323" s="6" t="str">
        <f t="shared" si="5"/>
        <v>Transformative change</v>
      </c>
      <c r="J323" s="6" t="str">
        <f t="shared" si="6"/>
        <v>Low</v>
      </c>
      <c r="K323" s="6">
        <f t="shared" si="7"/>
        <v>3436232</v>
      </c>
      <c r="L323" s="6">
        <f t="shared" si="8"/>
        <v>2880857.086</v>
      </c>
    </row>
    <row r="324">
      <c r="A324" s="4" t="s">
        <v>902</v>
      </c>
      <c r="B324" s="4" t="s">
        <v>903</v>
      </c>
      <c r="C324" s="4" t="s">
        <v>904</v>
      </c>
      <c r="D324" s="5">
        <v>7756.0</v>
      </c>
      <c r="E324" s="6">
        <f t="shared" si="1"/>
        <v>5</v>
      </c>
      <c r="F324" s="6">
        <f t="shared" si="2"/>
        <v>70671</v>
      </c>
      <c r="G324" s="6">
        <f t="shared" si="3"/>
        <v>10548</v>
      </c>
      <c r="H324" s="6" t="str">
        <f t="shared" si="4"/>
        <v>C</v>
      </c>
      <c r="I324" s="6" t="str">
        <f t="shared" si="5"/>
        <v>Transformative change</v>
      </c>
      <c r="J324" s="6" t="str">
        <f t="shared" si="6"/>
        <v>Low</v>
      </c>
      <c r="K324" s="6">
        <f t="shared" si="7"/>
        <v>3966472</v>
      </c>
      <c r="L324" s="6">
        <f t="shared" si="8"/>
        <v>49840.31312</v>
      </c>
    </row>
    <row r="325">
      <c r="A325" s="4" t="s">
        <v>905</v>
      </c>
      <c r="B325" s="4" t="s">
        <v>906</v>
      </c>
      <c r="C325" s="4" t="s">
        <v>653</v>
      </c>
      <c r="D325" s="5">
        <v>11168.0</v>
      </c>
      <c r="E325" s="6">
        <f t="shared" si="1"/>
        <v>5</v>
      </c>
      <c r="F325" s="6">
        <f t="shared" si="2"/>
        <v>5779</v>
      </c>
      <c r="G325" s="6">
        <f t="shared" si="3"/>
        <v>64846</v>
      </c>
      <c r="H325" s="6" t="str">
        <f t="shared" si="4"/>
        <v>A</v>
      </c>
      <c r="I325" s="6" t="str">
        <f t="shared" si="5"/>
        <v>Transformative change</v>
      </c>
      <c r="J325" s="6" t="str">
        <f t="shared" si="6"/>
        <v>High</v>
      </c>
      <c r="K325" s="6">
        <f t="shared" si="7"/>
        <v>1056812</v>
      </c>
      <c r="L325" s="6">
        <f t="shared" si="8"/>
        <v>742528.5644</v>
      </c>
    </row>
    <row r="326">
      <c r="A326" s="4" t="s">
        <v>907</v>
      </c>
      <c r="B326" s="4" t="s">
        <v>908</v>
      </c>
      <c r="C326" s="4" t="s">
        <v>909</v>
      </c>
      <c r="D326" s="5">
        <v>17413.0</v>
      </c>
      <c r="E326" s="6">
        <f t="shared" si="1"/>
        <v>5</v>
      </c>
      <c r="F326" s="6">
        <f t="shared" si="2"/>
        <v>11321</v>
      </c>
      <c r="G326" s="6">
        <f t="shared" si="3"/>
        <v>7821</v>
      </c>
      <c r="H326" s="6" t="str">
        <f t="shared" si="4"/>
        <v>D</v>
      </c>
      <c r="I326" s="6" t="str">
        <f t="shared" si="5"/>
        <v>High ambition</v>
      </c>
      <c r="J326" s="6" t="str">
        <f t="shared" si="6"/>
        <v>Low</v>
      </c>
      <c r="K326" s="6">
        <f t="shared" si="7"/>
        <v>3707391</v>
      </c>
      <c r="L326" s="6">
        <f t="shared" si="8"/>
        <v>3399876.585</v>
      </c>
    </row>
    <row r="327">
      <c r="A327" s="4" t="s">
        <v>910</v>
      </c>
      <c r="B327" s="4" t="s">
        <v>911</v>
      </c>
      <c r="C327" s="4" t="s">
        <v>912</v>
      </c>
      <c r="D327" s="5">
        <v>15262.0</v>
      </c>
      <c r="E327" s="6">
        <f t="shared" si="1"/>
        <v>5</v>
      </c>
      <c r="F327" s="6">
        <f t="shared" si="2"/>
        <v>60599</v>
      </c>
      <c r="G327" s="6">
        <f t="shared" si="3"/>
        <v>1707</v>
      </c>
      <c r="H327" s="6" t="str">
        <f t="shared" si="4"/>
        <v>G</v>
      </c>
      <c r="I327" s="6" t="str">
        <f t="shared" si="5"/>
        <v>High ambition</v>
      </c>
      <c r="J327" s="6" t="str">
        <f t="shared" si="6"/>
        <v>High</v>
      </c>
      <c r="K327" s="6">
        <f t="shared" si="7"/>
        <v>2976894</v>
      </c>
      <c r="L327" s="6">
        <f t="shared" si="8"/>
        <v>1569743.709</v>
      </c>
    </row>
    <row r="328">
      <c r="A328" s="4" t="s">
        <v>913</v>
      </c>
      <c r="B328" s="4" t="s">
        <v>914</v>
      </c>
      <c r="C328" s="4" t="s">
        <v>915</v>
      </c>
      <c r="D328" s="5">
        <v>12591.0</v>
      </c>
      <c r="E328" s="6">
        <f t="shared" si="1"/>
        <v>2</v>
      </c>
      <c r="F328" s="6">
        <f t="shared" si="2"/>
        <v>95662</v>
      </c>
      <c r="G328" s="6">
        <f t="shared" si="3"/>
        <v>57505</v>
      </c>
      <c r="H328" s="6" t="str">
        <f t="shared" si="4"/>
        <v>C</v>
      </c>
      <c r="I328" s="6" t="str">
        <f t="shared" si="5"/>
        <v>Transformative change</v>
      </c>
      <c r="J328" s="6" t="str">
        <f t="shared" si="6"/>
        <v>Low</v>
      </c>
      <c r="K328" s="6">
        <f t="shared" si="7"/>
        <v>3458122</v>
      </c>
      <c r="L328" s="6">
        <f t="shared" si="8"/>
        <v>2356011.113</v>
      </c>
    </row>
    <row r="329">
      <c r="A329" s="4" t="s">
        <v>916</v>
      </c>
      <c r="B329" s="4" t="s">
        <v>917</v>
      </c>
      <c r="C329" s="4" t="s">
        <v>918</v>
      </c>
      <c r="D329" s="5">
        <v>18699.0</v>
      </c>
      <c r="E329" s="6">
        <f t="shared" si="1"/>
        <v>1</v>
      </c>
      <c r="F329" s="6">
        <f t="shared" si="2"/>
        <v>31530</v>
      </c>
      <c r="G329" s="6">
        <f t="shared" si="3"/>
        <v>4796</v>
      </c>
      <c r="H329" s="6" t="str">
        <f t="shared" si="4"/>
        <v>D</v>
      </c>
      <c r="I329" s="6" t="str">
        <f t="shared" si="5"/>
        <v>Transformative change</v>
      </c>
      <c r="J329" s="6" t="str">
        <f t="shared" si="6"/>
        <v>Medium</v>
      </c>
      <c r="K329" s="6">
        <f t="shared" si="7"/>
        <v>1344057</v>
      </c>
      <c r="L329" s="6">
        <f t="shared" si="8"/>
        <v>957946.7587</v>
      </c>
    </row>
    <row r="330">
      <c r="A330" s="4" t="s">
        <v>919</v>
      </c>
      <c r="B330" s="4" t="s">
        <v>920</v>
      </c>
      <c r="C330" s="4" t="s">
        <v>921</v>
      </c>
      <c r="D330" s="5">
        <v>15184.0</v>
      </c>
      <c r="E330" s="6">
        <f t="shared" si="1"/>
        <v>1</v>
      </c>
      <c r="F330" s="6">
        <f t="shared" si="2"/>
        <v>57908</v>
      </c>
      <c r="G330" s="6">
        <f t="shared" si="3"/>
        <v>8267</v>
      </c>
      <c r="H330" s="6" t="str">
        <f t="shared" si="4"/>
        <v>B</v>
      </c>
      <c r="I330" s="6" t="str">
        <f t="shared" si="5"/>
        <v>Transformative change</v>
      </c>
      <c r="J330" s="6" t="str">
        <f t="shared" si="6"/>
        <v>Medium</v>
      </c>
      <c r="K330" s="6">
        <f t="shared" si="7"/>
        <v>1541168</v>
      </c>
      <c r="L330" s="6">
        <f t="shared" si="8"/>
        <v>76990.84431</v>
      </c>
    </row>
    <row r="331">
      <c r="A331" s="4" t="s">
        <v>922</v>
      </c>
      <c r="B331" s="4" t="s">
        <v>923</v>
      </c>
      <c r="C331" s="4" t="s">
        <v>924</v>
      </c>
      <c r="D331" s="5">
        <v>14547.0</v>
      </c>
      <c r="E331" s="6">
        <f t="shared" si="1"/>
        <v>5</v>
      </c>
      <c r="F331" s="6">
        <f t="shared" si="2"/>
        <v>19908</v>
      </c>
      <c r="G331" s="6">
        <f t="shared" si="3"/>
        <v>10375</v>
      </c>
      <c r="H331" s="6" t="str">
        <f t="shared" si="4"/>
        <v>A</v>
      </c>
      <c r="I331" s="6" t="str">
        <f t="shared" si="5"/>
        <v>Transformative change</v>
      </c>
      <c r="J331" s="6" t="str">
        <f t="shared" si="6"/>
        <v>Low</v>
      </c>
      <c r="K331" s="6">
        <f t="shared" si="7"/>
        <v>956667</v>
      </c>
      <c r="L331" s="6">
        <f t="shared" si="8"/>
        <v>840267.7745</v>
      </c>
    </row>
    <row r="332">
      <c r="A332" s="4" t="s">
        <v>925</v>
      </c>
      <c r="B332" s="4" t="s">
        <v>926</v>
      </c>
      <c r="C332" s="4" t="s">
        <v>927</v>
      </c>
      <c r="D332" s="5">
        <v>14353.0</v>
      </c>
      <c r="E332" s="6">
        <f t="shared" si="1"/>
        <v>2</v>
      </c>
      <c r="F332" s="6">
        <f t="shared" si="2"/>
        <v>15790</v>
      </c>
      <c r="G332" s="6">
        <f t="shared" si="3"/>
        <v>35443</v>
      </c>
      <c r="H332" s="6" t="str">
        <f t="shared" si="4"/>
        <v>E</v>
      </c>
      <c r="I332" s="6" t="str">
        <f t="shared" si="5"/>
        <v>Transformative change</v>
      </c>
      <c r="J332" s="6" t="str">
        <f t="shared" si="6"/>
        <v>Medium</v>
      </c>
      <c r="K332" s="6">
        <f t="shared" si="7"/>
        <v>716445</v>
      </c>
      <c r="L332" s="6">
        <f t="shared" si="8"/>
        <v>401139.2765</v>
      </c>
    </row>
    <row r="333">
      <c r="A333" s="4" t="s">
        <v>928</v>
      </c>
      <c r="B333" s="4" t="s">
        <v>929</v>
      </c>
      <c r="C333" s="4" t="s">
        <v>930</v>
      </c>
      <c r="D333" s="5">
        <v>15291.0</v>
      </c>
      <c r="E333" s="6">
        <f t="shared" si="1"/>
        <v>4</v>
      </c>
      <c r="F333" s="6">
        <f t="shared" si="2"/>
        <v>62217</v>
      </c>
      <c r="G333" s="6">
        <f t="shared" si="3"/>
        <v>2409</v>
      </c>
      <c r="H333" s="6" t="str">
        <f t="shared" si="4"/>
        <v>A</v>
      </c>
      <c r="I333" s="6" t="str">
        <f t="shared" si="5"/>
        <v>Transformative change</v>
      </c>
      <c r="J333" s="6" t="str">
        <f t="shared" si="6"/>
        <v>Low</v>
      </c>
      <c r="K333" s="6">
        <f t="shared" si="7"/>
        <v>180384</v>
      </c>
      <c r="L333" s="6">
        <f t="shared" si="8"/>
        <v>11628.43398</v>
      </c>
    </row>
    <row r="334">
      <c r="A334" s="4" t="s">
        <v>439</v>
      </c>
      <c r="B334" s="4" t="s">
        <v>931</v>
      </c>
      <c r="C334" s="4" t="s">
        <v>932</v>
      </c>
      <c r="D334" s="5">
        <v>19407.0</v>
      </c>
      <c r="E334" s="6">
        <f t="shared" si="1"/>
        <v>4</v>
      </c>
      <c r="F334" s="6">
        <f t="shared" si="2"/>
        <v>34051</v>
      </c>
      <c r="G334" s="6">
        <f t="shared" si="3"/>
        <v>24406</v>
      </c>
      <c r="H334" s="6" t="str">
        <f t="shared" si="4"/>
        <v>A</v>
      </c>
      <c r="I334" s="6" t="str">
        <f t="shared" si="5"/>
        <v>Transformative change</v>
      </c>
      <c r="J334" s="6" t="str">
        <f t="shared" si="6"/>
        <v>High</v>
      </c>
      <c r="K334" s="6">
        <f t="shared" si="7"/>
        <v>1851791</v>
      </c>
      <c r="L334" s="6">
        <f t="shared" si="8"/>
        <v>1695767.95</v>
      </c>
    </row>
    <row r="335">
      <c r="A335" s="4" t="s">
        <v>933</v>
      </c>
      <c r="B335" s="4" t="s">
        <v>934</v>
      </c>
      <c r="C335" s="4" t="s">
        <v>935</v>
      </c>
      <c r="D335" s="5">
        <v>16676.0</v>
      </c>
      <c r="E335" s="6">
        <f t="shared" si="1"/>
        <v>4</v>
      </c>
      <c r="F335" s="6">
        <f t="shared" si="2"/>
        <v>32180</v>
      </c>
      <c r="G335" s="6">
        <f t="shared" si="3"/>
        <v>11836</v>
      </c>
      <c r="H335" s="6" t="str">
        <f t="shared" si="4"/>
        <v>C</v>
      </c>
      <c r="I335" s="6" t="str">
        <f t="shared" si="5"/>
        <v>Transformative change</v>
      </c>
      <c r="J335" s="6" t="str">
        <f t="shared" si="6"/>
        <v>Medium</v>
      </c>
      <c r="K335" s="6">
        <f t="shared" si="7"/>
        <v>1827652</v>
      </c>
      <c r="L335" s="6">
        <f t="shared" si="8"/>
        <v>743362.9417</v>
      </c>
    </row>
    <row r="336">
      <c r="A336" s="4" t="s">
        <v>936</v>
      </c>
      <c r="B336" s="4" t="s">
        <v>937</v>
      </c>
      <c r="C336" s="4" t="s">
        <v>938</v>
      </c>
      <c r="D336" s="5">
        <v>11589.0</v>
      </c>
      <c r="E336" s="6">
        <f t="shared" si="1"/>
        <v>3</v>
      </c>
      <c r="F336" s="6">
        <f t="shared" si="2"/>
        <v>83394</v>
      </c>
      <c r="G336" s="6">
        <f t="shared" si="3"/>
        <v>19629</v>
      </c>
      <c r="H336" s="6" t="str">
        <f t="shared" si="4"/>
        <v>B</v>
      </c>
      <c r="I336" s="6" t="str">
        <f t="shared" si="5"/>
        <v>Transformative change</v>
      </c>
      <c r="J336" s="6" t="str">
        <f t="shared" si="6"/>
        <v>Medium</v>
      </c>
      <c r="K336" s="6">
        <f t="shared" si="7"/>
        <v>826432</v>
      </c>
      <c r="L336" s="6">
        <f t="shared" si="8"/>
        <v>72726.79941</v>
      </c>
    </row>
    <row r="337">
      <c r="A337" s="4" t="s">
        <v>939</v>
      </c>
      <c r="B337" s="4" t="s">
        <v>940</v>
      </c>
      <c r="C337" s="4" t="s">
        <v>726</v>
      </c>
      <c r="D337" s="5">
        <v>80199.0</v>
      </c>
      <c r="E337" s="6">
        <f t="shared" si="1"/>
        <v>5</v>
      </c>
      <c r="F337" s="6">
        <f t="shared" si="2"/>
        <v>60810</v>
      </c>
      <c r="G337" s="6">
        <f t="shared" si="3"/>
        <v>49012</v>
      </c>
      <c r="H337" s="6" t="str">
        <f t="shared" si="4"/>
        <v>C</v>
      </c>
      <c r="I337" s="6" t="str">
        <f t="shared" si="5"/>
        <v>Transformative change</v>
      </c>
      <c r="J337" s="6" t="str">
        <f t="shared" si="6"/>
        <v>Medium</v>
      </c>
      <c r="K337" s="6">
        <f t="shared" si="7"/>
        <v>540150</v>
      </c>
      <c r="L337" s="6">
        <f t="shared" si="8"/>
        <v>422917.9369</v>
      </c>
    </row>
    <row r="338">
      <c r="A338" s="4" t="s">
        <v>941</v>
      </c>
      <c r="B338" s="4" t="s">
        <v>942</v>
      </c>
      <c r="C338" s="4" t="s">
        <v>943</v>
      </c>
      <c r="D338" s="5">
        <v>13199.0</v>
      </c>
      <c r="E338" s="6">
        <f t="shared" si="1"/>
        <v>3</v>
      </c>
      <c r="F338" s="6">
        <f t="shared" si="2"/>
        <v>51870</v>
      </c>
      <c r="G338" s="6">
        <f t="shared" si="3"/>
        <v>9785</v>
      </c>
      <c r="H338" s="6" t="str">
        <f t="shared" si="4"/>
        <v>B</v>
      </c>
      <c r="I338" s="6" t="str">
        <f t="shared" si="5"/>
        <v>Transformative change</v>
      </c>
      <c r="J338" s="6" t="str">
        <f t="shared" si="6"/>
        <v>Medium</v>
      </c>
      <c r="K338" s="6">
        <f t="shared" si="7"/>
        <v>2527423</v>
      </c>
      <c r="L338" s="6">
        <f t="shared" si="8"/>
        <v>1602207.406</v>
      </c>
    </row>
    <row r="339">
      <c r="A339" s="4" t="s">
        <v>230</v>
      </c>
      <c r="B339" s="4" t="s">
        <v>944</v>
      </c>
      <c r="C339" s="4" t="s">
        <v>945</v>
      </c>
      <c r="D339" s="5">
        <v>11555.0</v>
      </c>
      <c r="E339" s="6">
        <f t="shared" si="1"/>
        <v>2</v>
      </c>
      <c r="F339" s="6">
        <f t="shared" si="2"/>
        <v>53395</v>
      </c>
      <c r="G339" s="6">
        <f t="shared" si="3"/>
        <v>22213</v>
      </c>
      <c r="H339" s="6" t="str">
        <f t="shared" si="4"/>
        <v>G</v>
      </c>
      <c r="I339" s="6" t="str">
        <f t="shared" si="5"/>
        <v>High ambition</v>
      </c>
      <c r="J339" s="6" t="str">
        <f t="shared" si="6"/>
        <v>High</v>
      </c>
      <c r="K339" s="6">
        <f t="shared" si="7"/>
        <v>134223</v>
      </c>
      <c r="L339" s="6">
        <f t="shared" si="8"/>
        <v>125216.9668</v>
      </c>
    </row>
    <row r="340">
      <c r="A340" s="4" t="s">
        <v>946</v>
      </c>
      <c r="B340" s="4" t="s">
        <v>947</v>
      </c>
      <c r="C340" s="4" t="s">
        <v>948</v>
      </c>
      <c r="D340" s="5">
        <v>16092.0</v>
      </c>
      <c r="E340" s="6">
        <f t="shared" si="1"/>
        <v>1</v>
      </c>
      <c r="F340" s="6">
        <f t="shared" si="2"/>
        <v>53723</v>
      </c>
      <c r="G340" s="6">
        <f t="shared" si="3"/>
        <v>17198</v>
      </c>
      <c r="H340" s="6" t="str">
        <f t="shared" si="4"/>
        <v>D</v>
      </c>
      <c r="I340" s="6" t="str">
        <f t="shared" si="5"/>
        <v>Transformative change</v>
      </c>
      <c r="J340" s="6" t="str">
        <f t="shared" si="6"/>
        <v>Medium</v>
      </c>
      <c r="K340" s="6">
        <f t="shared" si="7"/>
        <v>2439055</v>
      </c>
      <c r="L340" s="6">
        <f t="shared" si="8"/>
        <v>1807379.726</v>
      </c>
    </row>
    <row r="341">
      <c r="A341" s="4" t="s">
        <v>949</v>
      </c>
      <c r="B341" s="4" t="s">
        <v>950</v>
      </c>
      <c r="C341" s="4" t="s">
        <v>74</v>
      </c>
      <c r="D341" s="5">
        <v>346771.0</v>
      </c>
      <c r="E341" s="6">
        <f t="shared" si="1"/>
        <v>2</v>
      </c>
      <c r="F341" s="6">
        <f t="shared" si="2"/>
        <v>18434</v>
      </c>
      <c r="G341" s="6">
        <f t="shared" si="3"/>
        <v>9525</v>
      </c>
      <c r="H341" s="6" t="str">
        <f t="shared" si="4"/>
        <v>C</v>
      </c>
      <c r="I341" s="6" t="str">
        <f t="shared" si="5"/>
        <v>Transformative change</v>
      </c>
      <c r="J341" s="6" t="str">
        <f t="shared" si="6"/>
        <v>High</v>
      </c>
      <c r="K341" s="6">
        <f t="shared" si="7"/>
        <v>3489269</v>
      </c>
      <c r="L341" s="6">
        <f t="shared" si="8"/>
        <v>1920857.76</v>
      </c>
    </row>
    <row r="342">
      <c r="A342" s="4" t="s">
        <v>951</v>
      </c>
      <c r="B342" s="4" t="s">
        <v>952</v>
      </c>
      <c r="C342" s="4" t="s">
        <v>953</v>
      </c>
      <c r="D342" s="5">
        <v>9210.0</v>
      </c>
      <c r="E342" s="6">
        <f t="shared" si="1"/>
        <v>1</v>
      </c>
      <c r="F342" s="6">
        <f t="shared" si="2"/>
        <v>6664</v>
      </c>
      <c r="G342" s="6">
        <f t="shared" si="3"/>
        <v>71349</v>
      </c>
      <c r="H342" s="6" t="str">
        <f t="shared" si="4"/>
        <v>G</v>
      </c>
      <c r="I342" s="6" t="str">
        <f t="shared" si="5"/>
        <v>Transformative change</v>
      </c>
      <c r="J342" s="6" t="str">
        <f t="shared" si="6"/>
        <v>High</v>
      </c>
      <c r="K342" s="6">
        <f t="shared" si="7"/>
        <v>1165234</v>
      </c>
      <c r="L342" s="6">
        <f t="shared" si="8"/>
        <v>574601.3778</v>
      </c>
    </row>
    <row r="343">
      <c r="A343" s="4" t="s">
        <v>954</v>
      </c>
      <c r="B343" s="4" t="s">
        <v>955</v>
      </c>
      <c r="C343" s="4" t="s">
        <v>956</v>
      </c>
      <c r="D343" s="5">
        <v>13783.0</v>
      </c>
      <c r="E343" s="6">
        <f t="shared" si="1"/>
        <v>3</v>
      </c>
      <c r="F343" s="6">
        <f t="shared" si="2"/>
        <v>81520</v>
      </c>
      <c r="G343" s="6">
        <f t="shared" si="3"/>
        <v>79934</v>
      </c>
      <c r="H343" s="6" t="str">
        <f t="shared" si="4"/>
        <v>A</v>
      </c>
      <c r="I343" s="6" t="str">
        <f t="shared" si="5"/>
        <v>Transformative change</v>
      </c>
      <c r="J343" s="6" t="str">
        <f t="shared" si="6"/>
        <v>Medium</v>
      </c>
      <c r="K343" s="6">
        <f t="shared" si="7"/>
        <v>719097</v>
      </c>
      <c r="L343" s="6">
        <f t="shared" si="8"/>
        <v>610453.6887</v>
      </c>
    </row>
    <row r="344">
      <c r="A344" s="4" t="s">
        <v>957</v>
      </c>
      <c r="B344" s="4" t="s">
        <v>958</v>
      </c>
      <c r="C344" s="4" t="s">
        <v>959</v>
      </c>
      <c r="D344" s="5">
        <v>11900.0</v>
      </c>
      <c r="E344" s="6">
        <f t="shared" si="1"/>
        <v>2</v>
      </c>
      <c r="F344" s="6">
        <f t="shared" si="2"/>
        <v>94605</v>
      </c>
      <c r="G344" s="6">
        <f t="shared" si="3"/>
        <v>74118</v>
      </c>
      <c r="H344" s="6" t="str">
        <f t="shared" si="4"/>
        <v>C</v>
      </c>
      <c r="I344" s="6" t="str">
        <f t="shared" si="5"/>
        <v>Transformative change</v>
      </c>
      <c r="J344" s="6" t="str">
        <f t="shared" si="6"/>
        <v>Medium</v>
      </c>
      <c r="K344" s="6">
        <f t="shared" si="7"/>
        <v>2384824</v>
      </c>
      <c r="L344" s="6">
        <f t="shared" si="8"/>
        <v>2049217.369</v>
      </c>
    </row>
    <row r="345">
      <c r="A345" s="4" t="s">
        <v>960</v>
      </c>
      <c r="B345" s="4" t="s">
        <v>961</v>
      </c>
      <c r="C345" s="4" t="s">
        <v>670</v>
      </c>
      <c r="D345" s="5">
        <v>27144.0</v>
      </c>
      <c r="E345" s="6">
        <f t="shared" si="1"/>
        <v>1</v>
      </c>
      <c r="F345" s="6">
        <f t="shared" si="2"/>
        <v>37158</v>
      </c>
      <c r="G345" s="6">
        <f t="shared" si="3"/>
        <v>33379</v>
      </c>
      <c r="H345" s="6" t="str">
        <f t="shared" si="4"/>
        <v>C</v>
      </c>
      <c r="I345" s="6" t="str">
        <f t="shared" si="5"/>
        <v>Transformative change</v>
      </c>
      <c r="J345" s="6" t="str">
        <f t="shared" si="6"/>
        <v>Low</v>
      </c>
      <c r="K345" s="6">
        <f t="shared" si="7"/>
        <v>1166266</v>
      </c>
      <c r="L345" s="6">
        <f t="shared" si="8"/>
        <v>114418.0284</v>
      </c>
    </row>
    <row r="346">
      <c r="A346" s="4" t="s">
        <v>962</v>
      </c>
      <c r="B346" s="4" t="s">
        <v>963</v>
      </c>
      <c r="C346" s="4" t="s">
        <v>726</v>
      </c>
      <c r="D346" s="5">
        <v>13039.0</v>
      </c>
      <c r="E346" s="6">
        <f t="shared" si="1"/>
        <v>3</v>
      </c>
      <c r="F346" s="6">
        <f t="shared" si="2"/>
        <v>8824</v>
      </c>
      <c r="G346" s="6">
        <f t="shared" si="3"/>
        <v>8115</v>
      </c>
      <c r="H346" s="6" t="str">
        <f t="shared" si="4"/>
        <v>A</v>
      </c>
      <c r="I346" s="6" t="str">
        <f t="shared" si="5"/>
        <v>Transformative change</v>
      </c>
      <c r="J346" s="6" t="str">
        <f t="shared" si="6"/>
        <v>High</v>
      </c>
      <c r="K346" s="6">
        <f t="shared" si="7"/>
        <v>179960</v>
      </c>
      <c r="L346" s="6">
        <f t="shared" si="8"/>
        <v>162888.051</v>
      </c>
    </row>
    <row r="347">
      <c r="A347" s="4" t="s">
        <v>964</v>
      </c>
      <c r="B347" s="4" t="s">
        <v>965</v>
      </c>
      <c r="C347" s="4" t="s">
        <v>966</v>
      </c>
      <c r="D347" s="5">
        <v>72325.0</v>
      </c>
      <c r="E347" s="6">
        <f t="shared" si="1"/>
        <v>1</v>
      </c>
      <c r="F347" s="6">
        <f t="shared" si="2"/>
        <v>55545</v>
      </c>
      <c r="G347" s="6">
        <f t="shared" si="3"/>
        <v>30737</v>
      </c>
      <c r="H347" s="6" t="str">
        <f t="shared" si="4"/>
        <v>F</v>
      </c>
      <c r="I347" s="6" t="str">
        <f t="shared" si="5"/>
        <v>Transformative change</v>
      </c>
      <c r="J347" s="6" t="str">
        <f t="shared" si="6"/>
        <v>Low</v>
      </c>
      <c r="K347" s="6">
        <f t="shared" si="7"/>
        <v>319375</v>
      </c>
      <c r="L347" s="6">
        <f t="shared" si="8"/>
        <v>202848.0227</v>
      </c>
    </row>
    <row r="348">
      <c r="A348" s="4" t="s">
        <v>967</v>
      </c>
      <c r="B348" s="4" t="s">
        <v>968</v>
      </c>
      <c r="C348" s="4" t="s">
        <v>969</v>
      </c>
      <c r="D348" s="5">
        <v>18729.0</v>
      </c>
      <c r="E348" s="6">
        <f t="shared" si="1"/>
        <v>1</v>
      </c>
      <c r="F348" s="6">
        <f t="shared" si="2"/>
        <v>54596</v>
      </c>
      <c r="G348" s="6">
        <f t="shared" si="3"/>
        <v>26703</v>
      </c>
      <c r="H348" s="6" t="str">
        <f t="shared" si="4"/>
        <v>D</v>
      </c>
      <c r="I348" s="6" t="str">
        <f t="shared" si="5"/>
        <v>High ambition</v>
      </c>
      <c r="J348" s="6" t="str">
        <f t="shared" si="6"/>
        <v>Medium</v>
      </c>
      <c r="K348" s="6">
        <f t="shared" si="7"/>
        <v>1277337</v>
      </c>
      <c r="L348" s="6">
        <f t="shared" si="8"/>
        <v>928756.1076</v>
      </c>
    </row>
    <row r="349">
      <c r="A349" s="4" t="s">
        <v>970</v>
      </c>
      <c r="B349" s="4" t="s">
        <v>971</v>
      </c>
      <c r="C349" s="4" t="s">
        <v>972</v>
      </c>
      <c r="D349" s="5">
        <v>16749.0</v>
      </c>
      <c r="E349" s="6">
        <f t="shared" si="1"/>
        <v>1</v>
      </c>
      <c r="F349" s="6">
        <f t="shared" si="2"/>
        <v>45275</v>
      </c>
      <c r="G349" s="6">
        <f t="shared" si="3"/>
        <v>23646</v>
      </c>
      <c r="H349" s="6" t="str">
        <f t="shared" si="4"/>
        <v>G</v>
      </c>
      <c r="I349" s="6" t="str">
        <f t="shared" si="5"/>
        <v>Transformative change</v>
      </c>
      <c r="J349" s="6" t="str">
        <f t="shared" si="6"/>
        <v>High</v>
      </c>
      <c r="K349" s="6">
        <f t="shared" si="7"/>
        <v>2433337</v>
      </c>
      <c r="L349" s="6">
        <f t="shared" si="8"/>
        <v>2061356.775</v>
      </c>
    </row>
    <row r="350">
      <c r="A350" s="4" t="s">
        <v>973</v>
      </c>
      <c r="B350" s="4" t="s">
        <v>974</v>
      </c>
      <c r="C350" s="4" t="s">
        <v>975</v>
      </c>
      <c r="D350" s="5">
        <v>9477.0</v>
      </c>
      <c r="E350" s="6">
        <f t="shared" si="1"/>
        <v>5</v>
      </c>
      <c r="F350" s="6">
        <f t="shared" si="2"/>
        <v>56240</v>
      </c>
      <c r="G350" s="6">
        <f t="shared" si="3"/>
        <v>18923</v>
      </c>
      <c r="H350" s="6" t="str">
        <f t="shared" si="4"/>
        <v>C</v>
      </c>
      <c r="I350" s="6" t="str">
        <f t="shared" si="5"/>
        <v>Transformative change</v>
      </c>
      <c r="J350" s="6" t="str">
        <f t="shared" si="6"/>
        <v>Medium</v>
      </c>
      <c r="K350" s="6">
        <f t="shared" si="7"/>
        <v>1022454</v>
      </c>
      <c r="L350" s="6">
        <f t="shared" si="8"/>
        <v>622766.5623</v>
      </c>
    </row>
    <row r="351">
      <c r="A351" s="4" t="s">
        <v>976</v>
      </c>
      <c r="B351" s="4" t="s">
        <v>977</v>
      </c>
      <c r="C351" s="4" t="s">
        <v>978</v>
      </c>
      <c r="D351" s="5">
        <v>450093.0</v>
      </c>
      <c r="E351" s="6">
        <f t="shared" si="1"/>
        <v>5</v>
      </c>
      <c r="F351" s="6">
        <f t="shared" si="2"/>
        <v>73011</v>
      </c>
      <c r="G351" s="6">
        <f t="shared" si="3"/>
        <v>45868</v>
      </c>
      <c r="H351" s="6" t="str">
        <f t="shared" si="4"/>
        <v>C</v>
      </c>
      <c r="I351" s="6" t="str">
        <f t="shared" si="5"/>
        <v>Transformative change</v>
      </c>
      <c r="J351" s="6" t="str">
        <f t="shared" si="6"/>
        <v>Medium</v>
      </c>
      <c r="K351" s="6">
        <f t="shared" si="7"/>
        <v>1832607</v>
      </c>
      <c r="L351" s="6">
        <f t="shared" si="8"/>
        <v>1148735.953</v>
      </c>
    </row>
    <row r="352">
      <c r="A352" s="4" t="s">
        <v>979</v>
      </c>
      <c r="B352" s="4" t="s">
        <v>980</v>
      </c>
      <c r="C352" s="4" t="s">
        <v>74</v>
      </c>
      <c r="D352" s="5">
        <v>41950.0</v>
      </c>
      <c r="E352" s="6">
        <f t="shared" si="1"/>
        <v>2</v>
      </c>
      <c r="F352" s="6">
        <f t="shared" si="2"/>
        <v>29643</v>
      </c>
      <c r="G352" s="6">
        <f t="shared" si="3"/>
        <v>42930</v>
      </c>
      <c r="H352" s="6" t="str">
        <f t="shared" si="4"/>
        <v>D</v>
      </c>
      <c r="I352" s="6" t="str">
        <f t="shared" si="5"/>
        <v>Transformative change</v>
      </c>
      <c r="J352" s="6" t="str">
        <f t="shared" si="6"/>
        <v>Medium</v>
      </c>
      <c r="K352" s="6">
        <f t="shared" si="7"/>
        <v>2186842</v>
      </c>
      <c r="L352" s="6">
        <f t="shared" si="8"/>
        <v>1972399.211</v>
      </c>
    </row>
    <row r="353">
      <c r="A353" s="4" t="s">
        <v>981</v>
      </c>
      <c r="B353" s="4" t="s">
        <v>982</v>
      </c>
      <c r="C353" s="4" t="s">
        <v>983</v>
      </c>
      <c r="D353" s="5">
        <v>17080.0</v>
      </c>
      <c r="E353" s="6">
        <f t="shared" si="1"/>
        <v>1</v>
      </c>
      <c r="F353" s="6">
        <f t="shared" si="2"/>
        <v>27083</v>
      </c>
      <c r="G353" s="6">
        <f t="shared" si="3"/>
        <v>35462</v>
      </c>
      <c r="H353" s="6" t="str">
        <f t="shared" si="4"/>
        <v>D</v>
      </c>
      <c r="I353" s="6" t="str">
        <f t="shared" si="5"/>
        <v>Transformative change</v>
      </c>
      <c r="J353" s="6" t="str">
        <f t="shared" si="6"/>
        <v>High</v>
      </c>
      <c r="K353" s="6">
        <f t="shared" si="7"/>
        <v>117396</v>
      </c>
      <c r="L353" s="6">
        <f t="shared" si="8"/>
        <v>94020.79598</v>
      </c>
    </row>
    <row r="354">
      <c r="A354" s="4" t="s">
        <v>984</v>
      </c>
      <c r="B354" s="4" t="s">
        <v>985</v>
      </c>
      <c r="C354" s="4" t="s">
        <v>986</v>
      </c>
      <c r="D354" s="5">
        <v>11031.0</v>
      </c>
      <c r="E354" s="6">
        <f t="shared" si="1"/>
        <v>2</v>
      </c>
      <c r="F354" s="6">
        <f t="shared" si="2"/>
        <v>25205</v>
      </c>
      <c r="G354" s="6">
        <f t="shared" si="3"/>
        <v>9547</v>
      </c>
      <c r="H354" s="6" t="str">
        <f t="shared" si="4"/>
        <v>C</v>
      </c>
      <c r="I354" s="6" t="str">
        <f t="shared" si="5"/>
        <v>Transformative change</v>
      </c>
      <c r="J354" s="6" t="str">
        <f t="shared" si="6"/>
        <v>Low</v>
      </c>
      <c r="K354" s="6">
        <f t="shared" si="7"/>
        <v>3348245</v>
      </c>
      <c r="L354" s="6">
        <f t="shared" si="8"/>
        <v>420247.6063</v>
      </c>
    </row>
    <row r="355">
      <c r="A355" s="4" t="s">
        <v>987</v>
      </c>
      <c r="B355" s="4" t="s">
        <v>988</v>
      </c>
      <c r="C355" s="4" t="s">
        <v>989</v>
      </c>
      <c r="D355" s="5">
        <v>13023.0</v>
      </c>
      <c r="E355" s="6">
        <f t="shared" si="1"/>
        <v>2</v>
      </c>
      <c r="F355" s="6">
        <f t="shared" si="2"/>
        <v>44047</v>
      </c>
      <c r="G355" s="6">
        <f t="shared" si="3"/>
        <v>18710</v>
      </c>
      <c r="H355" s="6" t="str">
        <f t="shared" si="4"/>
        <v>A</v>
      </c>
      <c r="I355" s="6" t="str">
        <f t="shared" si="5"/>
        <v>Transformative change</v>
      </c>
      <c r="J355" s="6" t="str">
        <f t="shared" si="6"/>
        <v>Low</v>
      </c>
      <c r="K355" s="6">
        <f t="shared" si="7"/>
        <v>1852840</v>
      </c>
      <c r="L355" s="6">
        <f t="shared" si="8"/>
        <v>56961.6142</v>
      </c>
    </row>
    <row r="356">
      <c r="A356" s="4" t="s">
        <v>990</v>
      </c>
      <c r="B356" s="4" t="s">
        <v>991</v>
      </c>
      <c r="C356" s="4" t="s">
        <v>74</v>
      </c>
      <c r="D356" s="5">
        <v>16501.0</v>
      </c>
      <c r="E356" s="6">
        <f t="shared" si="1"/>
        <v>4</v>
      </c>
      <c r="F356" s="6">
        <f t="shared" si="2"/>
        <v>72243</v>
      </c>
      <c r="G356" s="6">
        <f t="shared" si="3"/>
        <v>5441</v>
      </c>
      <c r="H356" s="6" t="str">
        <f t="shared" si="4"/>
        <v>D</v>
      </c>
      <c r="I356" s="6" t="str">
        <f t="shared" si="5"/>
        <v>Transformative change</v>
      </c>
      <c r="J356" s="6" t="str">
        <f t="shared" si="6"/>
        <v>Low</v>
      </c>
      <c r="K356" s="6">
        <f t="shared" si="7"/>
        <v>2383785</v>
      </c>
      <c r="L356" s="6">
        <f t="shared" si="8"/>
        <v>1891353.639</v>
      </c>
    </row>
    <row r="357">
      <c r="A357" s="4" t="s">
        <v>992</v>
      </c>
      <c r="B357" s="4" t="s">
        <v>993</v>
      </c>
      <c r="C357" s="4" t="s">
        <v>994</v>
      </c>
      <c r="D357" s="5">
        <v>32388.0</v>
      </c>
      <c r="E357" s="6">
        <f t="shared" si="1"/>
        <v>5</v>
      </c>
      <c r="F357" s="6">
        <f t="shared" si="2"/>
        <v>81175</v>
      </c>
      <c r="G357" s="6">
        <f t="shared" si="3"/>
        <v>60477</v>
      </c>
      <c r="H357" s="6" t="str">
        <f t="shared" si="4"/>
        <v>F</v>
      </c>
      <c r="I357" s="6" t="str">
        <f t="shared" si="5"/>
        <v>High ambition</v>
      </c>
      <c r="J357" s="6" t="str">
        <f t="shared" si="6"/>
        <v>High</v>
      </c>
      <c r="K357" s="6">
        <f t="shared" si="7"/>
        <v>2601139</v>
      </c>
      <c r="L357" s="6">
        <f t="shared" si="8"/>
        <v>1784952.224</v>
      </c>
    </row>
    <row r="358">
      <c r="A358" s="4" t="s">
        <v>995</v>
      </c>
      <c r="B358" s="4" t="s">
        <v>996</v>
      </c>
      <c r="C358" s="4" t="s">
        <v>997</v>
      </c>
      <c r="D358" s="5">
        <v>16108.0</v>
      </c>
      <c r="E358" s="6">
        <f t="shared" si="1"/>
        <v>4</v>
      </c>
      <c r="F358" s="6">
        <f t="shared" si="2"/>
        <v>77832</v>
      </c>
      <c r="G358" s="6">
        <f t="shared" si="3"/>
        <v>2110</v>
      </c>
      <c r="H358" s="6" t="str">
        <f t="shared" si="4"/>
        <v>G</v>
      </c>
      <c r="I358" s="6" t="str">
        <f t="shared" si="5"/>
        <v>Transformative change</v>
      </c>
      <c r="J358" s="6" t="str">
        <f t="shared" si="6"/>
        <v>High</v>
      </c>
      <c r="K358" s="6">
        <f t="shared" si="7"/>
        <v>1216086</v>
      </c>
      <c r="L358" s="6">
        <f t="shared" si="8"/>
        <v>559930.9493</v>
      </c>
    </row>
    <row r="359">
      <c r="A359" s="4" t="s">
        <v>998</v>
      </c>
      <c r="B359" s="4" t="s">
        <v>999</v>
      </c>
      <c r="C359" s="4" t="s">
        <v>1000</v>
      </c>
      <c r="D359" s="5">
        <v>16805.0</v>
      </c>
      <c r="E359" s="6">
        <f t="shared" si="1"/>
        <v>2</v>
      </c>
      <c r="F359" s="6">
        <f t="shared" si="2"/>
        <v>55902</v>
      </c>
      <c r="G359" s="6">
        <f t="shared" si="3"/>
        <v>23063</v>
      </c>
      <c r="H359" s="6" t="str">
        <f t="shared" si="4"/>
        <v>F</v>
      </c>
      <c r="I359" s="6" t="str">
        <f t="shared" si="5"/>
        <v>Transformative change</v>
      </c>
      <c r="J359" s="6" t="str">
        <f t="shared" si="6"/>
        <v>Low</v>
      </c>
      <c r="K359" s="6">
        <f t="shared" si="7"/>
        <v>2956676</v>
      </c>
      <c r="L359" s="6">
        <f t="shared" si="8"/>
        <v>566863.0032</v>
      </c>
    </row>
    <row r="360">
      <c r="A360" s="4" t="s">
        <v>1001</v>
      </c>
      <c r="B360" s="4" t="s">
        <v>1002</v>
      </c>
      <c r="C360" s="4" t="s">
        <v>74</v>
      </c>
      <c r="D360" s="5">
        <v>11595.0</v>
      </c>
      <c r="E360" s="6">
        <f t="shared" si="1"/>
        <v>4</v>
      </c>
      <c r="F360" s="6">
        <f t="shared" si="2"/>
        <v>23096</v>
      </c>
      <c r="G360" s="6">
        <f t="shared" si="3"/>
        <v>10720</v>
      </c>
      <c r="H360" s="6" t="str">
        <f t="shared" si="4"/>
        <v>B</v>
      </c>
      <c r="I360" s="6" t="str">
        <f t="shared" si="5"/>
        <v>Transformative change</v>
      </c>
      <c r="J360" s="6" t="str">
        <f t="shared" si="6"/>
        <v>Low</v>
      </c>
      <c r="K360" s="6">
        <f t="shared" si="7"/>
        <v>1912369</v>
      </c>
      <c r="L360" s="6">
        <f t="shared" si="8"/>
        <v>941860.0644</v>
      </c>
    </row>
    <row r="361">
      <c r="A361" s="4" t="s">
        <v>1003</v>
      </c>
      <c r="B361" s="4" t="s">
        <v>1004</v>
      </c>
      <c r="C361" s="4" t="s">
        <v>74</v>
      </c>
      <c r="D361" s="5">
        <v>10888.0</v>
      </c>
      <c r="E361" s="6">
        <f t="shared" si="1"/>
        <v>4</v>
      </c>
      <c r="F361" s="6">
        <f t="shared" si="2"/>
        <v>13213</v>
      </c>
      <c r="G361" s="6">
        <f t="shared" si="3"/>
        <v>8363</v>
      </c>
      <c r="H361" s="6" t="str">
        <f t="shared" si="4"/>
        <v>E</v>
      </c>
      <c r="I361" s="6" t="str">
        <f t="shared" si="5"/>
        <v>Transformative change</v>
      </c>
      <c r="J361" s="6" t="str">
        <f t="shared" si="6"/>
        <v>Medium</v>
      </c>
      <c r="K361" s="6">
        <f t="shared" si="7"/>
        <v>3044089</v>
      </c>
      <c r="L361" s="6">
        <f t="shared" si="8"/>
        <v>1050605.3</v>
      </c>
    </row>
    <row r="362">
      <c r="A362" s="4" t="s">
        <v>1005</v>
      </c>
      <c r="B362" s="4" t="s">
        <v>1006</v>
      </c>
      <c r="C362" s="4" t="s">
        <v>653</v>
      </c>
      <c r="D362" s="5">
        <v>40163.0</v>
      </c>
      <c r="E362" s="6">
        <f t="shared" si="1"/>
        <v>1</v>
      </c>
      <c r="F362" s="6">
        <f t="shared" si="2"/>
        <v>15950</v>
      </c>
      <c r="G362" s="6">
        <f t="shared" si="3"/>
        <v>61814</v>
      </c>
      <c r="H362" s="6" t="str">
        <f t="shared" si="4"/>
        <v>G</v>
      </c>
      <c r="I362" s="6" t="str">
        <f t="shared" si="5"/>
        <v>High ambition</v>
      </c>
      <c r="J362" s="6" t="str">
        <f t="shared" si="6"/>
        <v>High</v>
      </c>
      <c r="K362" s="6">
        <f t="shared" si="7"/>
        <v>76515</v>
      </c>
      <c r="L362" s="6">
        <f t="shared" si="8"/>
        <v>4553.096591</v>
      </c>
    </row>
    <row r="363">
      <c r="A363" s="4" t="s">
        <v>1007</v>
      </c>
      <c r="B363" s="4" t="s">
        <v>1008</v>
      </c>
      <c r="C363" s="4" t="s">
        <v>1009</v>
      </c>
      <c r="D363" s="5">
        <v>59726.0</v>
      </c>
      <c r="E363" s="6">
        <f t="shared" si="1"/>
        <v>5</v>
      </c>
      <c r="F363" s="6">
        <f t="shared" si="2"/>
        <v>75978</v>
      </c>
      <c r="G363" s="6">
        <f t="shared" si="3"/>
        <v>37350</v>
      </c>
      <c r="H363" s="6" t="str">
        <f t="shared" si="4"/>
        <v>E</v>
      </c>
      <c r="I363" s="6" t="str">
        <f t="shared" si="5"/>
        <v>Transformative change</v>
      </c>
      <c r="J363" s="6" t="str">
        <f t="shared" si="6"/>
        <v>Medium</v>
      </c>
      <c r="K363" s="6">
        <f t="shared" si="7"/>
        <v>3219326</v>
      </c>
      <c r="L363" s="6">
        <f t="shared" si="8"/>
        <v>351931.0306</v>
      </c>
    </row>
    <row r="364">
      <c r="A364" s="4" t="s">
        <v>1010</v>
      </c>
      <c r="B364" s="4" t="s">
        <v>1011</v>
      </c>
      <c r="C364" s="4" t="s">
        <v>1012</v>
      </c>
      <c r="D364" s="5">
        <v>19009.0</v>
      </c>
      <c r="E364" s="6">
        <f t="shared" si="1"/>
        <v>2</v>
      </c>
      <c r="F364" s="6">
        <f t="shared" si="2"/>
        <v>53271</v>
      </c>
      <c r="G364" s="6">
        <f t="shared" si="3"/>
        <v>36659</v>
      </c>
      <c r="H364" s="6" t="str">
        <f t="shared" si="4"/>
        <v>D</v>
      </c>
      <c r="I364" s="6" t="str">
        <f t="shared" si="5"/>
        <v>High ambition</v>
      </c>
      <c r="J364" s="6" t="str">
        <f t="shared" si="6"/>
        <v>High</v>
      </c>
      <c r="K364" s="6">
        <f t="shared" si="7"/>
        <v>1274105</v>
      </c>
      <c r="L364" s="6">
        <f t="shared" si="8"/>
        <v>1083697.448</v>
      </c>
    </row>
    <row r="365">
      <c r="A365" s="4" t="s">
        <v>1013</v>
      </c>
      <c r="B365" s="4" t="s">
        <v>1014</v>
      </c>
      <c r="C365" s="4" t="s">
        <v>74</v>
      </c>
      <c r="D365" s="5">
        <v>19681.0</v>
      </c>
      <c r="E365" s="6">
        <f t="shared" si="1"/>
        <v>5</v>
      </c>
      <c r="F365" s="6">
        <f t="shared" si="2"/>
        <v>31222</v>
      </c>
      <c r="G365" s="6">
        <f t="shared" si="3"/>
        <v>9284</v>
      </c>
      <c r="H365" s="6" t="str">
        <f t="shared" si="4"/>
        <v>F</v>
      </c>
      <c r="I365" s="6" t="str">
        <f t="shared" si="5"/>
        <v>Transformative change</v>
      </c>
      <c r="J365" s="6" t="str">
        <f t="shared" si="6"/>
        <v>Medium</v>
      </c>
      <c r="K365" s="6">
        <f t="shared" si="7"/>
        <v>1073657</v>
      </c>
      <c r="L365" s="6">
        <f t="shared" si="8"/>
        <v>404083.357</v>
      </c>
    </row>
    <row r="366">
      <c r="A366" s="4" t="s">
        <v>1015</v>
      </c>
      <c r="B366" s="4" t="s">
        <v>1016</v>
      </c>
      <c r="C366" s="4" t="s">
        <v>1017</v>
      </c>
      <c r="D366" s="5">
        <v>304271.0</v>
      </c>
      <c r="E366" s="6">
        <f t="shared" si="1"/>
        <v>1</v>
      </c>
      <c r="F366" s="6">
        <f t="shared" si="2"/>
        <v>31527</v>
      </c>
      <c r="G366" s="6">
        <f t="shared" si="3"/>
        <v>4580</v>
      </c>
      <c r="H366" s="6" t="str">
        <f t="shared" si="4"/>
        <v>A</v>
      </c>
      <c r="I366" s="6" t="str">
        <f t="shared" si="5"/>
        <v>Transformative change</v>
      </c>
      <c r="J366" s="6" t="str">
        <f t="shared" si="6"/>
        <v>Medium</v>
      </c>
      <c r="K366" s="6">
        <f t="shared" si="7"/>
        <v>3070411</v>
      </c>
      <c r="L366" s="6">
        <f t="shared" si="8"/>
        <v>37072.99333</v>
      </c>
    </row>
    <row r="367">
      <c r="A367" s="4" t="s">
        <v>1018</v>
      </c>
      <c r="B367" s="4" t="s">
        <v>1019</v>
      </c>
      <c r="C367" s="4" t="s">
        <v>1020</v>
      </c>
      <c r="D367" s="5">
        <v>18474.0</v>
      </c>
      <c r="E367" s="6">
        <f t="shared" si="1"/>
        <v>1</v>
      </c>
      <c r="F367" s="6">
        <f t="shared" si="2"/>
        <v>71362</v>
      </c>
      <c r="G367" s="6">
        <f t="shared" si="3"/>
        <v>27958</v>
      </c>
      <c r="H367" s="6" t="str">
        <f t="shared" si="4"/>
        <v>C</v>
      </c>
      <c r="I367" s="6" t="str">
        <f t="shared" si="5"/>
        <v>Transformative change</v>
      </c>
      <c r="J367" s="6" t="str">
        <f t="shared" si="6"/>
        <v>High</v>
      </c>
      <c r="K367" s="6">
        <f t="shared" si="7"/>
        <v>2560664</v>
      </c>
      <c r="L367" s="6">
        <f t="shared" si="8"/>
        <v>523331.7213</v>
      </c>
    </row>
    <row r="368">
      <c r="A368" s="4" t="s">
        <v>1021</v>
      </c>
      <c r="B368" s="4" t="s">
        <v>1022</v>
      </c>
      <c r="C368" s="4" t="s">
        <v>1023</v>
      </c>
      <c r="D368" s="5">
        <v>9325.0</v>
      </c>
      <c r="E368" s="6">
        <f t="shared" si="1"/>
        <v>4</v>
      </c>
      <c r="F368" s="6">
        <f t="shared" si="2"/>
        <v>54854</v>
      </c>
      <c r="G368" s="6">
        <f t="shared" si="3"/>
        <v>47525</v>
      </c>
      <c r="H368" s="6" t="str">
        <f t="shared" si="4"/>
        <v>C</v>
      </c>
      <c r="I368" s="6" t="str">
        <f t="shared" si="5"/>
        <v>Transformative change</v>
      </c>
      <c r="J368" s="6" t="str">
        <f t="shared" si="6"/>
        <v>Low</v>
      </c>
      <c r="K368" s="6">
        <f t="shared" si="7"/>
        <v>101371</v>
      </c>
      <c r="L368" s="6">
        <f t="shared" si="8"/>
        <v>81952.01566</v>
      </c>
    </row>
    <row r="369">
      <c r="A369" s="4" t="s">
        <v>1024</v>
      </c>
      <c r="B369" s="4" t="s">
        <v>1025</v>
      </c>
      <c r="C369" s="4" t="s">
        <v>1026</v>
      </c>
      <c r="D369" s="5">
        <v>26751.0</v>
      </c>
      <c r="E369" s="6">
        <f t="shared" si="1"/>
        <v>4</v>
      </c>
      <c r="F369" s="6">
        <f t="shared" si="2"/>
        <v>93364</v>
      </c>
      <c r="G369" s="6">
        <f t="shared" si="3"/>
        <v>83255</v>
      </c>
      <c r="H369" s="6" t="str">
        <f t="shared" si="4"/>
        <v>E</v>
      </c>
      <c r="I369" s="6" t="str">
        <f t="shared" si="5"/>
        <v>Transformative change</v>
      </c>
      <c r="J369" s="6" t="str">
        <f t="shared" si="6"/>
        <v>Low</v>
      </c>
      <c r="K369" s="6">
        <f t="shared" si="7"/>
        <v>1706194</v>
      </c>
      <c r="L369" s="6">
        <f t="shared" si="8"/>
        <v>46085.65942</v>
      </c>
    </row>
    <row r="370">
      <c r="A370" s="4" t="s">
        <v>1027</v>
      </c>
      <c r="B370" s="4" t="s">
        <v>1028</v>
      </c>
      <c r="C370" s="4" t="s">
        <v>1029</v>
      </c>
      <c r="D370" s="5">
        <v>19645.0</v>
      </c>
      <c r="E370" s="6">
        <f t="shared" si="1"/>
        <v>4</v>
      </c>
      <c r="F370" s="6">
        <f t="shared" si="2"/>
        <v>11565</v>
      </c>
      <c r="G370" s="6">
        <f t="shared" si="3"/>
        <v>72596</v>
      </c>
      <c r="H370" s="6" t="str">
        <f t="shared" si="4"/>
        <v>B</v>
      </c>
      <c r="I370" s="6" t="str">
        <f t="shared" si="5"/>
        <v>High ambition</v>
      </c>
      <c r="J370" s="6" t="str">
        <f t="shared" si="6"/>
        <v>Medium</v>
      </c>
      <c r="K370" s="6">
        <f t="shared" si="7"/>
        <v>2277536</v>
      </c>
      <c r="L370" s="6">
        <f t="shared" si="8"/>
        <v>1150859.834</v>
      </c>
    </row>
    <row r="371">
      <c r="A371" s="4" t="s">
        <v>1030</v>
      </c>
      <c r="B371" s="4" t="s">
        <v>1031</v>
      </c>
      <c r="C371" s="4" t="s">
        <v>1032</v>
      </c>
      <c r="D371" s="5">
        <v>428394.0</v>
      </c>
      <c r="E371" s="6">
        <f t="shared" si="1"/>
        <v>4</v>
      </c>
      <c r="F371" s="6">
        <f t="shared" si="2"/>
        <v>54862</v>
      </c>
      <c r="G371" s="6">
        <f t="shared" si="3"/>
        <v>18084</v>
      </c>
      <c r="H371" s="6" t="str">
        <f t="shared" si="4"/>
        <v>C</v>
      </c>
      <c r="I371" s="6" t="str">
        <f t="shared" si="5"/>
        <v>Transformative change</v>
      </c>
      <c r="J371" s="6" t="str">
        <f t="shared" si="6"/>
        <v>Low</v>
      </c>
      <c r="K371" s="6">
        <f t="shared" si="7"/>
        <v>2161284</v>
      </c>
      <c r="L371" s="6">
        <f t="shared" si="8"/>
        <v>725400.9741</v>
      </c>
    </row>
    <row r="372">
      <c r="A372" s="4" t="s">
        <v>1033</v>
      </c>
      <c r="B372" s="4" t="s">
        <v>1034</v>
      </c>
      <c r="C372" s="4" t="s">
        <v>1035</v>
      </c>
      <c r="D372" s="5">
        <v>5570.0</v>
      </c>
      <c r="E372" s="6">
        <f t="shared" si="1"/>
        <v>4</v>
      </c>
      <c r="F372" s="6">
        <f t="shared" si="2"/>
        <v>36117</v>
      </c>
      <c r="G372" s="6">
        <f t="shared" si="3"/>
        <v>7356</v>
      </c>
      <c r="H372" s="6" t="str">
        <f t="shared" si="4"/>
        <v>A</v>
      </c>
      <c r="I372" s="6" t="str">
        <f t="shared" si="5"/>
        <v>Transformative change</v>
      </c>
      <c r="J372" s="6" t="str">
        <f t="shared" si="6"/>
        <v>Medium</v>
      </c>
      <c r="K372" s="6">
        <f t="shared" si="7"/>
        <v>780964</v>
      </c>
      <c r="L372" s="6">
        <f t="shared" si="8"/>
        <v>761938.2578</v>
      </c>
    </row>
    <row r="373">
      <c r="A373" s="4" t="s">
        <v>1036</v>
      </c>
      <c r="B373" s="4" t="s">
        <v>1037</v>
      </c>
      <c r="C373" s="4" t="s">
        <v>1038</v>
      </c>
      <c r="D373" s="5">
        <v>141755.0</v>
      </c>
      <c r="E373" s="6">
        <f t="shared" si="1"/>
        <v>3</v>
      </c>
      <c r="F373" s="6">
        <f t="shared" si="2"/>
        <v>64223</v>
      </c>
      <c r="G373" s="6">
        <f t="shared" si="3"/>
        <v>63083</v>
      </c>
      <c r="H373" s="6" t="str">
        <f t="shared" si="4"/>
        <v>C</v>
      </c>
      <c r="I373" s="6" t="str">
        <f t="shared" si="5"/>
        <v>Transformative change</v>
      </c>
      <c r="J373" s="6" t="str">
        <f t="shared" si="6"/>
        <v>High</v>
      </c>
      <c r="K373" s="6">
        <f t="shared" si="7"/>
        <v>3378049</v>
      </c>
      <c r="L373" s="6">
        <f t="shared" si="8"/>
        <v>1128685.082</v>
      </c>
    </row>
    <row r="374">
      <c r="A374" s="4" t="s">
        <v>1039</v>
      </c>
      <c r="B374" s="4" t="s">
        <v>1040</v>
      </c>
      <c r="C374" s="4" t="s">
        <v>1041</v>
      </c>
      <c r="D374" s="5">
        <v>13521.0</v>
      </c>
      <c r="E374" s="6">
        <f t="shared" si="1"/>
        <v>3</v>
      </c>
      <c r="F374" s="6">
        <f t="shared" si="2"/>
        <v>43515</v>
      </c>
      <c r="G374" s="6">
        <f t="shared" si="3"/>
        <v>1186</v>
      </c>
      <c r="H374" s="6" t="str">
        <f t="shared" si="4"/>
        <v>E</v>
      </c>
      <c r="I374" s="6" t="str">
        <f t="shared" si="5"/>
        <v>Transformative change</v>
      </c>
      <c r="J374" s="6" t="str">
        <f t="shared" si="6"/>
        <v>Medium</v>
      </c>
      <c r="K374" s="6">
        <f t="shared" si="7"/>
        <v>2635108</v>
      </c>
      <c r="L374" s="6">
        <f t="shared" si="8"/>
        <v>1392106.49</v>
      </c>
    </row>
    <row r="375">
      <c r="A375" s="4" t="s">
        <v>100</v>
      </c>
      <c r="B375" s="4" t="s">
        <v>1042</v>
      </c>
      <c r="C375" s="4" t="s">
        <v>1043</v>
      </c>
      <c r="D375" s="5">
        <v>464599.0</v>
      </c>
      <c r="E375" s="6">
        <f t="shared" si="1"/>
        <v>5</v>
      </c>
      <c r="F375" s="6">
        <f t="shared" si="2"/>
        <v>57540</v>
      </c>
      <c r="G375" s="6">
        <f t="shared" si="3"/>
        <v>16423</v>
      </c>
      <c r="H375" s="6" t="str">
        <f t="shared" si="4"/>
        <v>E</v>
      </c>
      <c r="I375" s="6" t="str">
        <f t="shared" si="5"/>
        <v>High ambition</v>
      </c>
      <c r="J375" s="6" t="str">
        <f t="shared" si="6"/>
        <v>Low</v>
      </c>
      <c r="K375" s="6">
        <f t="shared" si="7"/>
        <v>908549</v>
      </c>
      <c r="L375" s="6">
        <f t="shared" si="8"/>
        <v>60280.77547</v>
      </c>
    </row>
    <row r="376">
      <c r="A376" s="4" t="s">
        <v>1044</v>
      </c>
      <c r="B376" s="4" t="s">
        <v>1045</v>
      </c>
      <c r="C376" s="4" t="s">
        <v>1046</v>
      </c>
      <c r="D376" s="5">
        <v>9542.0</v>
      </c>
      <c r="E376" s="6">
        <f t="shared" si="1"/>
        <v>4</v>
      </c>
      <c r="F376" s="6">
        <f t="shared" si="2"/>
        <v>51169</v>
      </c>
      <c r="G376" s="6">
        <f t="shared" si="3"/>
        <v>32937</v>
      </c>
      <c r="H376" s="6" t="str">
        <f t="shared" si="4"/>
        <v>D</v>
      </c>
      <c r="I376" s="6" t="str">
        <f t="shared" si="5"/>
        <v>High ambition</v>
      </c>
      <c r="J376" s="6" t="str">
        <f t="shared" si="6"/>
        <v>High</v>
      </c>
      <c r="K376" s="6">
        <f t="shared" si="7"/>
        <v>1187653</v>
      </c>
      <c r="L376" s="6">
        <f t="shared" si="8"/>
        <v>545563.075</v>
      </c>
    </row>
    <row r="377">
      <c r="A377" s="4" t="s">
        <v>1047</v>
      </c>
      <c r="B377" s="4" t="s">
        <v>1048</v>
      </c>
      <c r="C377" s="4" t="s">
        <v>1049</v>
      </c>
      <c r="D377" s="5">
        <v>15563.0</v>
      </c>
      <c r="E377" s="6">
        <f t="shared" si="1"/>
        <v>1</v>
      </c>
      <c r="F377" s="6">
        <f t="shared" si="2"/>
        <v>91594</v>
      </c>
      <c r="G377" s="6">
        <f t="shared" si="3"/>
        <v>37083</v>
      </c>
      <c r="H377" s="6" t="str">
        <f t="shared" si="4"/>
        <v>C</v>
      </c>
      <c r="I377" s="6" t="str">
        <f t="shared" si="5"/>
        <v>Transformative change</v>
      </c>
      <c r="J377" s="6" t="str">
        <f t="shared" si="6"/>
        <v>Low</v>
      </c>
      <c r="K377" s="6">
        <f t="shared" si="7"/>
        <v>2806618</v>
      </c>
      <c r="L377" s="6">
        <f t="shared" si="8"/>
        <v>1449053.382</v>
      </c>
    </row>
    <row r="378">
      <c r="A378" s="4" t="s">
        <v>1050</v>
      </c>
      <c r="B378" s="4" t="s">
        <v>1051</v>
      </c>
      <c r="C378" s="4" t="s">
        <v>1052</v>
      </c>
      <c r="D378" s="5">
        <v>16296.0</v>
      </c>
      <c r="E378" s="6">
        <f t="shared" si="1"/>
        <v>1</v>
      </c>
      <c r="F378" s="6">
        <f t="shared" si="2"/>
        <v>63185</v>
      </c>
      <c r="G378" s="6">
        <f t="shared" si="3"/>
        <v>20035</v>
      </c>
      <c r="H378" s="6" t="str">
        <f t="shared" si="4"/>
        <v>A</v>
      </c>
      <c r="I378" s="6" t="str">
        <f t="shared" si="5"/>
        <v>Transformative change</v>
      </c>
      <c r="J378" s="6" t="str">
        <f t="shared" si="6"/>
        <v>Low</v>
      </c>
      <c r="K378" s="6">
        <f t="shared" si="7"/>
        <v>3286341</v>
      </c>
      <c r="L378" s="6">
        <f t="shared" si="8"/>
        <v>2714911.881</v>
      </c>
    </row>
    <row r="379">
      <c r="A379" s="4" t="s">
        <v>1053</v>
      </c>
      <c r="B379" s="4" t="s">
        <v>692</v>
      </c>
      <c r="C379" s="4" t="s">
        <v>1054</v>
      </c>
      <c r="D379" s="5">
        <v>12170.0</v>
      </c>
      <c r="E379" s="6">
        <f t="shared" si="1"/>
        <v>3</v>
      </c>
      <c r="F379" s="6">
        <f t="shared" si="2"/>
        <v>27740</v>
      </c>
      <c r="G379" s="6">
        <f t="shared" si="3"/>
        <v>22585</v>
      </c>
      <c r="H379" s="6" t="str">
        <f t="shared" si="4"/>
        <v>D</v>
      </c>
      <c r="I379" s="6" t="str">
        <f t="shared" si="5"/>
        <v>Transformative change</v>
      </c>
      <c r="J379" s="6" t="str">
        <f t="shared" si="6"/>
        <v>Low</v>
      </c>
      <c r="K379" s="6">
        <f t="shared" si="7"/>
        <v>752655</v>
      </c>
      <c r="L379" s="6">
        <f t="shared" si="8"/>
        <v>136130.6102</v>
      </c>
    </row>
    <row r="380">
      <c r="A380" s="4" t="s">
        <v>1055</v>
      </c>
      <c r="B380" s="4" t="s">
        <v>1056</v>
      </c>
      <c r="C380" s="4" t="s">
        <v>1057</v>
      </c>
      <c r="D380" s="5">
        <v>6997.0</v>
      </c>
      <c r="E380" s="6">
        <f t="shared" si="1"/>
        <v>5</v>
      </c>
      <c r="F380" s="6">
        <f t="shared" si="2"/>
        <v>56116</v>
      </c>
      <c r="G380" s="6">
        <f t="shared" si="3"/>
        <v>23825</v>
      </c>
      <c r="H380" s="6" t="str">
        <f t="shared" si="4"/>
        <v>F</v>
      </c>
      <c r="I380" s="6" t="str">
        <f t="shared" si="5"/>
        <v>Transformative change</v>
      </c>
      <c r="J380" s="6" t="str">
        <f t="shared" si="6"/>
        <v>Low</v>
      </c>
      <c r="K380" s="6">
        <f t="shared" si="7"/>
        <v>287738</v>
      </c>
      <c r="L380" s="6">
        <f t="shared" si="8"/>
        <v>271517.4371</v>
      </c>
    </row>
    <row r="381">
      <c r="A381" s="4" t="s">
        <v>1058</v>
      </c>
      <c r="B381" s="4" t="s">
        <v>1059</v>
      </c>
      <c r="C381" s="4" t="s">
        <v>1060</v>
      </c>
      <c r="D381" s="5">
        <v>12751.0</v>
      </c>
      <c r="E381" s="6">
        <f t="shared" si="1"/>
        <v>3</v>
      </c>
      <c r="F381" s="6">
        <f t="shared" si="2"/>
        <v>27758</v>
      </c>
      <c r="G381" s="6">
        <f t="shared" si="3"/>
        <v>16024</v>
      </c>
      <c r="H381" s="6" t="str">
        <f t="shared" si="4"/>
        <v>D</v>
      </c>
      <c r="I381" s="6" t="str">
        <f t="shared" si="5"/>
        <v>Transformative change</v>
      </c>
      <c r="J381" s="6" t="str">
        <f t="shared" si="6"/>
        <v>Medium</v>
      </c>
      <c r="K381" s="6">
        <f t="shared" si="7"/>
        <v>841403</v>
      </c>
      <c r="L381" s="6">
        <f t="shared" si="8"/>
        <v>517707.4764</v>
      </c>
    </row>
    <row r="382">
      <c r="A382" s="4" t="s">
        <v>1061</v>
      </c>
      <c r="B382" s="4" t="s">
        <v>780</v>
      </c>
      <c r="C382" s="4" t="s">
        <v>74</v>
      </c>
      <c r="D382" s="5">
        <v>56086.0</v>
      </c>
      <c r="E382" s="6">
        <f t="shared" si="1"/>
        <v>1</v>
      </c>
      <c r="F382" s="6">
        <f t="shared" si="2"/>
        <v>17145</v>
      </c>
      <c r="G382" s="6">
        <f t="shared" si="3"/>
        <v>60869</v>
      </c>
      <c r="H382" s="6" t="str">
        <f t="shared" si="4"/>
        <v>E</v>
      </c>
      <c r="I382" s="6" t="str">
        <f t="shared" si="5"/>
        <v>Transformative change</v>
      </c>
      <c r="J382" s="6" t="str">
        <f t="shared" si="6"/>
        <v>High</v>
      </c>
      <c r="K382" s="6">
        <f t="shared" si="7"/>
        <v>3679006</v>
      </c>
      <c r="L382" s="6">
        <f t="shared" si="8"/>
        <v>382644.3554</v>
      </c>
    </row>
    <row r="383">
      <c r="A383" s="4" t="s">
        <v>1062</v>
      </c>
      <c r="B383" s="4" t="s">
        <v>1063</v>
      </c>
      <c r="C383" s="4" t="s">
        <v>1064</v>
      </c>
      <c r="D383" s="5">
        <v>937345.0</v>
      </c>
      <c r="E383" s="6">
        <f t="shared" si="1"/>
        <v>5</v>
      </c>
      <c r="F383" s="6">
        <f t="shared" si="2"/>
        <v>48630</v>
      </c>
      <c r="G383" s="6">
        <f t="shared" si="3"/>
        <v>32744</v>
      </c>
      <c r="H383" s="6" t="str">
        <f t="shared" si="4"/>
        <v>F</v>
      </c>
      <c r="I383" s="6" t="str">
        <f t="shared" si="5"/>
        <v>Transformative change</v>
      </c>
      <c r="J383" s="6" t="str">
        <f t="shared" si="6"/>
        <v>Medium</v>
      </c>
      <c r="K383" s="6">
        <f t="shared" si="7"/>
        <v>1172676</v>
      </c>
      <c r="L383" s="6">
        <f t="shared" si="8"/>
        <v>529166.8702</v>
      </c>
    </row>
    <row r="384">
      <c r="A384" s="4" t="s">
        <v>1065</v>
      </c>
      <c r="B384" s="4" t="s">
        <v>1066</v>
      </c>
      <c r="C384" s="4" t="s">
        <v>1067</v>
      </c>
      <c r="D384" s="5">
        <v>17411.0</v>
      </c>
      <c r="E384" s="6">
        <f t="shared" si="1"/>
        <v>5</v>
      </c>
      <c r="F384" s="6">
        <f t="shared" si="2"/>
        <v>83721</v>
      </c>
      <c r="G384" s="6">
        <f t="shared" si="3"/>
        <v>19928</v>
      </c>
      <c r="H384" s="6" t="str">
        <f t="shared" si="4"/>
        <v>D</v>
      </c>
      <c r="I384" s="6" t="str">
        <f t="shared" si="5"/>
        <v>Transformative change</v>
      </c>
      <c r="J384" s="6" t="str">
        <f t="shared" si="6"/>
        <v>Medium</v>
      </c>
      <c r="K384" s="6">
        <f t="shared" si="7"/>
        <v>772602</v>
      </c>
      <c r="L384" s="6">
        <f t="shared" si="8"/>
        <v>14192.13787</v>
      </c>
    </row>
    <row r="385">
      <c r="A385" s="4" t="s">
        <v>1068</v>
      </c>
      <c r="B385" s="4" t="s">
        <v>1069</v>
      </c>
      <c r="C385" s="4" t="s">
        <v>74</v>
      </c>
      <c r="D385" s="5">
        <v>16834.0</v>
      </c>
      <c r="E385" s="6">
        <f t="shared" si="1"/>
        <v>2</v>
      </c>
      <c r="F385" s="6">
        <f t="shared" si="2"/>
        <v>51275</v>
      </c>
      <c r="G385" s="6">
        <f t="shared" si="3"/>
        <v>28933</v>
      </c>
      <c r="H385" s="6" t="str">
        <f t="shared" si="4"/>
        <v>A</v>
      </c>
      <c r="I385" s="6" t="str">
        <f t="shared" si="5"/>
        <v>Transformative change</v>
      </c>
      <c r="J385" s="6" t="str">
        <f t="shared" si="6"/>
        <v>High</v>
      </c>
      <c r="K385" s="6">
        <f t="shared" si="7"/>
        <v>1385068</v>
      </c>
      <c r="L385" s="6">
        <f t="shared" si="8"/>
        <v>536864.9809</v>
      </c>
    </row>
    <row r="386">
      <c r="A386" s="4" t="s">
        <v>1070</v>
      </c>
      <c r="B386" s="4" t="s">
        <v>1071</v>
      </c>
      <c r="C386" s="4" t="s">
        <v>74</v>
      </c>
      <c r="D386" s="5">
        <v>159598.0</v>
      </c>
      <c r="E386" s="6">
        <f t="shared" si="1"/>
        <v>2</v>
      </c>
      <c r="F386" s="6">
        <f t="shared" si="2"/>
        <v>49638</v>
      </c>
      <c r="G386" s="6">
        <f t="shared" si="3"/>
        <v>9369</v>
      </c>
      <c r="H386" s="6" t="str">
        <f t="shared" si="4"/>
        <v>E</v>
      </c>
      <c r="I386" s="6" t="str">
        <f t="shared" si="5"/>
        <v>Transformative change</v>
      </c>
      <c r="J386" s="6" t="str">
        <f t="shared" si="6"/>
        <v>Medium</v>
      </c>
      <c r="K386" s="6">
        <f t="shared" si="7"/>
        <v>2733986</v>
      </c>
      <c r="L386" s="6">
        <f t="shared" si="8"/>
        <v>1316108.485</v>
      </c>
    </row>
    <row r="387">
      <c r="A387" s="4" t="s">
        <v>1072</v>
      </c>
      <c r="B387" s="4" t="s">
        <v>1073</v>
      </c>
      <c r="C387" s="4" t="s">
        <v>1074</v>
      </c>
      <c r="D387" s="5">
        <v>9603.0</v>
      </c>
      <c r="E387" s="6">
        <f t="shared" si="1"/>
        <v>3</v>
      </c>
      <c r="F387" s="6">
        <f t="shared" si="2"/>
        <v>90227</v>
      </c>
      <c r="G387" s="6">
        <f t="shared" si="3"/>
        <v>22243</v>
      </c>
      <c r="H387" s="6" t="str">
        <f t="shared" si="4"/>
        <v>E</v>
      </c>
      <c r="I387" s="6" t="str">
        <f t="shared" si="5"/>
        <v>High ambition</v>
      </c>
      <c r="J387" s="6" t="str">
        <f t="shared" si="6"/>
        <v>Medium</v>
      </c>
      <c r="K387" s="6">
        <f t="shared" si="7"/>
        <v>2552625</v>
      </c>
      <c r="L387" s="6">
        <f t="shared" si="8"/>
        <v>1669039.044</v>
      </c>
    </row>
    <row r="388">
      <c r="A388" s="4" t="s">
        <v>1075</v>
      </c>
      <c r="B388" s="4" t="s">
        <v>1076</v>
      </c>
      <c r="C388" s="4" t="s">
        <v>74</v>
      </c>
      <c r="D388" s="5">
        <v>7334.0</v>
      </c>
      <c r="E388" s="6">
        <f t="shared" si="1"/>
        <v>5</v>
      </c>
      <c r="F388" s="6">
        <f t="shared" si="2"/>
        <v>50560</v>
      </c>
      <c r="G388" s="6">
        <f t="shared" si="3"/>
        <v>17303</v>
      </c>
      <c r="H388" s="6" t="str">
        <f t="shared" si="4"/>
        <v>F</v>
      </c>
      <c r="I388" s="6" t="str">
        <f t="shared" si="5"/>
        <v>Transformative change</v>
      </c>
      <c r="J388" s="6" t="str">
        <f t="shared" si="6"/>
        <v>High</v>
      </c>
      <c r="K388" s="6">
        <f t="shared" si="7"/>
        <v>802265</v>
      </c>
      <c r="L388" s="6">
        <f t="shared" si="8"/>
        <v>608553.4685</v>
      </c>
    </row>
    <row r="389">
      <c r="A389" s="4" t="s">
        <v>1077</v>
      </c>
      <c r="B389" s="4" t="s">
        <v>1078</v>
      </c>
      <c r="C389" s="4" t="s">
        <v>1079</v>
      </c>
      <c r="D389" s="5">
        <v>11022.0</v>
      </c>
      <c r="E389" s="6">
        <f t="shared" si="1"/>
        <v>4</v>
      </c>
      <c r="F389" s="6">
        <f t="shared" si="2"/>
        <v>39255</v>
      </c>
      <c r="G389" s="6">
        <f t="shared" si="3"/>
        <v>17627</v>
      </c>
      <c r="H389" s="6" t="str">
        <f t="shared" si="4"/>
        <v>G</v>
      </c>
      <c r="I389" s="6" t="str">
        <f t="shared" si="5"/>
        <v>High ambition</v>
      </c>
      <c r="J389" s="6" t="str">
        <f t="shared" si="6"/>
        <v>High</v>
      </c>
      <c r="K389" s="6">
        <f t="shared" si="7"/>
        <v>3384489</v>
      </c>
      <c r="L389" s="6">
        <f t="shared" si="8"/>
        <v>1509892.473</v>
      </c>
    </row>
    <row r="390">
      <c r="A390" s="4" t="s">
        <v>1080</v>
      </c>
      <c r="B390" s="4" t="s">
        <v>931</v>
      </c>
      <c r="C390" s="4" t="s">
        <v>1081</v>
      </c>
      <c r="D390" s="5">
        <v>17705.0</v>
      </c>
      <c r="E390" s="6">
        <f t="shared" si="1"/>
        <v>3</v>
      </c>
      <c r="F390" s="6">
        <f t="shared" si="2"/>
        <v>27988</v>
      </c>
      <c r="G390" s="6">
        <f t="shared" si="3"/>
        <v>3333</v>
      </c>
      <c r="H390" s="6" t="str">
        <f t="shared" si="4"/>
        <v>C</v>
      </c>
      <c r="I390" s="6" t="str">
        <f t="shared" si="5"/>
        <v>Transformative change</v>
      </c>
      <c r="J390" s="6" t="str">
        <f t="shared" si="6"/>
        <v>Medium</v>
      </c>
      <c r="K390" s="6">
        <f t="shared" si="7"/>
        <v>2963830</v>
      </c>
      <c r="L390" s="6">
        <f t="shared" si="8"/>
        <v>580957.3378</v>
      </c>
    </row>
    <row r="391">
      <c r="A391" s="4" t="s">
        <v>1082</v>
      </c>
      <c r="B391" s="4" t="s">
        <v>1083</v>
      </c>
      <c r="C391" s="4" t="s">
        <v>1084</v>
      </c>
      <c r="D391" s="5">
        <v>63457.0</v>
      </c>
      <c r="E391" s="6">
        <f t="shared" si="1"/>
        <v>5</v>
      </c>
      <c r="F391" s="6">
        <f t="shared" si="2"/>
        <v>79934</v>
      </c>
      <c r="G391" s="6">
        <f t="shared" si="3"/>
        <v>32479</v>
      </c>
      <c r="H391" s="6" t="str">
        <f t="shared" si="4"/>
        <v>B</v>
      </c>
      <c r="I391" s="6" t="str">
        <f t="shared" si="5"/>
        <v>Transformative change</v>
      </c>
      <c r="J391" s="6" t="str">
        <f t="shared" si="6"/>
        <v>Low</v>
      </c>
      <c r="K391" s="6">
        <f t="shared" si="7"/>
        <v>2627506</v>
      </c>
      <c r="L391" s="6">
        <f t="shared" si="8"/>
        <v>2196471.987</v>
      </c>
    </row>
    <row r="392">
      <c r="A392" s="4" t="s">
        <v>1085</v>
      </c>
      <c r="B392" s="4" t="s">
        <v>1086</v>
      </c>
      <c r="C392" s="4" t="s">
        <v>91</v>
      </c>
      <c r="D392" s="5">
        <v>10291.0</v>
      </c>
      <c r="E392" s="6">
        <f t="shared" si="1"/>
        <v>5</v>
      </c>
      <c r="F392" s="6">
        <f t="shared" si="2"/>
        <v>78681</v>
      </c>
      <c r="G392" s="6">
        <f t="shared" si="3"/>
        <v>40420</v>
      </c>
      <c r="H392" s="6" t="str">
        <f t="shared" si="4"/>
        <v>C</v>
      </c>
      <c r="I392" s="6" t="str">
        <f t="shared" si="5"/>
        <v>Transformative change</v>
      </c>
      <c r="J392" s="6" t="str">
        <f t="shared" si="6"/>
        <v>High</v>
      </c>
      <c r="K392" s="6">
        <f t="shared" si="7"/>
        <v>2578942</v>
      </c>
      <c r="L392" s="6">
        <f t="shared" si="8"/>
        <v>1426746.316</v>
      </c>
    </row>
    <row r="393">
      <c r="A393" s="4" t="s">
        <v>1087</v>
      </c>
      <c r="B393" s="4" t="s">
        <v>1088</v>
      </c>
      <c r="C393" s="4" t="s">
        <v>1089</v>
      </c>
      <c r="D393" s="5">
        <v>8806.0</v>
      </c>
      <c r="E393" s="6">
        <f t="shared" si="1"/>
        <v>2</v>
      </c>
      <c r="F393" s="6">
        <f t="shared" si="2"/>
        <v>42151</v>
      </c>
      <c r="G393" s="6">
        <f t="shared" si="3"/>
        <v>14899</v>
      </c>
      <c r="H393" s="6" t="str">
        <f t="shared" si="4"/>
        <v>C</v>
      </c>
      <c r="I393" s="6" t="str">
        <f t="shared" si="5"/>
        <v>High ambition</v>
      </c>
      <c r="J393" s="6" t="str">
        <f t="shared" si="6"/>
        <v>Medium</v>
      </c>
      <c r="K393" s="6">
        <f t="shared" si="7"/>
        <v>1731810</v>
      </c>
      <c r="L393" s="6">
        <f t="shared" si="8"/>
        <v>1128540.346</v>
      </c>
    </row>
    <row r="394">
      <c r="A394" s="4" t="s">
        <v>1090</v>
      </c>
      <c r="B394" s="4" t="s">
        <v>1091</v>
      </c>
      <c r="C394" s="4" t="s">
        <v>1092</v>
      </c>
      <c r="D394" s="5">
        <v>75602.0</v>
      </c>
      <c r="E394" s="6">
        <f t="shared" si="1"/>
        <v>4</v>
      </c>
      <c r="F394" s="6">
        <f t="shared" si="2"/>
        <v>72508</v>
      </c>
      <c r="G394" s="6">
        <f t="shared" si="3"/>
        <v>10044</v>
      </c>
      <c r="H394" s="6" t="str">
        <f t="shared" si="4"/>
        <v>F</v>
      </c>
      <c r="I394" s="6" t="str">
        <f t="shared" si="5"/>
        <v>Transformative change</v>
      </c>
      <c r="J394" s="6" t="str">
        <f t="shared" si="6"/>
        <v>Low</v>
      </c>
      <c r="K394" s="6">
        <f t="shared" si="7"/>
        <v>3701305</v>
      </c>
      <c r="L394" s="6">
        <f t="shared" si="8"/>
        <v>2065572.997</v>
      </c>
    </row>
    <row r="395">
      <c r="A395" s="4" t="s">
        <v>1093</v>
      </c>
      <c r="B395" s="4" t="s">
        <v>1094</v>
      </c>
      <c r="C395" s="4" t="s">
        <v>1095</v>
      </c>
      <c r="D395" s="5">
        <v>5906.0</v>
      </c>
      <c r="E395" s="6">
        <f t="shared" si="1"/>
        <v>5</v>
      </c>
      <c r="F395" s="6">
        <f t="shared" si="2"/>
        <v>95573</v>
      </c>
      <c r="G395" s="6">
        <f t="shared" si="3"/>
        <v>86329</v>
      </c>
      <c r="H395" s="6" t="str">
        <f t="shared" si="4"/>
        <v>E</v>
      </c>
      <c r="I395" s="6" t="str">
        <f t="shared" si="5"/>
        <v>Transformative change</v>
      </c>
      <c r="J395" s="6" t="str">
        <f t="shared" si="6"/>
        <v>High</v>
      </c>
      <c r="K395" s="6">
        <f t="shared" si="7"/>
        <v>1839369</v>
      </c>
      <c r="L395" s="6">
        <f t="shared" si="8"/>
        <v>1530966.408</v>
      </c>
    </row>
    <row r="396">
      <c r="A396" s="4" t="s">
        <v>1096</v>
      </c>
      <c r="B396" s="4" t="s">
        <v>1097</v>
      </c>
      <c r="C396" s="4" t="s">
        <v>74</v>
      </c>
      <c r="D396" s="5">
        <v>16650.0</v>
      </c>
      <c r="E396" s="6">
        <f t="shared" si="1"/>
        <v>4</v>
      </c>
      <c r="F396" s="6">
        <f t="shared" si="2"/>
        <v>57762</v>
      </c>
      <c r="G396" s="6">
        <f t="shared" si="3"/>
        <v>22476</v>
      </c>
      <c r="H396" s="6" t="str">
        <f t="shared" si="4"/>
        <v>E</v>
      </c>
      <c r="I396" s="6" t="str">
        <f t="shared" si="5"/>
        <v>Transformative change</v>
      </c>
      <c r="J396" s="6" t="str">
        <f t="shared" si="6"/>
        <v>High</v>
      </c>
      <c r="K396" s="6">
        <f t="shared" si="7"/>
        <v>2110592</v>
      </c>
      <c r="L396" s="6">
        <f t="shared" si="8"/>
        <v>389878.2024</v>
      </c>
    </row>
    <row r="397">
      <c r="A397" s="4" t="s">
        <v>1098</v>
      </c>
      <c r="B397" s="4" t="s">
        <v>1099</v>
      </c>
      <c r="C397" s="4" t="s">
        <v>1100</v>
      </c>
      <c r="D397" s="5">
        <v>20381.0</v>
      </c>
      <c r="E397" s="6">
        <f t="shared" si="1"/>
        <v>4</v>
      </c>
      <c r="F397" s="6">
        <f t="shared" si="2"/>
        <v>97039</v>
      </c>
      <c r="G397" s="6">
        <f t="shared" si="3"/>
        <v>32069</v>
      </c>
      <c r="H397" s="6" t="str">
        <f t="shared" si="4"/>
        <v>A</v>
      </c>
      <c r="I397" s="6" t="str">
        <f t="shared" si="5"/>
        <v>High ambition</v>
      </c>
      <c r="J397" s="6" t="str">
        <f t="shared" si="6"/>
        <v>High</v>
      </c>
      <c r="K397" s="6">
        <f t="shared" si="7"/>
        <v>1035501</v>
      </c>
      <c r="L397" s="6">
        <f t="shared" si="8"/>
        <v>781382.3879</v>
      </c>
    </row>
    <row r="398">
      <c r="A398" s="4" t="s">
        <v>1101</v>
      </c>
      <c r="B398" s="4" t="s">
        <v>421</v>
      </c>
      <c r="C398" s="4" t="s">
        <v>1102</v>
      </c>
      <c r="D398" s="5">
        <v>16866.0</v>
      </c>
      <c r="E398" s="6">
        <f t="shared" si="1"/>
        <v>4</v>
      </c>
      <c r="F398" s="6">
        <f t="shared" si="2"/>
        <v>32905</v>
      </c>
      <c r="G398" s="6">
        <f t="shared" si="3"/>
        <v>5800</v>
      </c>
      <c r="H398" s="6" t="str">
        <f t="shared" si="4"/>
        <v>B</v>
      </c>
      <c r="I398" s="6" t="str">
        <f t="shared" si="5"/>
        <v>High ambition</v>
      </c>
      <c r="J398" s="6" t="str">
        <f t="shared" si="6"/>
        <v>Medium</v>
      </c>
      <c r="K398" s="6">
        <f t="shared" si="7"/>
        <v>3237954</v>
      </c>
      <c r="L398" s="6">
        <f t="shared" si="8"/>
        <v>499418.3996</v>
      </c>
    </row>
    <row r="399">
      <c r="A399" s="4" t="s">
        <v>1103</v>
      </c>
      <c r="B399" s="4" t="s">
        <v>1104</v>
      </c>
      <c r="C399" s="4" t="s">
        <v>74</v>
      </c>
      <c r="D399" s="5">
        <v>11250.0</v>
      </c>
      <c r="E399" s="6">
        <f t="shared" si="1"/>
        <v>2</v>
      </c>
      <c r="F399" s="6">
        <f t="shared" si="2"/>
        <v>92919</v>
      </c>
      <c r="G399" s="6">
        <f t="shared" si="3"/>
        <v>56222</v>
      </c>
      <c r="H399" s="6" t="str">
        <f t="shared" si="4"/>
        <v>D</v>
      </c>
      <c r="I399" s="6" t="str">
        <f t="shared" si="5"/>
        <v>Transformative change</v>
      </c>
      <c r="J399" s="6" t="str">
        <f t="shared" si="6"/>
        <v>High</v>
      </c>
      <c r="K399" s="6">
        <f t="shared" si="7"/>
        <v>1763365</v>
      </c>
      <c r="L399" s="6">
        <f t="shared" si="8"/>
        <v>56221.00102</v>
      </c>
    </row>
    <row r="400">
      <c r="A400" s="4" t="s">
        <v>1105</v>
      </c>
      <c r="B400" s="4" t="s">
        <v>1106</v>
      </c>
      <c r="C400" s="4" t="s">
        <v>1107</v>
      </c>
      <c r="D400" s="5">
        <v>6928.0</v>
      </c>
      <c r="E400" s="6">
        <f t="shared" si="1"/>
        <v>4</v>
      </c>
      <c r="F400" s="6">
        <f t="shared" si="2"/>
        <v>15769</v>
      </c>
      <c r="G400" s="6">
        <f t="shared" si="3"/>
        <v>18961</v>
      </c>
      <c r="H400" s="6" t="str">
        <f t="shared" si="4"/>
        <v>A</v>
      </c>
      <c r="I400" s="6" t="str">
        <f t="shared" si="5"/>
        <v>Transformative change</v>
      </c>
      <c r="J400" s="6" t="str">
        <f t="shared" si="6"/>
        <v>Medium</v>
      </c>
      <c r="K400" s="6">
        <f t="shared" si="7"/>
        <v>3724481</v>
      </c>
      <c r="L400" s="6">
        <f t="shared" si="8"/>
        <v>587180.8143</v>
      </c>
    </row>
    <row r="401">
      <c r="A401" s="4" t="s">
        <v>1108</v>
      </c>
      <c r="B401" s="4" t="s">
        <v>1109</v>
      </c>
      <c r="C401" s="4" t="s">
        <v>1110</v>
      </c>
      <c r="D401" s="5">
        <v>81393.0</v>
      </c>
      <c r="E401" s="6">
        <f t="shared" si="1"/>
        <v>5</v>
      </c>
      <c r="F401" s="6">
        <f t="shared" si="2"/>
        <v>65400</v>
      </c>
      <c r="G401" s="6">
        <f t="shared" si="3"/>
        <v>9304</v>
      </c>
      <c r="H401" s="6" t="str">
        <f t="shared" si="4"/>
        <v>F</v>
      </c>
      <c r="I401" s="6" t="str">
        <f t="shared" si="5"/>
        <v>Transformative change</v>
      </c>
      <c r="J401" s="6" t="str">
        <f t="shared" si="6"/>
        <v>High</v>
      </c>
      <c r="K401" s="6">
        <f t="shared" si="7"/>
        <v>2661410</v>
      </c>
      <c r="L401" s="6">
        <f t="shared" si="8"/>
        <v>762468.3822</v>
      </c>
    </row>
    <row r="402">
      <c r="A402" s="4" t="s">
        <v>1111</v>
      </c>
      <c r="B402" s="4" t="s">
        <v>1112</v>
      </c>
      <c r="C402" s="4" t="s">
        <v>1113</v>
      </c>
      <c r="D402" s="5">
        <v>29138.0</v>
      </c>
      <c r="E402" s="6">
        <f t="shared" si="1"/>
        <v>2</v>
      </c>
      <c r="F402" s="6">
        <f t="shared" si="2"/>
        <v>67194</v>
      </c>
      <c r="G402" s="6">
        <f t="shared" si="3"/>
        <v>3845</v>
      </c>
      <c r="H402" s="6" t="str">
        <f t="shared" si="4"/>
        <v>G</v>
      </c>
      <c r="I402" s="6" t="str">
        <f t="shared" si="5"/>
        <v>Transformative change</v>
      </c>
      <c r="J402" s="6" t="str">
        <f t="shared" si="6"/>
        <v>High</v>
      </c>
      <c r="K402" s="6">
        <f t="shared" si="7"/>
        <v>1952650</v>
      </c>
      <c r="L402" s="6">
        <f t="shared" si="8"/>
        <v>589424.272</v>
      </c>
    </row>
    <row r="403">
      <c r="A403" s="4" t="s">
        <v>1114</v>
      </c>
      <c r="B403" s="4" t="s">
        <v>1115</v>
      </c>
      <c r="C403" s="4" t="s">
        <v>1116</v>
      </c>
      <c r="D403" s="5">
        <v>14588.0</v>
      </c>
      <c r="E403" s="6">
        <f t="shared" si="1"/>
        <v>4</v>
      </c>
      <c r="F403" s="6">
        <f t="shared" si="2"/>
        <v>49731</v>
      </c>
      <c r="G403" s="6">
        <f t="shared" si="3"/>
        <v>29401</v>
      </c>
      <c r="H403" s="6" t="str">
        <f t="shared" si="4"/>
        <v>D</v>
      </c>
      <c r="I403" s="6" t="str">
        <f t="shared" si="5"/>
        <v>Transformative change</v>
      </c>
      <c r="J403" s="6" t="str">
        <f t="shared" si="6"/>
        <v>High</v>
      </c>
      <c r="K403" s="6">
        <f t="shared" si="7"/>
        <v>563802</v>
      </c>
      <c r="L403" s="6">
        <f t="shared" si="8"/>
        <v>222256.7298</v>
      </c>
    </row>
    <row r="404">
      <c r="A404" s="4" t="s">
        <v>1117</v>
      </c>
      <c r="B404" s="4" t="s">
        <v>1118</v>
      </c>
      <c r="C404" s="4" t="s">
        <v>238</v>
      </c>
      <c r="D404" s="5">
        <v>12118.0</v>
      </c>
      <c r="E404" s="6">
        <f t="shared" si="1"/>
        <v>3</v>
      </c>
      <c r="F404" s="6">
        <f t="shared" si="2"/>
        <v>24117</v>
      </c>
      <c r="G404" s="6">
        <f t="shared" si="3"/>
        <v>23884</v>
      </c>
      <c r="H404" s="6" t="str">
        <f t="shared" si="4"/>
        <v>G</v>
      </c>
      <c r="I404" s="6" t="str">
        <f t="shared" si="5"/>
        <v>Transformative change</v>
      </c>
      <c r="J404" s="6" t="str">
        <f t="shared" si="6"/>
        <v>Medium</v>
      </c>
      <c r="K404" s="6">
        <f t="shared" si="7"/>
        <v>3890728</v>
      </c>
      <c r="L404" s="6">
        <f t="shared" si="8"/>
        <v>1081891.206</v>
      </c>
    </row>
    <row r="405">
      <c r="A405" s="4" t="s">
        <v>1119</v>
      </c>
      <c r="B405" s="4" t="s">
        <v>1120</v>
      </c>
      <c r="C405" s="4" t="s">
        <v>1121</v>
      </c>
      <c r="D405" s="5">
        <v>237340.0</v>
      </c>
      <c r="E405" s="6">
        <f t="shared" si="1"/>
        <v>1</v>
      </c>
      <c r="F405" s="6">
        <f t="shared" si="2"/>
        <v>83405</v>
      </c>
      <c r="G405" s="6">
        <f t="shared" si="3"/>
        <v>28346</v>
      </c>
      <c r="H405" s="6" t="str">
        <f t="shared" si="4"/>
        <v>G</v>
      </c>
      <c r="I405" s="6" t="str">
        <f t="shared" si="5"/>
        <v>Transformative change</v>
      </c>
      <c r="J405" s="6" t="str">
        <f t="shared" si="6"/>
        <v>Low</v>
      </c>
      <c r="K405" s="6">
        <f t="shared" si="7"/>
        <v>683817</v>
      </c>
      <c r="L405" s="6">
        <f t="shared" si="8"/>
        <v>479805.3046</v>
      </c>
    </row>
    <row r="406">
      <c r="A406" s="4" t="s">
        <v>1122</v>
      </c>
      <c r="B406" s="4" t="s">
        <v>1123</v>
      </c>
      <c r="C406" s="4" t="s">
        <v>1124</v>
      </c>
      <c r="D406" s="5">
        <v>10126.0</v>
      </c>
      <c r="E406" s="6">
        <f t="shared" si="1"/>
        <v>3</v>
      </c>
      <c r="F406" s="6">
        <f t="shared" si="2"/>
        <v>69103</v>
      </c>
      <c r="G406" s="6">
        <f t="shared" si="3"/>
        <v>22184</v>
      </c>
      <c r="H406" s="6" t="str">
        <f t="shared" si="4"/>
        <v>F</v>
      </c>
      <c r="I406" s="6" t="str">
        <f t="shared" si="5"/>
        <v>Transformative change</v>
      </c>
      <c r="J406" s="6" t="str">
        <f t="shared" si="6"/>
        <v>Medium</v>
      </c>
      <c r="K406" s="6">
        <f t="shared" si="7"/>
        <v>2470149</v>
      </c>
      <c r="L406" s="6">
        <f t="shared" si="8"/>
        <v>1859964.808</v>
      </c>
    </row>
    <row r="407">
      <c r="A407" s="4" t="s">
        <v>1125</v>
      </c>
      <c r="B407" s="4" t="s">
        <v>1126</v>
      </c>
      <c r="C407" s="4" t="s">
        <v>1127</v>
      </c>
      <c r="D407" s="5">
        <v>16726.0</v>
      </c>
      <c r="E407" s="6">
        <f t="shared" si="1"/>
        <v>2</v>
      </c>
      <c r="F407" s="6">
        <f t="shared" si="2"/>
        <v>36287</v>
      </c>
      <c r="G407" s="6">
        <f t="shared" si="3"/>
        <v>11229</v>
      </c>
      <c r="H407" s="6" t="str">
        <f t="shared" si="4"/>
        <v>G</v>
      </c>
      <c r="I407" s="6" t="str">
        <f t="shared" si="5"/>
        <v>High ambition</v>
      </c>
      <c r="J407" s="6" t="str">
        <f t="shared" si="6"/>
        <v>High</v>
      </c>
      <c r="K407" s="6">
        <f t="shared" si="7"/>
        <v>1320199</v>
      </c>
      <c r="L407" s="6">
        <f t="shared" si="8"/>
        <v>945574.8382</v>
      </c>
    </row>
    <row r="408">
      <c r="A408" s="4" t="s">
        <v>1128</v>
      </c>
      <c r="B408" s="4" t="s">
        <v>1129</v>
      </c>
      <c r="C408" s="4" t="s">
        <v>1130</v>
      </c>
      <c r="D408" s="5">
        <v>8266.0</v>
      </c>
      <c r="E408" s="6">
        <f t="shared" si="1"/>
        <v>1</v>
      </c>
      <c r="F408" s="6">
        <f t="shared" si="2"/>
        <v>29322</v>
      </c>
      <c r="G408" s="6">
        <f t="shared" si="3"/>
        <v>11817</v>
      </c>
      <c r="H408" s="6" t="str">
        <f t="shared" si="4"/>
        <v>B</v>
      </c>
      <c r="I408" s="6" t="str">
        <f t="shared" si="5"/>
        <v>Transformative change</v>
      </c>
      <c r="J408" s="6" t="str">
        <f t="shared" si="6"/>
        <v>High</v>
      </c>
      <c r="K408" s="6">
        <f t="shared" si="7"/>
        <v>3755864</v>
      </c>
      <c r="L408" s="6">
        <f t="shared" si="8"/>
        <v>1812378.854</v>
      </c>
    </row>
    <row r="409">
      <c r="A409" s="4" t="s">
        <v>1131</v>
      </c>
      <c r="B409" s="4" t="s">
        <v>1132</v>
      </c>
      <c r="C409" s="4" t="s">
        <v>1133</v>
      </c>
      <c r="D409" s="5">
        <v>12733.0</v>
      </c>
      <c r="E409" s="6">
        <f t="shared" si="1"/>
        <v>3</v>
      </c>
      <c r="F409" s="6">
        <f t="shared" si="2"/>
        <v>56696</v>
      </c>
      <c r="G409" s="6">
        <f t="shared" si="3"/>
        <v>24941</v>
      </c>
      <c r="H409" s="6" t="str">
        <f t="shared" si="4"/>
        <v>E</v>
      </c>
      <c r="I409" s="6" t="str">
        <f t="shared" si="5"/>
        <v>Transformative change</v>
      </c>
      <c r="J409" s="6" t="str">
        <f t="shared" si="6"/>
        <v>Low</v>
      </c>
      <c r="K409" s="6">
        <f t="shared" si="7"/>
        <v>2586491</v>
      </c>
      <c r="L409" s="6">
        <f t="shared" si="8"/>
        <v>1988425.648</v>
      </c>
    </row>
    <row r="410">
      <c r="A410" s="4" t="s">
        <v>1134</v>
      </c>
      <c r="B410" s="4" t="s">
        <v>1135</v>
      </c>
      <c r="C410" s="4" t="s">
        <v>1136</v>
      </c>
      <c r="D410" s="5">
        <v>71022.0</v>
      </c>
      <c r="E410" s="6">
        <f t="shared" si="1"/>
        <v>3</v>
      </c>
      <c r="F410" s="6">
        <f t="shared" si="2"/>
        <v>99979</v>
      </c>
      <c r="G410" s="6">
        <f t="shared" si="3"/>
        <v>41145</v>
      </c>
      <c r="H410" s="6" t="str">
        <f t="shared" si="4"/>
        <v>F</v>
      </c>
      <c r="I410" s="6" t="str">
        <f t="shared" si="5"/>
        <v>High ambition</v>
      </c>
      <c r="J410" s="6" t="str">
        <f t="shared" si="6"/>
        <v>Low</v>
      </c>
      <c r="K410" s="6">
        <f t="shared" si="7"/>
        <v>2889648</v>
      </c>
      <c r="L410" s="6">
        <f t="shared" si="8"/>
        <v>1873858.417</v>
      </c>
    </row>
    <row r="411">
      <c r="A411" s="4" t="s">
        <v>1137</v>
      </c>
      <c r="B411" s="4" t="s">
        <v>1138</v>
      </c>
      <c r="C411" s="4" t="s">
        <v>74</v>
      </c>
      <c r="D411" s="5">
        <v>12576.0</v>
      </c>
      <c r="E411" s="6">
        <f t="shared" si="1"/>
        <v>5</v>
      </c>
      <c r="F411" s="6">
        <f t="shared" si="2"/>
        <v>16417</v>
      </c>
      <c r="G411" s="6">
        <f t="shared" si="3"/>
        <v>32159</v>
      </c>
      <c r="H411" s="6" t="str">
        <f t="shared" si="4"/>
        <v>A</v>
      </c>
      <c r="I411" s="6" t="str">
        <f t="shared" si="5"/>
        <v>Transformative change</v>
      </c>
      <c r="J411" s="6" t="str">
        <f t="shared" si="6"/>
        <v>Low</v>
      </c>
      <c r="K411" s="6">
        <f t="shared" si="7"/>
        <v>1543336</v>
      </c>
      <c r="L411" s="6">
        <f t="shared" si="8"/>
        <v>229644.8791</v>
      </c>
    </row>
    <row r="412">
      <c r="A412" s="4" t="s">
        <v>1139</v>
      </c>
      <c r="B412" s="4" t="s">
        <v>1140</v>
      </c>
      <c r="C412" s="4" t="s">
        <v>1141</v>
      </c>
      <c r="D412" s="5">
        <v>9477.0</v>
      </c>
      <c r="E412" s="6">
        <f t="shared" si="1"/>
        <v>2</v>
      </c>
      <c r="F412" s="6">
        <f t="shared" si="2"/>
        <v>3167</v>
      </c>
      <c r="G412" s="6">
        <f t="shared" si="3"/>
        <v>83147</v>
      </c>
      <c r="H412" s="6" t="str">
        <f t="shared" si="4"/>
        <v>B</v>
      </c>
      <c r="I412" s="6" t="str">
        <f t="shared" si="5"/>
        <v>Transformative change</v>
      </c>
      <c r="J412" s="6" t="str">
        <f t="shared" si="6"/>
        <v>Low</v>
      </c>
      <c r="K412" s="6">
        <f t="shared" si="7"/>
        <v>2866389</v>
      </c>
      <c r="L412" s="6">
        <f t="shared" si="8"/>
        <v>2629319.663</v>
      </c>
    </row>
    <row r="413">
      <c r="A413" s="4" t="s">
        <v>1142</v>
      </c>
      <c r="B413" s="4" t="s">
        <v>1143</v>
      </c>
      <c r="C413" s="4" t="s">
        <v>74</v>
      </c>
      <c r="D413" s="5">
        <v>16716.0</v>
      </c>
      <c r="E413" s="6">
        <f t="shared" si="1"/>
        <v>4</v>
      </c>
      <c r="F413" s="6">
        <f t="shared" si="2"/>
        <v>61673</v>
      </c>
      <c r="G413" s="6">
        <f t="shared" si="3"/>
        <v>59663</v>
      </c>
      <c r="H413" s="6" t="str">
        <f t="shared" si="4"/>
        <v>E</v>
      </c>
      <c r="I413" s="6" t="str">
        <f t="shared" si="5"/>
        <v>Transformative change</v>
      </c>
      <c r="J413" s="6" t="str">
        <f t="shared" si="6"/>
        <v>Low</v>
      </c>
      <c r="K413" s="6">
        <f t="shared" si="7"/>
        <v>3433743</v>
      </c>
      <c r="L413" s="6">
        <f t="shared" si="8"/>
        <v>729615.4449</v>
      </c>
    </row>
    <row r="414">
      <c r="A414" s="4" t="s">
        <v>259</v>
      </c>
      <c r="B414" s="4" t="s">
        <v>1144</v>
      </c>
      <c r="C414" s="4" t="s">
        <v>1145</v>
      </c>
      <c r="D414" s="5">
        <v>14804.0</v>
      </c>
      <c r="E414" s="6">
        <f t="shared" si="1"/>
        <v>5</v>
      </c>
      <c r="F414" s="6">
        <f t="shared" si="2"/>
        <v>61200</v>
      </c>
      <c r="G414" s="6">
        <f t="shared" si="3"/>
        <v>9300</v>
      </c>
      <c r="H414" s="6" t="str">
        <f t="shared" si="4"/>
        <v>D</v>
      </c>
      <c r="I414" s="6" t="str">
        <f t="shared" si="5"/>
        <v>Transformative change</v>
      </c>
      <c r="J414" s="6" t="str">
        <f t="shared" si="6"/>
        <v>High</v>
      </c>
      <c r="K414" s="6">
        <f t="shared" si="7"/>
        <v>2883336</v>
      </c>
      <c r="L414" s="6">
        <f t="shared" si="8"/>
        <v>2082219.928</v>
      </c>
    </row>
    <row r="415">
      <c r="A415" s="4" t="s">
        <v>1146</v>
      </c>
      <c r="B415" s="4" t="s">
        <v>1147</v>
      </c>
      <c r="C415" s="4" t="s">
        <v>1148</v>
      </c>
      <c r="D415" s="5">
        <v>15044.0</v>
      </c>
      <c r="E415" s="6">
        <f t="shared" si="1"/>
        <v>1</v>
      </c>
      <c r="F415" s="6">
        <f t="shared" si="2"/>
        <v>65034</v>
      </c>
      <c r="G415" s="6">
        <f t="shared" si="3"/>
        <v>7855</v>
      </c>
      <c r="H415" s="6" t="str">
        <f t="shared" si="4"/>
        <v>D</v>
      </c>
      <c r="I415" s="6" t="str">
        <f t="shared" si="5"/>
        <v>Transformative change</v>
      </c>
      <c r="J415" s="6" t="str">
        <f t="shared" si="6"/>
        <v>Low</v>
      </c>
      <c r="K415" s="6">
        <f t="shared" si="7"/>
        <v>3481319</v>
      </c>
      <c r="L415" s="6">
        <f t="shared" si="8"/>
        <v>3353375.992</v>
      </c>
    </row>
    <row r="416">
      <c r="A416" s="4" t="s">
        <v>1149</v>
      </c>
      <c r="B416" s="4" t="s">
        <v>1150</v>
      </c>
      <c r="C416" s="4" t="s">
        <v>1151</v>
      </c>
      <c r="D416" s="5">
        <v>11945.0</v>
      </c>
      <c r="E416" s="6">
        <f t="shared" si="1"/>
        <v>2</v>
      </c>
      <c r="F416" s="6">
        <f t="shared" si="2"/>
        <v>19354</v>
      </c>
      <c r="G416" s="6">
        <f t="shared" si="3"/>
        <v>12161</v>
      </c>
      <c r="H416" s="6" t="str">
        <f t="shared" si="4"/>
        <v>F</v>
      </c>
      <c r="I416" s="6" t="str">
        <f t="shared" si="5"/>
        <v>Transformative change</v>
      </c>
      <c r="J416" s="6" t="str">
        <f t="shared" si="6"/>
        <v>High</v>
      </c>
      <c r="K416" s="6">
        <f t="shared" si="7"/>
        <v>1802321</v>
      </c>
      <c r="L416" s="6">
        <f t="shared" si="8"/>
        <v>481665.5052</v>
      </c>
    </row>
    <row r="417">
      <c r="A417" s="4" t="s">
        <v>1152</v>
      </c>
      <c r="B417" s="4" t="s">
        <v>1153</v>
      </c>
      <c r="C417" s="4" t="s">
        <v>1154</v>
      </c>
      <c r="D417" s="5">
        <v>20385.0</v>
      </c>
      <c r="E417" s="6">
        <f t="shared" si="1"/>
        <v>1</v>
      </c>
      <c r="F417" s="6">
        <f t="shared" si="2"/>
        <v>85274</v>
      </c>
      <c r="G417" s="6">
        <f t="shared" si="3"/>
        <v>85095</v>
      </c>
      <c r="H417" s="6" t="str">
        <f t="shared" si="4"/>
        <v>D</v>
      </c>
      <c r="I417" s="6" t="str">
        <f t="shared" si="5"/>
        <v>Transformative change</v>
      </c>
      <c r="J417" s="6" t="str">
        <f t="shared" si="6"/>
        <v>High</v>
      </c>
      <c r="K417" s="6">
        <f t="shared" si="7"/>
        <v>631479</v>
      </c>
      <c r="L417" s="6">
        <f t="shared" si="8"/>
        <v>382046.838</v>
      </c>
    </row>
    <row r="418">
      <c r="A418" s="4" t="s">
        <v>1155</v>
      </c>
      <c r="B418" s="4" t="s">
        <v>1156</v>
      </c>
      <c r="C418" s="4" t="s">
        <v>1157</v>
      </c>
      <c r="D418" s="5">
        <v>19573.0</v>
      </c>
      <c r="E418" s="6">
        <f t="shared" si="1"/>
        <v>3</v>
      </c>
      <c r="F418" s="6">
        <f t="shared" si="2"/>
        <v>77083</v>
      </c>
      <c r="G418" s="6">
        <f t="shared" si="3"/>
        <v>64929</v>
      </c>
      <c r="H418" s="6" t="str">
        <f t="shared" si="4"/>
        <v>G</v>
      </c>
      <c r="I418" s="6" t="str">
        <f t="shared" si="5"/>
        <v>Transformative change</v>
      </c>
      <c r="J418" s="6" t="str">
        <f t="shared" si="6"/>
        <v>High</v>
      </c>
      <c r="K418" s="6">
        <f t="shared" si="7"/>
        <v>2864949</v>
      </c>
      <c r="L418" s="6">
        <f t="shared" si="8"/>
        <v>2162659.87</v>
      </c>
    </row>
    <row r="419">
      <c r="A419" s="4" t="s">
        <v>1158</v>
      </c>
      <c r="B419" s="4" t="s">
        <v>1159</v>
      </c>
      <c r="C419" s="4" t="s">
        <v>1160</v>
      </c>
      <c r="D419" s="5">
        <v>6907.0</v>
      </c>
      <c r="E419" s="6">
        <f t="shared" si="1"/>
        <v>5</v>
      </c>
      <c r="F419" s="6">
        <f t="shared" si="2"/>
        <v>22171</v>
      </c>
      <c r="G419" s="6">
        <f t="shared" si="3"/>
        <v>26021</v>
      </c>
      <c r="H419" s="6" t="str">
        <f t="shared" si="4"/>
        <v>A</v>
      </c>
      <c r="I419" s="6" t="str">
        <f t="shared" si="5"/>
        <v>High ambition</v>
      </c>
      <c r="J419" s="6" t="str">
        <f t="shared" si="6"/>
        <v>Low</v>
      </c>
      <c r="K419" s="6">
        <f t="shared" si="7"/>
        <v>1655621</v>
      </c>
      <c r="L419" s="6">
        <f t="shared" si="8"/>
        <v>940497.8077</v>
      </c>
    </row>
    <row r="420">
      <c r="A420" s="4" t="s">
        <v>1161</v>
      </c>
      <c r="B420" s="4" t="s">
        <v>1162</v>
      </c>
      <c r="C420" s="4" t="s">
        <v>1163</v>
      </c>
      <c r="D420" s="5">
        <v>93180.0</v>
      </c>
      <c r="E420" s="6">
        <f t="shared" si="1"/>
        <v>1</v>
      </c>
      <c r="F420" s="6">
        <f t="shared" si="2"/>
        <v>60664</v>
      </c>
      <c r="G420" s="6">
        <f t="shared" si="3"/>
        <v>29046</v>
      </c>
      <c r="H420" s="6" t="str">
        <f t="shared" si="4"/>
        <v>C</v>
      </c>
      <c r="I420" s="6" t="str">
        <f t="shared" si="5"/>
        <v>Transformative change</v>
      </c>
      <c r="J420" s="6" t="str">
        <f t="shared" si="6"/>
        <v>High</v>
      </c>
      <c r="K420" s="6">
        <f t="shared" si="7"/>
        <v>1840755</v>
      </c>
      <c r="L420" s="6">
        <f t="shared" si="8"/>
        <v>616980.6471</v>
      </c>
    </row>
    <row r="421">
      <c r="A421" s="4" t="s">
        <v>1164</v>
      </c>
      <c r="B421" s="4" t="s">
        <v>1165</v>
      </c>
      <c r="C421" s="4" t="s">
        <v>1166</v>
      </c>
      <c r="D421" s="5">
        <v>18192.0</v>
      </c>
      <c r="E421" s="6">
        <f t="shared" si="1"/>
        <v>2</v>
      </c>
      <c r="F421" s="6">
        <f t="shared" si="2"/>
        <v>83259</v>
      </c>
      <c r="G421" s="6">
        <f t="shared" si="3"/>
        <v>8954</v>
      </c>
      <c r="H421" s="6" t="str">
        <f t="shared" si="4"/>
        <v>F</v>
      </c>
      <c r="I421" s="6" t="str">
        <f t="shared" si="5"/>
        <v>Transformative change</v>
      </c>
      <c r="J421" s="6" t="str">
        <f t="shared" si="6"/>
        <v>High</v>
      </c>
      <c r="K421" s="6">
        <f t="shared" si="7"/>
        <v>1758261</v>
      </c>
      <c r="L421" s="6">
        <f t="shared" si="8"/>
        <v>892696.1341</v>
      </c>
    </row>
    <row r="422">
      <c r="A422" s="4" t="s">
        <v>1167</v>
      </c>
      <c r="B422" s="4" t="s">
        <v>1168</v>
      </c>
      <c r="C422" s="4" t="s">
        <v>1169</v>
      </c>
      <c r="D422" s="5">
        <v>12848.0</v>
      </c>
      <c r="E422" s="6">
        <f t="shared" si="1"/>
        <v>4</v>
      </c>
      <c r="F422" s="6">
        <f t="shared" si="2"/>
        <v>20290</v>
      </c>
      <c r="G422" s="6">
        <f t="shared" si="3"/>
        <v>23972</v>
      </c>
      <c r="H422" s="6" t="str">
        <f t="shared" si="4"/>
        <v>E</v>
      </c>
      <c r="I422" s="6" t="str">
        <f t="shared" si="5"/>
        <v>High ambition</v>
      </c>
      <c r="J422" s="6" t="str">
        <f t="shared" si="6"/>
        <v>High</v>
      </c>
      <c r="K422" s="6">
        <f t="shared" si="7"/>
        <v>188330</v>
      </c>
      <c r="L422" s="6">
        <f t="shared" si="8"/>
        <v>52465.49873</v>
      </c>
    </row>
    <row r="423">
      <c r="A423" s="4" t="s">
        <v>1170</v>
      </c>
      <c r="B423" s="4" t="s">
        <v>1171</v>
      </c>
      <c r="C423" s="4" t="s">
        <v>1172</v>
      </c>
      <c r="D423" s="5">
        <v>19603.0</v>
      </c>
      <c r="E423" s="6">
        <f t="shared" si="1"/>
        <v>5</v>
      </c>
      <c r="F423" s="6">
        <f t="shared" si="2"/>
        <v>53512</v>
      </c>
      <c r="G423" s="6">
        <f t="shared" si="3"/>
        <v>26189</v>
      </c>
      <c r="H423" s="6" t="str">
        <f t="shared" si="4"/>
        <v>F</v>
      </c>
      <c r="I423" s="6" t="str">
        <f t="shared" si="5"/>
        <v>Transformative change</v>
      </c>
      <c r="J423" s="6" t="str">
        <f t="shared" si="6"/>
        <v>Medium</v>
      </c>
      <c r="K423" s="6">
        <f t="shared" si="7"/>
        <v>3067151</v>
      </c>
      <c r="L423" s="6">
        <f t="shared" si="8"/>
        <v>2378382.129</v>
      </c>
    </row>
    <row r="424">
      <c r="A424" s="4" t="s">
        <v>1173</v>
      </c>
      <c r="B424" s="4" t="s">
        <v>1174</v>
      </c>
      <c r="C424" s="4" t="s">
        <v>74</v>
      </c>
      <c r="D424" s="5">
        <v>349060.0</v>
      </c>
      <c r="E424" s="6">
        <f t="shared" si="1"/>
        <v>1</v>
      </c>
      <c r="F424" s="6">
        <f t="shared" si="2"/>
        <v>46615</v>
      </c>
      <c r="G424" s="6">
        <f t="shared" si="3"/>
        <v>34926</v>
      </c>
      <c r="H424" s="6" t="str">
        <f t="shared" si="4"/>
        <v>A</v>
      </c>
      <c r="I424" s="6" t="str">
        <f t="shared" si="5"/>
        <v>Transformative change</v>
      </c>
      <c r="J424" s="6" t="str">
        <f t="shared" si="6"/>
        <v>Medium</v>
      </c>
      <c r="K424" s="6">
        <f t="shared" si="7"/>
        <v>1649417</v>
      </c>
      <c r="L424" s="6">
        <f t="shared" si="8"/>
        <v>1436293.968</v>
      </c>
    </row>
    <row r="425">
      <c r="A425" s="4" t="s">
        <v>1175</v>
      </c>
      <c r="B425" s="4" t="s">
        <v>1176</v>
      </c>
      <c r="C425" s="4" t="s">
        <v>1177</v>
      </c>
      <c r="D425" s="5">
        <v>66352.0</v>
      </c>
      <c r="E425" s="6">
        <f t="shared" si="1"/>
        <v>1</v>
      </c>
      <c r="F425" s="6">
        <f t="shared" si="2"/>
        <v>62991</v>
      </c>
      <c r="G425" s="6">
        <f t="shared" si="3"/>
        <v>29771</v>
      </c>
      <c r="H425" s="6" t="str">
        <f t="shared" si="4"/>
        <v>G</v>
      </c>
      <c r="I425" s="6" t="str">
        <f t="shared" si="5"/>
        <v>Transformative change</v>
      </c>
      <c r="J425" s="6" t="str">
        <f t="shared" si="6"/>
        <v>High</v>
      </c>
      <c r="K425" s="6">
        <f t="shared" si="7"/>
        <v>1706354</v>
      </c>
      <c r="L425" s="6">
        <f t="shared" si="8"/>
        <v>1472201.743</v>
      </c>
    </row>
    <row r="426">
      <c r="A426" s="4" t="s">
        <v>1178</v>
      </c>
      <c r="B426" s="4" t="s">
        <v>1179</v>
      </c>
      <c r="C426" s="4" t="s">
        <v>74</v>
      </c>
      <c r="D426" s="5">
        <v>8350.0</v>
      </c>
      <c r="E426" s="6">
        <f t="shared" si="1"/>
        <v>3</v>
      </c>
      <c r="F426" s="6">
        <f t="shared" si="2"/>
        <v>41736</v>
      </c>
      <c r="G426" s="6">
        <f t="shared" si="3"/>
        <v>2087</v>
      </c>
      <c r="H426" s="6" t="str">
        <f t="shared" si="4"/>
        <v>C</v>
      </c>
      <c r="I426" s="6" t="str">
        <f t="shared" si="5"/>
        <v>Transformative change</v>
      </c>
      <c r="J426" s="6" t="str">
        <f t="shared" si="6"/>
        <v>High</v>
      </c>
      <c r="K426" s="6">
        <f t="shared" si="7"/>
        <v>2175976</v>
      </c>
      <c r="L426" s="6">
        <f t="shared" si="8"/>
        <v>1154371.964</v>
      </c>
    </row>
    <row r="427">
      <c r="A427" s="4" t="s">
        <v>1180</v>
      </c>
      <c r="B427" s="4" t="s">
        <v>1181</v>
      </c>
      <c r="C427" s="4" t="s">
        <v>1182</v>
      </c>
      <c r="D427" s="5">
        <v>7531.0</v>
      </c>
      <c r="E427" s="6">
        <f t="shared" si="1"/>
        <v>5</v>
      </c>
      <c r="F427" s="6">
        <f t="shared" si="2"/>
        <v>59423</v>
      </c>
      <c r="G427" s="6">
        <f t="shared" si="3"/>
        <v>53792</v>
      </c>
      <c r="H427" s="6" t="str">
        <f t="shared" si="4"/>
        <v>A</v>
      </c>
      <c r="I427" s="6" t="str">
        <f t="shared" si="5"/>
        <v>Transformative change</v>
      </c>
      <c r="J427" s="6" t="str">
        <f t="shared" si="6"/>
        <v>Medium</v>
      </c>
      <c r="K427" s="6">
        <f t="shared" si="7"/>
        <v>872297</v>
      </c>
      <c r="L427" s="6">
        <f t="shared" si="8"/>
        <v>277291.2288</v>
      </c>
    </row>
    <row r="428">
      <c r="A428" s="4" t="s">
        <v>1183</v>
      </c>
      <c r="B428" s="4" t="s">
        <v>1184</v>
      </c>
      <c r="C428" s="4" t="s">
        <v>1185</v>
      </c>
      <c r="D428" s="5">
        <v>15188.0</v>
      </c>
      <c r="E428" s="6">
        <f t="shared" si="1"/>
        <v>3</v>
      </c>
      <c r="F428" s="6">
        <f t="shared" si="2"/>
        <v>81625</v>
      </c>
      <c r="G428" s="6">
        <f t="shared" si="3"/>
        <v>70479</v>
      </c>
      <c r="H428" s="6" t="str">
        <f t="shared" si="4"/>
        <v>C</v>
      </c>
      <c r="I428" s="6" t="str">
        <f t="shared" si="5"/>
        <v>Transformative change</v>
      </c>
      <c r="J428" s="6" t="str">
        <f t="shared" si="6"/>
        <v>Medium</v>
      </c>
      <c r="K428" s="6">
        <f t="shared" si="7"/>
        <v>2890217</v>
      </c>
      <c r="L428" s="6">
        <f t="shared" si="8"/>
        <v>1878116.69</v>
      </c>
    </row>
    <row r="429">
      <c r="A429" s="4" t="s">
        <v>1186</v>
      </c>
      <c r="B429" s="4" t="s">
        <v>1187</v>
      </c>
      <c r="C429" s="4" t="s">
        <v>74</v>
      </c>
      <c r="D429" s="5">
        <v>30767.0</v>
      </c>
      <c r="E429" s="6">
        <f t="shared" si="1"/>
        <v>2</v>
      </c>
      <c r="F429" s="6">
        <f t="shared" si="2"/>
        <v>92727</v>
      </c>
      <c r="G429" s="6">
        <f t="shared" si="3"/>
        <v>64718</v>
      </c>
      <c r="H429" s="6" t="str">
        <f t="shared" si="4"/>
        <v>G</v>
      </c>
      <c r="I429" s="6" t="str">
        <f t="shared" si="5"/>
        <v>Transformative change</v>
      </c>
      <c r="J429" s="6" t="str">
        <f t="shared" si="6"/>
        <v>Low</v>
      </c>
      <c r="K429" s="6">
        <f t="shared" si="7"/>
        <v>412786</v>
      </c>
      <c r="L429" s="6">
        <f t="shared" si="8"/>
        <v>262001.4564</v>
      </c>
    </row>
    <row r="430">
      <c r="A430" s="4" t="s">
        <v>1188</v>
      </c>
      <c r="B430" s="4" t="s">
        <v>1174</v>
      </c>
      <c r="C430" s="4" t="s">
        <v>1189</v>
      </c>
      <c r="D430" s="5">
        <v>8720.0</v>
      </c>
      <c r="E430" s="6">
        <f t="shared" si="1"/>
        <v>2</v>
      </c>
      <c r="F430" s="6">
        <f t="shared" si="2"/>
        <v>47002</v>
      </c>
      <c r="G430" s="6">
        <f t="shared" si="3"/>
        <v>33404</v>
      </c>
      <c r="H430" s="6" t="str">
        <f t="shared" si="4"/>
        <v>A</v>
      </c>
      <c r="I430" s="6" t="str">
        <f t="shared" si="5"/>
        <v>Transformative change</v>
      </c>
      <c r="J430" s="6" t="str">
        <f t="shared" si="6"/>
        <v>Low</v>
      </c>
      <c r="K430" s="6">
        <f t="shared" si="7"/>
        <v>537598</v>
      </c>
      <c r="L430" s="6">
        <f t="shared" si="8"/>
        <v>353302.7677</v>
      </c>
    </row>
    <row r="431">
      <c r="A431" s="4" t="s">
        <v>1190</v>
      </c>
      <c r="B431" s="4" t="s">
        <v>1191</v>
      </c>
      <c r="C431" s="4" t="s">
        <v>1192</v>
      </c>
      <c r="D431" s="5">
        <v>5872.0</v>
      </c>
      <c r="E431" s="6">
        <f t="shared" si="1"/>
        <v>5</v>
      </c>
      <c r="F431" s="6">
        <f t="shared" si="2"/>
        <v>88490</v>
      </c>
      <c r="G431" s="6">
        <f t="shared" si="3"/>
        <v>8357</v>
      </c>
      <c r="H431" s="6" t="str">
        <f t="shared" si="4"/>
        <v>B</v>
      </c>
      <c r="I431" s="6" t="str">
        <f t="shared" si="5"/>
        <v>Transformative change</v>
      </c>
      <c r="J431" s="6" t="str">
        <f t="shared" si="6"/>
        <v>High</v>
      </c>
      <c r="K431" s="6">
        <f t="shared" si="7"/>
        <v>528990</v>
      </c>
      <c r="L431" s="6">
        <f t="shared" si="8"/>
        <v>325250.9543</v>
      </c>
    </row>
    <row r="432">
      <c r="A432" s="4" t="s">
        <v>1193</v>
      </c>
      <c r="B432" s="4" t="s">
        <v>1194</v>
      </c>
      <c r="C432" s="4" t="s">
        <v>74</v>
      </c>
      <c r="D432" s="5">
        <v>17068.0</v>
      </c>
      <c r="E432" s="6">
        <f t="shared" si="1"/>
        <v>3</v>
      </c>
      <c r="F432" s="6">
        <f t="shared" si="2"/>
        <v>41661</v>
      </c>
      <c r="G432" s="6">
        <f t="shared" si="3"/>
        <v>8535</v>
      </c>
      <c r="H432" s="6" t="str">
        <f t="shared" si="4"/>
        <v>E</v>
      </c>
      <c r="I432" s="6" t="str">
        <f t="shared" si="5"/>
        <v>Transformative change</v>
      </c>
      <c r="J432" s="6" t="str">
        <f t="shared" si="6"/>
        <v>High</v>
      </c>
      <c r="K432" s="6">
        <f t="shared" si="7"/>
        <v>972803</v>
      </c>
      <c r="L432" s="6">
        <f t="shared" si="8"/>
        <v>781299.6851</v>
      </c>
    </row>
    <row r="433">
      <c r="A433" s="4" t="s">
        <v>1195</v>
      </c>
      <c r="B433" s="4" t="s">
        <v>1196</v>
      </c>
      <c r="C433" s="4" t="s">
        <v>1197</v>
      </c>
      <c r="D433" s="5">
        <v>11905.0</v>
      </c>
      <c r="E433" s="6">
        <f t="shared" si="1"/>
        <v>4</v>
      </c>
      <c r="F433" s="6">
        <f t="shared" si="2"/>
        <v>41389</v>
      </c>
      <c r="G433" s="6">
        <f t="shared" si="3"/>
        <v>32215</v>
      </c>
      <c r="H433" s="6" t="str">
        <f t="shared" si="4"/>
        <v>D</v>
      </c>
      <c r="I433" s="6" t="str">
        <f t="shared" si="5"/>
        <v>Transformative change</v>
      </c>
      <c r="J433" s="6" t="str">
        <f t="shared" si="6"/>
        <v>High</v>
      </c>
      <c r="K433" s="6">
        <f t="shared" si="7"/>
        <v>1780401</v>
      </c>
      <c r="L433" s="6">
        <f t="shared" si="8"/>
        <v>1249904.382</v>
      </c>
    </row>
    <row r="434">
      <c r="A434" s="4" t="s">
        <v>1198</v>
      </c>
      <c r="B434" s="4" t="s">
        <v>1199</v>
      </c>
      <c r="C434" s="4" t="s">
        <v>1200</v>
      </c>
      <c r="D434" s="5">
        <v>7566.0</v>
      </c>
      <c r="E434" s="6">
        <f t="shared" si="1"/>
        <v>2</v>
      </c>
      <c r="F434" s="6">
        <f t="shared" si="2"/>
        <v>79235</v>
      </c>
      <c r="G434" s="6">
        <f t="shared" si="3"/>
        <v>3914</v>
      </c>
      <c r="H434" s="6" t="str">
        <f t="shared" si="4"/>
        <v>A</v>
      </c>
      <c r="I434" s="6" t="str">
        <f t="shared" si="5"/>
        <v>Transformative change</v>
      </c>
      <c r="J434" s="6" t="str">
        <f t="shared" si="6"/>
        <v>High</v>
      </c>
      <c r="K434" s="6">
        <f t="shared" si="7"/>
        <v>2218675</v>
      </c>
      <c r="L434" s="6">
        <f t="shared" si="8"/>
        <v>374079.3393</v>
      </c>
    </row>
    <row r="435">
      <c r="A435" s="4" t="s">
        <v>1201</v>
      </c>
      <c r="B435" s="4" t="s">
        <v>1202</v>
      </c>
      <c r="C435" s="4" t="s">
        <v>1203</v>
      </c>
      <c r="D435" s="5">
        <v>734141.0</v>
      </c>
      <c r="E435" s="6">
        <f t="shared" si="1"/>
        <v>3</v>
      </c>
      <c r="F435" s="6">
        <f t="shared" si="2"/>
        <v>89550</v>
      </c>
      <c r="G435" s="6">
        <f t="shared" si="3"/>
        <v>34386</v>
      </c>
      <c r="H435" s="6" t="str">
        <f t="shared" si="4"/>
        <v>G</v>
      </c>
      <c r="I435" s="6" t="str">
        <f t="shared" si="5"/>
        <v>Transformative change</v>
      </c>
      <c r="J435" s="6" t="str">
        <f t="shared" si="6"/>
        <v>Medium</v>
      </c>
      <c r="K435" s="6">
        <f t="shared" si="7"/>
        <v>3372752</v>
      </c>
      <c r="L435" s="6">
        <f t="shared" si="8"/>
        <v>2662123.914</v>
      </c>
    </row>
    <row r="436">
      <c r="A436" s="4" t="s">
        <v>1204</v>
      </c>
      <c r="B436" s="4" t="s">
        <v>1205</v>
      </c>
      <c r="C436" s="4" t="s">
        <v>74</v>
      </c>
      <c r="D436" s="5">
        <v>866873.0</v>
      </c>
      <c r="E436" s="6">
        <f t="shared" si="1"/>
        <v>3</v>
      </c>
      <c r="F436" s="6">
        <f t="shared" si="2"/>
        <v>67405</v>
      </c>
      <c r="G436" s="6">
        <f t="shared" si="3"/>
        <v>13855</v>
      </c>
      <c r="H436" s="6" t="str">
        <f t="shared" si="4"/>
        <v>C</v>
      </c>
      <c r="I436" s="6" t="str">
        <f t="shared" si="5"/>
        <v>Transformative change</v>
      </c>
      <c r="J436" s="6" t="str">
        <f t="shared" si="6"/>
        <v>Low</v>
      </c>
      <c r="K436" s="6">
        <f t="shared" si="7"/>
        <v>558122</v>
      </c>
      <c r="L436" s="6">
        <f t="shared" si="8"/>
        <v>220946.808</v>
      </c>
    </row>
    <row r="437">
      <c r="A437" s="4" t="s">
        <v>1206</v>
      </c>
      <c r="B437" s="4" t="s">
        <v>1207</v>
      </c>
      <c r="C437" s="4" t="s">
        <v>1208</v>
      </c>
      <c r="D437" s="5">
        <v>44856.0</v>
      </c>
      <c r="E437" s="6">
        <f t="shared" si="1"/>
        <v>4</v>
      </c>
      <c r="F437" s="6">
        <f t="shared" si="2"/>
        <v>28859</v>
      </c>
      <c r="G437" s="6">
        <f t="shared" si="3"/>
        <v>15087</v>
      </c>
      <c r="H437" s="6" t="str">
        <f t="shared" si="4"/>
        <v>C</v>
      </c>
      <c r="I437" s="6" t="str">
        <f t="shared" si="5"/>
        <v>Transformative change</v>
      </c>
      <c r="J437" s="6" t="str">
        <f t="shared" si="6"/>
        <v>High</v>
      </c>
      <c r="K437" s="6">
        <f t="shared" si="7"/>
        <v>1708912</v>
      </c>
      <c r="L437" s="6">
        <f t="shared" si="8"/>
        <v>1706891.064</v>
      </c>
    </row>
    <row r="438">
      <c r="A438" s="4" t="s">
        <v>1209</v>
      </c>
      <c r="B438" s="4" t="s">
        <v>1210</v>
      </c>
      <c r="C438" s="4" t="s">
        <v>1211</v>
      </c>
      <c r="D438" s="5">
        <v>79811.0</v>
      </c>
      <c r="E438" s="6">
        <f t="shared" si="1"/>
        <v>1</v>
      </c>
      <c r="F438" s="6">
        <f t="shared" si="2"/>
        <v>40563</v>
      </c>
      <c r="G438" s="6">
        <f t="shared" si="3"/>
        <v>9281</v>
      </c>
      <c r="H438" s="6" t="str">
        <f t="shared" si="4"/>
        <v>A</v>
      </c>
      <c r="I438" s="6" t="str">
        <f t="shared" si="5"/>
        <v>High ambition</v>
      </c>
      <c r="J438" s="6" t="str">
        <f t="shared" si="6"/>
        <v>Low</v>
      </c>
      <c r="K438" s="6">
        <f t="shared" si="7"/>
        <v>1839004</v>
      </c>
      <c r="L438" s="6">
        <f t="shared" si="8"/>
        <v>1181156.573</v>
      </c>
    </row>
    <row r="439">
      <c r="A439" s="4" t="s">
        <v>1212</v>
      </c>
      <c r="B439" s="4" t="s">
        <v>1213</v>
      </c>
      <c r="C439" s="4" t="s">
        <v>1214</v>
      </c>
      <c r="D439" s="5">
        <v>7761.0</v>
      </c>
      <c r="E439" s="6">
        <f t="shared" si="1"/>
        <v>5</v>
      </c>
      <c r="F439" s="6">
        <f t="shared" si="2"/>
        <v>80222</v>
      </c>
      <c r="G439" s="6">
        <f t="shared" si="3"/>
        <v>8704</v>
      </c>
      <c r="H439" s="6" t="str">
        <f t="shared" si="4"/>
        <v>F</v>
      </c>
      <c r="I439" s="6" t="str">
        <f t="shared" si="5"/>
        <v>Transformative change</v>
      </c>
      <c r="J439" s="6" t="str">
        <f t="shared" si="6"/>
        <v>Medium</v>
      </c>
      <c r="K439" s="6">
        <f t="shared" si="7"/>
        <v>3062750</v>
      </c>
      <c r="L439" s="6">
        <f t="shared" si="8"/>
        <v>2861623.605</v>
      </c>
    </row>
    <row r="440">
      <c r="A440" s="4" t="s">
        <v>1215</v>
      </c>
      <c r="B440" s="4" t="s">
        <v>1216</v>
      </c>
      <c r="C440" s="4" t="s">
        <v>74</v>
      </c>
      <c r="D440" s="5">
        <v>8653.0</v>
      </c>
      <c r="E440" s="6">
        <f t="shared" si="1"/>
        <v>5</v>
      </c>
      <c r="F440" s="6">
        <f t="shared" si="2"/>
        <v>3909</v>
      </c>
      <c r="G440" s="6">
        <f t="shared" si="3"/>
        <v>57065</v>
      </c>
      <c r="H440" s="6" t="str">
        <f t="shared" si="4"/>
        <v>G</v>
      </c>
      <c r="I440" s="6" t="str">
        <f t="shared" si="5"/>
        <v>Transformative change</v>
      </c>
      <c r="J440" s="6" t="str">
        <f t="shared" si="6"/>
        <v>High</v>
      </c>
      <c r="K440" s="6">
        <f t="shared" si="7"/>
        <v>371967</v>
      </c>
      <c r="L440" s="6">
        <f t="shared" si="8"/>
        <v>95398.63959</v>
      </c>
    </row>
    <row r="441">
      <c r="A441" s="4" t="s">
        <v>1217</v>
      </c>
      <c r="B441" s="4" t="s">
        <v>1218</v>
      </c>
      <c r="C441" s="4" t="s">
        <v>1219</v>
      </c>
      <c r="D441" s="5">
        <v>7791.0</v>
      </c>
      <c r="E441" s="6">
        <f t="shared" si="1"/>
        <v>3</v>
      </c>
      <c r="F441" s="6">
        <f t="shared" si="2"/>
        <v>18755</v>
      </c>
      <c r="G441" s="6">
        <f t="shared" si="3"/>
        <v>31737</v>
      </c>
      <c r="H441" s="6" t="str">
        <f t="shared" si="4"/>
        <v>A</v>
      </c>
      <c r="I441" s="6" t="str">
        <f t="shared" si="5"/>
        <v>Transformative change</v>
      </c>
      <c r="J441" s="6" t="str">
        <f t="shared" si="6"/>
        <v>High</v>
      </c>
      <c r="K441" s="6">
        <f t="shared" si="7"/>
        <v>875958</v>
      </c>
      <c r="L441" s="6">
        <f t="shared" si="8"/>
        <v>793897.6368</v>
      </c>
    </row>
    <row r="442">
      <c r="A442" s="4" t="s">
        <v>1220</v>
      </c>
      <c r="B442" s="4" t="s">
        <v>1221</v>
      </c>
      <c r="C442" s="4" t="s">
        <v>1222</v>
      </c>
      <c r="D442" s="5">
        <v>17131.0</v>
      </c>
      <c r="E442" s="6">
        <f t="shared" si="1"/>
        <v>5</v>
      </c>
      <c r="F442" s="6">
        <f t="shared" si="2"/>
        <v>26002</v>
      </c>
      <c r="G442" s="6">
        <f t="shared" si="3"/>
        <v>50609</v>
      </c>
      <c r="H442" s="6" t="str">
        <f t="shared" si="4"/>
        <v>A</v>
      </c>
      <c r="I442" s="6" t="str">
        <f t="shared" si="5"/>
        <v>Transformative change</v>
      </c>
      <c r="J442" s="6" t="str">
        <f t="shared" si="6"/>
        <v>Low</v>
      </c>
      <c r="K442" s="6">
        <f t="shared" si="7"/>
        <v>2641263</v>
      </c>
      <c r="L442" s="6">
        <f t="shared" si="8"/>
        <v>1789130.825</v>
      </c>
    </row>
    <row r="443">
      <c r="A443" s="4" t="s">
        <v>1223</v>
      </c>
      <c r="B443" s="4" t="s">
        <v>1224</v>
      </c>
      <c r="C443" s="4" t="s">
        <v>1225</v>
      </c>
      <c r="D443" s="5">
        <v>483341.0</v>
      </c>
      <c r="E443" s="6">
        <f t="shared" si="1"/>
        <v>4</v>
      </c>
      <c r="F443" s="6">
        <f t="shared" si="2"/>
        <v>45943</v>
      </c>
      <c r="G443" s="6">
        <f t="shared" si="3"/>
        <v>7297</v>
      </c>
      <c r="H443" s="6" t="str">
        <f t="shared" si="4"/>
        <v>B</v>
      </c>
      <c r="I443" s="6" t="str">
        <f t="shared" si="5"/>
        <v>Transformative change</v>
      </c>
      <c r="J443" s="6" t="str">
        <f t="shared" si="6"/>
        <v>Medium</v>
      </c>
      <c r="K443" s="6">
        <f t="shared" si="7"/>
        <v>2817858</v>
      </c>
      <c r="L443" s="6">
        <f t="shared" si="8"/>
        <v>1774574.439</v>
      </c>
    </row>
    <row r="444">
      <c r="A444" s="4" t="s">
        <v>1226</v>
      </c>
      <c r="B444" s="4" t="s">
        <v>1227</v>
      </c>
      <c r="C444" s="4" t="s">
        <v>1228</v>
      </c>
      <c r="D444" s="5">
        <v>7144.0</v>
      </c>
      <c r="E444" s="6">
        <f t="shared" si="1"/>
        <v>1</v>
      </c>
      <c r="F444" s="6">
        <f t="shared" si="2"/>
        <v>40753</v>
      </c>
      <c r="G444" s="6">
        <f t="shared" si="3"/>
        <v>23610</v>
      </c>
      <c r="H444" s="6" t="str">
        <f t="shared" si="4"/>
        <v>D</v>
      </c>
      <c r="I444" s="6" t="str">
        <f t="shared" si="5"/>
        <v>Transformative change</v>
      </c>
      <c r="J444" s="6" t="str">
        <f t="shared" si="6"/>
        <v>High</v>
      </c>
      <c r="K444" s="6">
        <f t="shared" si="7"/>
        <v>2768534</v>
      </c>
      <c r="L444" s="6">
        <f t="shared" si="8"/>
        <v>154550.8688</v>
      </c>
    </row>
    <row r="445">
      <c r="A445" s="4" t="s">
        <v>201</v>
      </c>
      <c r="B445" s="4" t="s">
        <v>1229</v>
      </c>
      <c r="C445" s="4" t="s">
        <v>1230</v>
      </c>
      <c r="D445" s="5">
        <v>91903.0</v>
      </c>
      <c r="E445" s="6">
        <f t="shared" si="1"/>
        <v>5</v>
      </c>
      <c r="F445" s="6">
        <f t="shared" si="2"/>
        <v>23718</v>
      </c>
      <c r="G445" s="6">
        <f t="shared" si="3"/>
        <v>7746</v>
      </c>
      <c r="H445" s="6" t="str">
        <f t="shared" si="4"/>
        <v>D</v>
      </c>
      <c r="I445" s="6" t="str">
        <f t="shared" si="5"/>
        <v>High ambition</v>
      </c>
      <c r="J445" s="6" t="str">
        <f t="shared" si="6"/>
        <v>High</v>
      </c>
      <c r="K445" s="6">
        <f t="shared" si="7"/>
        <v>2668160</v>
      </c>
      <c r="L445" s="6">
        <f t="shared" si="8"/>
        <v>2386878.45</v>
      </c>
    </row>
    <row r="446">
      <c r="A446" s="4" t="s">
        <v>1231</v>
      </c>
      <c r="B446" s="4" t="s">
        <v>1232</v>
      </c>
      <c r="C446" s="4" t="s">
        <v>74</v>
      </c>
      <c r="D446" s="5">
        <v>10233.0</v>
      </c>
      <c r="E446" s="6">
        <f t="shared" si="1"/>
        <v>2</v>
      </c>
      <c r="F446" s="6">
        <f t="shared" si="2"/>
        <v>93863</v>
      </c>
      <c r="G446" s="6">
        <f t="shared" si="3"/>
        <v>37900</v>
      </c>
      <c r="H446" s="6" t="str">
        <f t="shared" si="4"/>
        <v>D</v>
      </c>
      <c r="I446" s="6" t="str">
        <f t="shared" si="5"/>
        <v>Transformative change</v>
      </c>
      <c r="J446" s="6" t="str">
        <f t="shared" si="6"/>
        <v>Medium</v>
      </c>
      <c r="K446" s="6">
        <f t="shared" si="7"/>
        <v>2789559</v>
      </c>
      <c r="L446" s="6">
        <f t="shared" si="8"/>
        <v>275604.3888</v>
      </c>
    </row>
    <row r="447">
      <c r="A447" s="4" t="s">
        <v>1233</v>
      </c>
      <c r="B447" s="4" t="s">
        <v>1234</v>
      </c>
      <c r="C447" s="4" t="s">
        <v>1235</v>
      </c>
      <c r="D447" s="5">
        <v>18442.0</v>
      </c>
      <c r="E447" s="6">
        <f t="shared" si="1"/>
        <v>3</v>
      </c>
      <c r="F447" s="6">
        <f t="shared" si="2"/>
        <v>59503</v>
      </c>
      <c r="G447" s="6">
        <f t="shared" si="3"/>
        <v>23421</v>
      </c>
      <c r="H447" s="6" t="str">
        <f t="shared" si="4"/>
        <v>D</v>
      </c>
      <c r="I447" s="6" t="str">
        <f t="shared" si="5"/>
        <v>High ambition</v>
      </c>
      <c r="J447" s="6" t="str">
        <f t="shared" si="6"/>
        <v>Medium</v>
      </c>
      <c r="K447" s="6">
        <f t="shared" si="7"/>
        <v>1962705</v>
      </c>
      <c r="L447" s="6">
        <f t="shared" si="8"/>
        <v>1391051.133</v>
      </c>
    </row>
    <row r="448">
      <c r="A448" s="4" t="s">
        <v>1236</v>
      </c>
      <c r="B448" s="4" t="s">
        <v>1237</v>
      </c>
      <c r="C448" s="4" t="s">
        <v>1238</v>
      </c>
      <c r="D448" s="5">
        <v>65892.0</v>
      </c>
      <c r="E448" s="6">
        <f t="shared" si="1"/>
        <v>2</v>
      </c>
      <c r="F448" s="6">
        <f t="shared" si="2"/>
        <v>4705</v>
      </c>
      <c r="G448" s="6">
        <f t="shared" si="3"/>
        <v>61846</v>
      </c>
      <c r="H448" s="6" t="str">
        <f t="shared" si="4"/>
        <v>E</v>
      </c>
      <c r="I448" s="6" t="str">
        <f t="shared" si="5"/>
        <v>Transformative change</v>
      </c>
      <c r="J448" s="6" t="str">
        <f t="shared" si="6"/>
        <v>Low</v>
      </c>
      <c r="K448" s="6">
        <f t="shared" si="7"/>
        <v>523978</v>
      </c>
      <c r="L448" s="6">
        <f t="shared" si="8"/>
        <v>333446.1361</v>
      </c>
    </row>
    <row r="449">
      <c r="A449" s="4" t="s">
        <v>1239</v>
      </c>
      <c r="B449" s="4" t="s">
        <v>1240</v>
      </c>
      <c r="C449" s="4" t="s">
        <v>74</v>
      </c>
      <c r="D449" s="5">
        <v>12813.0</v>
      </c>
      <c r="E449" s="6">
        <f t="shared" si="1"/>
        <v>2</v>
      </c>
      <c r="F449" s="6">
        <f t="shared" si="2"/>
        <v>41190</v>
      </c>
      <c r="G449" s="6">
        <f t="shared" si="3"/>
        <v>44070</v>
      </c>
      <c r="H449" s="6" t="str">
        <f t="shared" si="4"/>
        <v>C</v>
      </c>
      <c r="I449" s="6" t="str">
        <f t="shared" si="5"/>
        <v>Transformative change</v>
      </c>
      <c r="J449" s="6" t="str">
        <f t="shared" si="6"/>
        <v>Medium</v>
      </c>
      <c r="K449" s="6">
        <f t="shared" si="7"/>
        <v>222169</v>
      </c>
      <c r="L449" s="6">
        <f t="shared" si="8"/>
        <v>91980.93545</v>
      </c>
    </row>
    <row r="450">
      <c r="A450" s="4" t="s">
        <v>302</v>
      </c>
      <c r="B450" s="4" t="s">
        <v>1241</v>
      </c>
      <c r="C450" s="4" t="s">
        <v>1242</v>
      </c>
      <c r="D450" s="5">
        <v>18154.0</v>
      </c>
      <c r="E450" s="6">
        <f t="shared" si="1"/>
        <v>4</v>
      </c>
      <c r="F450" s="6">
        <f t="shared" si="2"/>
        <v>60658</v>
      </c>
      <c r="G450" s="6">
        <f t="shared" si="3"/>
        <v>10893</v>
      </c>
      <c r="H450" s="6" t="str">
        <f t="shared" si="4"/>
        <v>F</v>
      </c>
      <c r="I450" s="6" t="str">
        <f t="shared" si="5"/>
        <v>Transformative change</v>
      </c>
      <c r="J450" s="6" t="str">
        <f t="shared" si="6"/>
        <v>Medium</v>
      </c>
      <c r="K450" s="6">
        <f t="shared" si="7"/>
        <v>2457983</v>
      </c>
      <c r="L450" s="6">
        <f t="shared" si="8"/>
        <v>1010952.657</v>
      </c>
    </row>
    <row r="451">
      <c r="A451" s="4" t="s">
        <v>1243</v>
      </c>
      <c r="B451" s="4" t="s">
        <v>1244</v>
      </c>
      <c r="C451" s="4" t="s">
        <v>726</v>
      </c>
      <c r="D451" s="5">
        <v>26442.0</v>
      </c>
      <c r="E451" s="6">
        <f t="shared" si="1"/>
        <v>4</v>
      </c>
      <c r="F451" s="6">
        <f t="shared" si="2"/>
        <v>33071</v>
      </c>
      <c r="G451" s="6">
        <f t="shared" si="3"/>
        <v>21790</v>
      </c>
      <c r="H451" s="6" t="str">
        <f t="shared" si="4"/>
        <v>D</v>
      </c>
      <c r="I451" s="6" t="str">
        <f t="shared" si="5"/>
        <v>Transformative change</v>
      </c>
      <c r="J451" s="6" t="str">
        <f t="shared" si="6"/>
        <v>Low</v>
      </c>
      <c r="K451" s="6">
        <f t="shared" si="7"/>
        <v>3263734</v>
      </c>
      <c r="L451" s="6">
        <f t="shared" si="8"/>
        <v>895442.5011</v>
      </c>
    </row>
    <row r="452">
      <c r="A452" s="4" t="s">
        <v>1245</v>
      </c>
      <c r="B452" s="4" t="s">
        <v>1246</v>
      </c>
      <c r="C452" s="4" t="s">
        <v>1247</v>
      </c>
      <c r="D452" s="5">
        <v>15098.0</v>
      </c>
      <c r="E452" s="6">
        <f t="shared" si="1"/>
        <v>3</v>
      </c>
      <c r="F452" s="6">
        <f t="shared" si="2"/>
        <v>48877</v>
      </c>
      <c r="G452" s="6">
        <f t="shared" si="3"/>
        <v>43461</v>
      </c>
      <c r="H452" s="6" t="str">
        <f t="shared" si="4"/>
        <v>A</v>
      </c>
      <c r="I452" s="6" t="str">
        <f t="shared" si="5"/>
        <v>High ambition</v>
      </c>
      <c r="J452" s="6" t="str">
        <f t="shared" si="6"/>
        <v>Low</v>
      </c>
      <c r="K452" s="6">
        <f t="shared" si="7"/>
        <v>259970</v>
      </c>
      <c r="L452" s="6">
        <f t="shared" si="8"/>
        <v>153695.5052</v>
      </c>
    </row>
    <row r="453">
      <c r="A453" s="4" t="s">
        <v>1248</v>
      </c>
      <c r="B453" s="4" t="s">
        <v>1249</v>
      </c>
      <c r="C453" s="4" t="s">
        <v>1250</v>
      </c>
      <c r="D453" s="5">
        <v>14110.0</v>
      </c>
      <c r="E453" s="6">
        <f t="shared" si="1"/>
        <v>1</v>
      </c>
      <c r="F453" s="6">
        <f t="shared" si="2"/>
        <v>13704</v>
      </c>
      <c r="G453" s="6">
        <f t="shared" si="3"/>
        <v>900</v>
      </c>
      <c r="H453" s="6" t="str">
        <f t="shared" si="4"/>
        <v>C</v>
      </c>
      <c r="I453" s="6" t="str">
        <f t="shared" si="5"/>
        <v>Transformative change</v>
      </c>
      <c r="J453" s="6" t="str">
        <f t="shared" si="6"/>
        <v>Low</v>
      </c>
      <c r="K453" s="6">
        <f t="shared" si="7"/>
        <v>95731</v>
      </c>
      <c r="L453" s="6">
        <f t="shared" si="8"/>
        <v>3544.44824</v>
      </c>
    </row>
    <row r="454">
      <c r="A454" s="4" t="s">
        <v>1251</v>
      </c>
      <c r="B454" s="4" t="s">
        <v>1252</v>
      </c>
      <c r="C454" s="4" t="s">
        <v>1253</v>
      </c>
      <c r="D454" s="5">
        <v>16620.0</v>
      </c>
      <c r="E454" s="6">
        <f t="shared" si="1"/>
        <v>5</v>
      </c>
      <c r="F454" s="6">
        <f t="shared" si="2"/>
        <v>6514</v>
      </c>
      <c r="G454" s="6">
        <f t="shared" si="3"/>
        <v>7697</v>
      </c>
      <c r="H454" s="6" t="str">
        <f t="shared" si="4"/>
        <v>C</v>
      </c>
      <c r="I454" s="6" t="str">
        <f t="shared" si="5"/>
        <v>High ambition</v>
      </c>
      <c r="J454" s="6" t="str">
        <f t="shared" si="6"/>
        <v>Medium</v>
      </c>
      <c r="K454" s="6">
        <f t="shared" si="7"/>
        <v>3989171</v>
      </c>
      <c r="L454" s="6">
        <f t="shared" si="8"/>
        <v>2008770.748</v>
      </c>
    </row>
    <row r="455">
      <c r="A455" s="4" t="s">
        <v>1254</v>
      </c>
      <c r="B455" s="4" t="s">
        <v>1255</v>
      </c>
      <c r="C455" s="4" t="s">
        <v>74</v>
      </c>
      <c r="D455" s="5">
        <v>40659.0</v>
      </c>
      <c r="E455" s="6">
        <f t="shared" si="1"/>
        <v>3</v>
      </c>
      <c r="F455" s="6">
        <f t="shared" si="2"/>
        <v>82737</v>
      </c>
      <c r="G455" s="6">
        <f t="shared" si="3"/>
        <v>19892</v>
      </c>
      <c r="H455" s="6" t="str">
        <f t="shared" si="4"/>
        <v>F</v>
      </c>
      <c r="I455" s="6" t="str">
        <f t="shared" si="5"/>
        <v>Transformative change</v>
      </c>
      <c r="J455" s="6" t="str">
        <f t="shared" si="6"/>
        <v>Low</v>
      </c>
      <c r="K455" s="6">
        <f t="shared" si="7"/>
        <v>1455252</v>
      </c>
      <c r="L455" s="6">
        <f t="shared" si="8"/>
        <v>1406117.673</v>
      </c>
    </row>
    <row r="456">
      <c r="A456" s="4" t="s">
        <v>1256</v>
      </c>
      <c r="B456" s="4" t="s">
        <v>1257</v>
      </c>
      <c r="C456" s="4" t="s">
        <v>1258</v>
      </c>
      <c r="D456" s="5">
        <v>19547.0</v>
      </c>
      <c r="E456" s="6">
        <f t="shared" si="1"/>
        <v>3</v>
      </c>
      <c r="F456" s="6">
        <f t="shared" si="2"/>
        <v>92385</v>
      </c>
      <c r="G456" s="6">
        <f t="shared" si="3"/>
        <v>28131</v>
      </c>
      <c r="H456" s="6" t="str">
        <f t="shared" si="4"/>
        <v>G</v>
      </c>
      <c r="I456" s="6" t="str">
        <f t="shared" si="5"/>
        <v>High ambition</v>
      </c>
      <c r="J456" s="6" t="str">
        <f t="shared" si="6"/>
        <v>Medium</v>
      </c>
      <c r="K456" s="6">
        <f t="shared" si="7"/>
        <v>3297246</v>
      </c>
      <c r="L456" s="6">
        <f t="shared" si="8"/>
        <v>307122.3837</v>
      </c>
    </row>
    <row r="457">
      <c r="A457" s="4" t="s">
        <v>1259</v>
      </c>
      <c r="B457" s="4" t="s">
        <v>1260</v>
      </c>
      <c r="C457" s="4" t="s">
        <v>1261</v>
      </c>
      <c r="D457" s="5">
        <v>18807.0</v>
      </c>
      <c r="E457" s="6">
        <f t="shared" si="1"/>
        <v>1</v>
      </c>
      <c r="F457" s="6">
        <f t="shared" si="2"/>
        <v>9663</v>
      </c>
      <c r="G457" s="6">
        <f t="shared" si="3"/>
        <v>56196</v>
      </c>
      <c r="H457" s="6" t="str">
        <f t="shared" si="4"/>
        <v>E</v>
      </c>
      <c r="I457" s="6" t="str">
        <f t="shared" si="5"/>
        <v>Transformative change</v>
      </c>
      <c r="J457" s="6" t="str">
        <f t="shared" si="6"/>
        <v>Medium</v>
      </c>
      <c r="K457" s="6">
        <f t="shared" si="7"/>
        <v>3368732</v>
      </c>
      <c r="L457" s="6">
        <f t="shared" si="8"/>
        <v>2862070.705</v>
      </c>
    </row>
    <row r="458">
      <c r="A458" s="4" t="s">
        <v>1262</v>
      </c>
      <c r="B458" s="4" t="s">
        <v>1263</v>
      </c>
      <c r="C458" s="4" t="s">
        <v>455</v>
      </c>
      <c r="D458" s="5">
        <v>90526.0</v>
      </c>
      <c r="E458" s="6">
        <f t="shared" si="1"/>
        <v>5</v>
      </c>
      <c r="F458" s="6">
        <f t="shared" si="2"/>
        <v>21075</v>
      </c>
      <c r="G458" s="6">
        <f t="shared" si="3"/>
        <v>54128</v>
      </c>
      <c r="H458" s="6" t="str">
        <f t="shared" si="4"/>
        <v>B</v>
      </c>
      <c r="I458" s="6" t="str">
        <f t="shared" si="5"/>
        <v>Transformative change</v>
      </c>
      <c r="J458" s="6" t="str">
        <f t="shared" si="6"/>
        <v>High</v>
      </c>
      <c r="K458" s="6">
        <f t="shared" si="7"/>
        <v>1162849</v>
      </c>
      <c r="L458" s="6">
        <f t="shared" si="8"/>
        <v>700414.7247</v>
      </c>
    </row>
    <row r="459">
      <c r="A459" s="4" t="s">
        <v>1264</v>
      </c>
      <c r="B459" s="4" t="s">
        <v>1265</v>
      </c>
      <c r="C459" s="4" t="s">
        <v>74</v>
      </c>
      <c r="D459" s="5">
        <v>24582.0</v>
      </c>
      <c r="E459" s="6">
        <f t="shared" si="1"/>
        <v>2</v>
      </c>
      <c r="F459" s="6">
        <f t="shared" si="2"/>
        <v>35537</v>
      </c>
      <c r="G459" s="6">
        <f t="shared" si="3"/>
        <v>32812</v>
      </c>
      <c r="H459" s="6" t="str">
        <f t="shared" si="4"/>
        <v>D</v>
      </c>
      <c r="I459" s="6" t="str">
        <f t="shared" si="5"/>
        <v>Transformative change</v>
      </c>
      <c r="J459" s="6" t="str">
        <f t="shared" si="6"/>
        <v>Low</v>
      </c>
      <c r="K459" s="6">
        <f t="shared" si="7"/>
        <v>475489</v>
      </c>
      <c r="L459" s="6">
        <f t="shared" si="8"/>
        <v>226865.4501</v>
      </c>
    </row>
    <row r="460">
      <c r="A460" s="4" t="s">
        <v>1266</v>
      </c>
      <c r="B460" s="4" t="s">
        <v>1267</v>
      </c>
      <c r="C460" s="4" t="s">
        <v>74</v>
      </c>
      <c r="D460" s="5">
        <v>7169.0</v>
      </c>
      <c r="E460" s="6">
        <f t="shared" si="1"/>
        <v>2</v>
      </c>
      <c r="F460" s="6">
        <f t="shared" si="2"/>
        <v>68504</v>
      </c>
      <c r="G460" s="6">
        <f t="shared" si="3"/>
        <v>6494</v>
      </c>
      <c r="H460" s="6" t="str">
        <f t="shared" si="4"/>
        <v>E</v>
      </c>
      <c r="I460" s="6" t="str">
        <f t="shared" si="5"/>
        <v>Transformative change</v>
      </c>
      <c r="J460" s="6" t="str">
        <f t="shared" si="6"/>
        <v>Medium</v>
      </c>
      <c r="K460" s="6">
        <f t="shared" si="7"/>
        <v>3339163</v>
      </c>
      <c r="L460" s="6">
        <f t="shared" si="8"/>
        <v>3251920.145</v>
      </c>
    </row>
    <row r="461">
      <c r="A461" s="4" t="s">
        <v>1268</v>
      </c>
      <c r="B461" s="4" t="s">
        <v>1269</v>
      </c>
      <c r="C461" s="4" t="s">
        <v>1270</v>
      </c>
      <c r="D461" s="5">
        <v>9052.0</v>
      </c>
      <c r="E461" s="6">
        <f t="shared" si="1"/>
        <v>5</v>
      </c>
      <c r="F461" s="6">
        <f t="shared" si="2"/>
        <v>36623</v>
      </c>
      <c r="G461" s="6">
        <f t="shared" si="3"/>
        <v>30648</v>
      </c>
      <c r="H461" s="6" t="str">
        <f t="shared" si="4"/>
        <v>A</v>
      </c>
      <c r="I461" s="6" t="str">
        <f t="shared" si="5"/>
        <v>Transformative change</v>
      </c>
      <c r="J461" s="6" t="str">
        <f t="shared" si="6"/>
        <v>High</v>
      </c>
      <c r="K461" s="6">
        <f t="shared" si="7"/>
        <v>3574257</v>
      </c>
      <c r="L461" s="6">
        <f t="shared" si="8"/>
        <v>332068.0436</v>
      </c>
    </row>
    <row r="462">
      <c r="A462" s="4" t="s">
        <v>1271</v>
      </c>
      <c r="B462" s="4" t="s">
        <v>1272</v>
      </c>
      <c r="C462" s="4" t="s">
        <v>1273</v>
      </c>
      <c r="D462" s="5">
        <v>8289.0</v>
      </c>
      <c r="E462" s="6">
        <f t="shared" si="1"/>
        <v>3</v>
      </c>
      <c r="F462" s="6">
        <f t="shared" si="2"/>
        <v>71916</v>
      </c>
      <c r="G462" s="6">
        <f t="shared" si="3"/>
        <v>38871</v>
      </c>
      <c r="H462" s="6" t="str">
        <f t="shared" si="4"/>
        <v>D</v>
      </c>
      <c r="I462" s="6" t="str">
        <f t="shared" si="5"/>
        <v>Transformative change</v>
      </c>
      <c r="J462" s="6" t="str">
        <f t="shared" si="6"/>
        <v>Medium</v>
      </c>
      <c r="K462" s="6">
        <f t="shared" si="7"/>
        <v>1134397</v>
      </c>
      <c r="L462" s="6">
        <f t="shared" si="8"/>
        <v>540534.0337</v>
      </c>
    </row>
    <row r="463">
      <c r="A463" s="4" t="s">
        <v>1274</v>
      </c>
      <c r="B463" s="4" t="s">
        <v>1275</v>
      </c>
      <c r="C463" s="4" t="s">
        <v>74</v>
      </c>
      <c r="D463" s="5">
        <v>12674.0</v>
      </c>
      <c r="E463" s="6">
        <f t="shared" si="1"/>
        <v>3</v>
      </c>
      <c r="F463" s="6">
        <f t="shared" si="2"/>
        <v>38995</v>
      </c>
      <c r="G463" s="6">
        <f t="shared" si="3"/>
        <v>33136</v>
      </c>
      <c r="H463" s="6" t="str">
        <f t="shared" si="4"/>
        <v>C</v>
      </c>
      <c r="I463" s="6" t="str">
        <f t="shared" si="5"/>
        <v>Transformative change</v>
      </c>
      <c r="J463" s="6" t="str">
        <f t="shared" si="6"/>
        <v>High</v>
      </c>
      <c r="K463" s="6">
        <f t="shared" si="7"/>
        <v>3972652</v>
      </c>
      <c r="L463" s="6">
        <f t="shared" si="8"/>
        <v>1269269.742</v>
      </c>
    </row>
    <row r="464">
      <c r="A464" s="4" t="s">
        <v>663</v>
      </c>
      <c r="B464" s="4" t="s">
        <v>1276</v>
      </c>
      <c r="C464" s="4" t="s">
        <v>1277</v>
      </c>
      <c r="D464" s="5">
        <v>19759.0</v>
      </c>
      <c r="E464" s="6">
        <f t="shared" si="1"/>
        <v>4</v>
      </c>
      <c r="F464" s="6">
        <f t="shared" si="2"/>
        <v>99333</v>
      </c>
      <c r="G464" s="6">
        <f t="shared" si="3"/>
        <v>72951</v>
      </c>
      <c r="H464" s="6" t="str">
        <f t="shared" si="4"/>
        <v>F</v>
      </c>
      <c r="I464" s="6" t="str">
        <f t="shared" si="5"/>
        <v>Transformative change</v>
      </c>
      <c r="J464" s="6" t="str">
        <f t="shared" si="6"/>
        <v>High</v>
      </c>
      <c r="K464" s="6">
        <f t="shared" si="7"/>
        <v>985260</v>
      </c>
      <c r="L464" s="6">
        <f t="shared" si="8"/>
        <v>52233.25174</v>
      </c>
    </row>
    <row r="465">
      <c r="A465" s="4" t="s">
        <v>1278</v>
      </c>
      <c r="B465" s="4" t="s">
        <v>931</v>
      </c>
      <c r="C465" s="4" t="s">
        <v>1279</v>
      </c>
      <c r="D465" s="5">
        <v>8746.0</v>
      </c>
      <c r="E465" s="6">
        <f t="shared" si="1"/>
        <v>5</v>
      </c>
      <c r="F465" s="6">
        <f t="shared" si="2"/>
        <v>75080</v>
      </c>
      <c r="G465" s="6">
        <f t="shared" si="3"/>
        <v>42095</v>
      </c>
      <c r="H465" s="6" t="str">
        <f t="shared" si="4"/>
        <v>A</v>
      </c>
      <c r="I465" s="6" t="str">
        <f t="shared" si="5"/>
        <v>Transformative change</v>
      </c>
      <c r="J465" s="6" t="str">
        <f t="shared" si="6"/>
        <v>High</v>
      </c>
      <c r="K465" s="6">
        <f t="shared" si="7"/>
        <v>1459645</v>
      </c>
      <c r="L465" s="6">
        <f t="shared" si="8"/>
        <v>80139.15362</v>
      </c>
    </row>
    <row r="466">
      <c r="A466" s="4" t="s">
        <v>1280</v>
      </c>
      <c r="B466" s="4" t="s">
        <v>1281</v>
      </c>
      <c r="C466" s="4" t="s">
        <v>1282</v>
      </c>
      <c r="D466" s="5">
        <v>61543.0</v>
      </c>
      <c r="E466" s="6">
        <f t="shared" si="1"/>
        <v>3</v>
      </c>
      <c r="F466" s="6">
        <f t="shared" si="2"/>
        <v>93445</v>
      </c>
      <c r="G466" s="6">
        <f t="shared" si="3"/>
        <v>31158</v>
      </c>
      <c r="H466" s="6" t="str">
        <f t="shared" si="4"/>
        <v>G</v>
      </c>
      <c r="I466" s="6" t="str">
        <f t="shared" si="5"/>
        <v>High ambition</v>
      </c>
      <c r="J466" s="6" t="str">
        <f t="shared" si="6"/>
        <v>High</v>
      </c>
      <c r="K466" s="6">
        <f t="shared" si="7"/>
        <v>3803399</v>
      </c>
      <c r="L466" s="6">
        <f t="shared" si="8"/>
        <v>3389588.917</v>
      </c>
    </row>
    <row r="467">
      <c r="A467" s="4" t="s">
        <v>1283</v>
      </c>
      <c r="B467" s="4" t="s">
        <v>1284</v>
      </c>
      <c r="C467" s="4" t="s">
        <v>1148</v>
      </c>
      <c r="D467" s="5">
        <v>16008.0</v>
      </c>
      <c r="E467" s="6">
        <f t="shared" si="1"/>
        <v>1</v>
      </c>
      <c r="F467" s="6">
        <f t="shared" si="2"/>
        <v>19147</v>
      </c>
      <c r="G467" s="6">
        <f t="shared" si="3"/>
        <v>61569</v>
      </c>
      <c r="H467" s="6" t="str">
        <f t="shared" si="4"/>
        <v>C</v>
      </c>
      <c r="I467" s="6" t="str">
        <f t="shared" si="5"/>
        <v>High ambition</v>
      </c>
      <c r="J467" s="6" t="str">
        <f t="shared" si="6"/>
        <v>High</v>
      </c>
      <c r="K467" s="6">
        <f t="shared" si="7"/>
        <v>2840975</v>
      </c>
      <c r="L467" s="6">
        <f t="shared" si="8"/>
        <v>2392693.831</v>
      </c>
    </row>
    <row r="468">
      <c r="A468" s="4" t="s">
        <v>1285</v>
      </c>
      <c r="B468" s="4" t="s">
        <v>1286</v>
      </c>
      <c r="C468" s="4" t="s">
        <v>1287</v>
      </c>
      <c r="D468" s="5">
        <v>271828.0</v>
      </c>
      <c r="E468" s="6">
        <f t="shared" si="1"/>
        <v>5</v>
      </c>
      <c r="F468" s="6">
        <f t="shared" si="2"/>
        <v>8945</v>
      </c>
      <c r="G468" s="6">
        <f t="shared" si="3"/>
        <v>44523</v>
      </c>
      <c r="H468" s="6" t="str">
        <f t="shared" si="4"/>
        <v>C</v>
      </c>
      <c r="I468" s="6" t="str">
        <f t="shared" si="5"/>
        <v>Transformative change</v>
      </c>
      <c r="J468" s="6" t="str">
        <f t="shared" si="6"/>
        <v>Low</v>
      </c>
      <c r="K468" s="6">
        <f t="shared" si="7"/>
        <v>3394805</v>
      </c>
      <c r="L468" s="6">
        <f t="shared" si="8"/>
        <v>2434918.727</v>
      </c>
    </row>
    <row r="469">
      <c r="A469" s="4" t="s">
        <v>1288</v>
      </c>
      <c r="B469" s="4" t="s">
        <v>1289</v>
      </c>
      <c r="C469" s="4" t="s">
        <v>1290</v>
      </c>
      <c r="D469" s="5">
        <v>16445.0</v>
      </c>
      <c r="E469" s="6">
        <f t="shared" si="1"/>
        <v>4</v>
      </c>
      <c r="F469" s="6">
        <f t="shared" si="2"/>
        <v>38746</v>
      </c>
      <c r="G469" s="6">
        <f t="shared" si="3"/>
        <v>29250</v>
      </c>
      <c r="H469" s="6" t="str">
        <f t="shared" si="4"/>
        <v>G</v>
      </c>
      <c r="I469" s="6" t="str">
        <f t="shared" si="5"/>
        <v>Transformative change</v>
      </c>
      <c r="J469" s="6" t="str">
        <f t="shared" si="6"/>
        <v>Low</v>
      </c>
      <c r="K469" s="6">
        <f t="shared" si="7"/>
        <v>937545</v>
      </c>
      <c r="L469" s="6">
        <f t="shared" si="8"/>
        <v>198702.3046</v>
      </c>
    </row>
    <row r="470">
      <c r="A470" s="4" t="s">
        <v>835</v>
      </c>
      <c r="B470" s="4" t="s">
        <v>1291</v>
      </c>
      <c r="C470" s="4" t="s">
        <v>1292</v>
      </c>
      <c r="D470" s="5">
        <v>13125.0</v>
      </c>
      <c r="E470" s="6">
        <f t="shared" si="1"/>
        <v>1</v>
      </c>
      <c r="F470" s="6">
        <f t="shared" si="2"/>
        <v>2315</v>
      </c>
      <c r="G470" s="6">
        <f t="shared" si="3"/>
        <v>78799</v>
      </c>
      <c r="H470" s="6" t="str">
        <f t="shared" si="4"/>
        <v>C</v>
      </c>
      <c r="I470" s="6" t="str">
        <f t="shared" si="5"/>
        <v>Transformative change</v>
      </c>
      <c r="J470" s="6" t="str">
        <f t="shared" si="6"/>
        <v>Medium</v>
      </c>
      <c r="K470" s="6">
        <f t="shared" si="7"/>
        <v>1972194</v>
      </c>
      <c r="L470" s="6">
        <f t="shared" si="8"/>
        <v>615193.9091</v>
      </c>
    </row>
    <row r="471">
      <c r="A471" s="4" t="s">
        <v>1293</v>
      </c>
      <c r="B471" s="4" t="s">
        <v>1294</v>
      </c>
      <c r="C471" s="4" t="s">
        <v>1295</v>
      </c>
      <c r="D471" s="5">
        <v>317778.0</v>
      </c>
      <c r="E471" s="6">
        <f t="shared" si="1"/>
        <v>4</v>
      </c>
      <c r="F471" s="6">
        <f t="shared" si="2"/>
        <v>45082</v>
      </c>
      <c r="G471" s="6">
        <f t="shared" si="3"/>
        <v>8861</v>
      </c>
      <c r="H471" s="6" t="str">
        <f t="shared" si="4"/>
        <v>C</v>
      </c>
      <c r="I471" s="6" t="str">
        <f t="shared" si="5"/>
        <v>Transformative change</v>
      </c>
      <c r="J471" s="6" t="str">
        <f t="shared" si="6"/>
        <v>Medium</v>
      </c>
      <c r="K471" s="6">
        <f t="shared" si="7"/>
        <v>3346782</v>
      </c>
      <c r="L471" s="6">
        <f t="shared" si="8"/>
        <v>1663376.533</v>
      </c>
    </row>
    <row r="472">
      <c r="A472" s="4" t="s">
        <v>434</v>
      </c>
      <c r="B472" s="4" t="s">
        <v>1296</v>
      </c>
      <c r="C472" s="4" t="s">
        <v>1297</v>
      </c>
      <c r="D472" s="5">
        <v>7501.0</v>
      </c>
      <c r="E472" s="6">
        <f t="shared" si="1"/>
        <v>3</v>
      </c>
      <c r="F472" s="6">
        <f t="shared" si="2"/>
        <v>37052</v>
      </c>
      <c r="G472" s="6">
        <f t="shared" si="3"/>
        <v>51851</v>
      </c>
      <c r="H472" s="6" t="str">
        <f t="shared" si="4"/>
        <v>D</v>
      </c>
      <c r="I472" s="6" t="str">
        <f t="shared" si="5"/>
        <v>High ambition</v>
      </c>
      <c r="J472" s="6" t="str">
        <f t="shared" si="6"/>
        <v>Medium</v>
      </c>
      <c r="K472" s="6">
        <f t="shared" si="7"/>
        <v>1180351</v>
      </c>
      <c r="L472" s="6">
        <f t="shared" si="8"/>
        <v>884560.2735</v>
      </c>
    </row>
    <row r="473">
      <c r="A473" s="4" t="s">
        <v>296</v>
      </c>
      <c r="B473" s="4" t="s">
        <v>1298</v>
      </c>
      <c r="C473" s="4" t="s">
        <v>1299</v>
      </c>
      <c r="D473" s="5">
        <v>5838.0</v>
      </c>
      <c r="E473" s="6">
        <f t="shared" si="1"/>
        <v>3</v>
      </c>
      <c r="F473" s="6">
        <f t="shared" si="2"/>
        <v>53343</v>
      </c>
      <c r="G473" s="6">
        <f t="shared" si="3"/>
        <v>28290</v>
      </c>
      <c r="H473" s="6" t="str">
        <f t="shared" si="4"/>
        <v>C</v>
      </c>
      <c r="I473" s="6" t="str">
        <f t="shared" si="5"/>
        <v>Transformative change</v>
      </c>
      <c r="J473" s="6" t="str">
        <f t="shared" si="6"/>
        <v>Medium</v>
      </c>
      <c r="K473" s="6">
        <f t="shared" si="7"/>
        <v>2066966</v>
      </c>
      <c r="L473" s="6">
        <f t="shared" si="8"/>
        <v>1282242.702</v>
      </c>
    </row>
    <row r="474">
      <c r="A474" s="4" t="s">
        <v>1300</v>
      </c>
      <c r="B474" s="4" t="s">
        <v>1234</v>
      </c>
      <c r="C474" s="4" t="s">
        <v>1301</v>
      </c>
      <c r="D474" s="5">
        <v>16667.0</v>
      </c>
      <c r="E474" s="6">
        <f t="shared" si="1"/>
        <v>5</v>
      </c>
      <c r="F474" s="6">
        <f t="shared" si="2"/>
        <v>31336</v>
      </c>
      <c r="G474" s="6">
        <f t="shared" si="3"/>
        <v>13954</v>
      </c>
      <c r="H474" s="6" t="str">
        <f t="shared" si="4"/>
        <v>B</v>
      </c>
      <c r="I474" s="6" t="str">
        <f t="shared" si="5"/>
        <v>Transformative change</v>
      </c>
      <c r="J474" s="6" t="str">
        <f t="shared" si="6"/>
        <v>High</v>
      </c>
      <c r="K474" s="6">
        <f t="shared" si="7"/>
        <v>2294442</v>
      </c>
      <c r="L474" s="6">
        <f t="shared" si="8"/>
        <v>1970101.268</v>
      </c>
    </row>
    <row r="475">
      <c r="A475" s="4" t="s">
        <v>1302</v>
      </c>
      <c r="B475" s="4" t="s">
        <v>1303</v>
      </c>
      <c r="C475" s="4" t="s">
        <v>1304</v>
      </c>
      <c r="D475" s="5">
        <v>82527.0</v>
      </c>
      <c r="E475" s="6">
        <f t="shared" si="1"/>
        <v>2</v>
      </c>
      <c r="F475" s="6">
        <f t="shared" si="2"/>
        <v>31969</v>
      </c>
      <c r="G475" s="6">
        <f t="shared" si="3"/>
        <v>51060</v>
      </c>
      <c r="H475" s="6" t="str">
        <f t="shared" si="4"/>
        <v>F</v>
      </c>
      <c r="I475" s="6" t="str">
        <f t="shared" si="5"/>
        <v>High ambition</v>
      </c>
      <c r="J475" s="6" t="str">
        <f t="shared" si="6"/>
        <v>Medium</v>
      </c>
      <c r="K475" s="6">
        <f t="shared" si="7"/>
        <v>804533</v>
      </c>
      <c r="L475" s="6">
        <f t="shared" si="8"/>
        <v>285775.8639</v>
      </c>
    </row>
    <row r="476">
      <c r="A476" s="4" t="s">
        <v>1305</v>
      </c>
      <c r="B476" s="4" t="s">
        <v>1306</v>
      </c>
      <c r="C476" s="4" t="s">
        <v>1307</v>
      </c>
      <c r="D476" s="5">
        <v>7692.0</v>
      </c>
      <c r="E476" s="6">
        <f t="shared" si="1"/>
        <v>5</v>
      </c>
      <c r="F476" s="6">
        <f t="shared" si="2"/>
        <v>9157</v>
      </c>
      <c r="G476" s="6">
        <f t="shared" si="3"/>
        <v>68787</v>
      </c>
      <c r="H476" s="6" t="str">
        <f t="shared" si="4"/>
        <v>C</v>
      </c>
      <c r="I476" s="6" t="str">
        <f t="shared" si="5"/>
        <v>Transformative change</v>
      </c>
      <c r="J476" s="6" t="str">
        <f t="shared" si="6"/>
        <v>Low</v>
      </c>
      <c r="K476" s="6">
        <f t="shared" si="7"/>
        <v>1731296</v>
      </c>
      <c r="L476" s="6">
        <f t="shared" si="8"/>
        <v>705618.8955</v>
      </c>
    </row>
    <row r="477">
      <c r="A477" s="4" t="s">
        <v>1308</v>
      </c>
      <c r="B477" s="4" t="s">
        <v>1309</v>
      </c>
      <c r="C477" s="4" t="s">
        <v>1310</v>
      </c>
      <c r="D477" s="5">
        <v>8147.0</v>
      </c>
      <c r="E477" s="6">
        <f t="shared" si="1"/>
        <v>2</v>
      </c>
      <c r="F477" s="6">
        <f t="shared" si="2"/>
        <v>73873</v>
      </c>
      <c r="G477" s="6">
        <f t="shared" si="3"/>
        <v>12243</v>
      </c>
      <c r="H477" s="6" t="str">
        <f t="shared" si="4"/>
        <v>G</v>
      </c>
      <c r="I477" s="6" t="str">
        <f t="shared" si="5"/>
        <v>Transformative change</v>
      </c>
      <c r="J477" s="6" t="str">
        <f t="shared" si="6"/>
        <v>Medium</v>
      </c>
      <c r="K477" s="6">
        <f t="shared" si="7"/>
        <v>2944337</v>
      </c>
      <c r="L477" s="6">
        <f t="shared" si="8"/>
        <v>1643134.669</v>
      </c>
    </row>
    <row r="478">
      <c r="A478" s="4" t="s">
        <v>1311</v>
      </c>
      <c r="B478" s="4" t="s">
        <v>1312</v>
      </c>
      <c r="C478" s="4" t="s">
        <v>74</v>
      </c>
      <c r="D478" s="5">
        <v>7035.0</v>
      </c>
      <c r="E478" s="6">
        <f t="shared" si="1"/>
        <v>2</v>
      </c>
      <c r="F478" s="6">
        <f t="shared" si="2"/>
        <v>9873</v>
      </c>
      <c r="G478" s="6">
        <f t="shared" si="3"/>
        <v>74384</v>
      </c>
      <c r="H478" s="6" t="str">
        <f t="shared" si="4"/>
        <v>D</v>
      </c>
      <c r="I478" s="6" t="str">
        <f t="shared" si="5"/>
        <v>Transformative change</v>
      </c>
      <c r="J478" s="6" t="str">
        <f t="shared" si="6"/>
        <v>Low</v>
      </c>
      <c r="K478" s="6">
        <f t="shared" si="7"/>
        <v>3653665</v>
      </c>
      <c r="L478" s="6">
        <f t="shared" si="8"/>
        <v>1862712.089</v>
      </c>
    </row>
    <row r="479">
      <c r="A479" s="4" t="s">
        <v>1313</v>
      </c>
      <c r="B479" s="4" t="s">
        <v>410</v>
      </c>
      <c r="C479" s="4" t="s">
        <v>1314</v>
      </c>
      <c r="D479" s="5">
        <v>16799.0</v>
      </c>
      <c r="E479" s="6">
        <f t="shared" si="1"/>
        <v>2</v>
      </c>
      <c r="F479" s="6">
        <f t="shared" si="2"/>
        <v>56595</v>
      </c>
      <c r="G479" s="6">
        <f t="shared" si="3"/>
        <v>4739</v>
      </c>
      <c r="H479" s="6" t="str">
        <f t="shared" si="4"/>
        <v>A</v>
      </c>
      <c r="I479" s="6" t="str">
        <f t="shared" si="5"/>
        <v>Transformative change</v>
      </c>
      <c r="J479" s="6" t="str">
        <f t="shared" si="6"/>
        <v>Low</v>
      </c>
      <c r="K479" s="6">
        <f t="shared" si="7"/>
        <v>1762886</v>
      </c>
      <c r="L479" s="6">
        <f t="shared" si="8"/>
        <v>1541216.845</v>
      </c>
    </row>
    <row r="480">
      <c r="A480" s="4" t="s">
        <v>1315</v>
      </c>
      <c r="B480" s="4" t="s">
        <v>1316</v>
      </c>
      <c r="C480" s="4" t="s">
        <v>1317</v>
      </c>
      <c r="D480" s="5">
        <v>10922.0</v>
      </c>
      <c r="E480" s="6">
        <f t="shared" si="1"/>
        <v>1</v>
      </c>
      <c r="F480" s="6">
        <f t="shared" si="2"/>
        <v>99220</v>
      </c>
      <c r="G480" s="6">
        <f t="shared" si="3"/>
        <v>63599</v>
      </c>
      <c r="H480" s="6" t="str">
        <f t="shared" si="4"/>
        <v>B</v>
      </c>
      <c r="I480" s="6" t="str">
        <f t="shared" si="5"/>
        <v>Transformative change</v>
      </c>
      <c r="J480" s="6" t="str">
        <f t="shared" si="6"/>
        <v>High</v>
      </c>
      <c r="K480" s="6">
        <f t="shared" si="7"/>
        <v>167432</v>
      </c>
      <c r="L480" s="6">
        <f t="shared" si="8"/>
        <v>126273.1497</v>
      </c>
    </row>
    <row r="481">
      <c r="A481" s="4" t="s">
        <v>1318</v>
      </c>
      <c r="B481" s="4" t="s">
        <v>1319</v>
      </c>
      <c r="C481" s="4" t="s">
        <v>1320</v>
      </c>
      <c r="D481" s="5">
        <v>15337.0</v>
      </c>
      <c r="E481" s="6">
        <f t="shared" si="1"/>
        <v>3</v>
      </c>
      <c r="F481" s="6">
        <f t="shared" si="2"/>
        <v>16413</v>
      </c>
      <c r="G481" s="6">
        <f t="shared" si="3"/>
        <v>3055</v>
      </c>
      <c r="H481" s="6" t="str">
        <f t="shared" si="4"/>
        <v>B</v>
      </c>
      <c r="I481" s="6" t="str">
        <f t="shared" si="5"/>
        <v>High ambition</v>
      </c>
      <c r="J481" s="6" t="str">
        <f t="shared" si="6"/>
        <v>Low</v>
      </c>
      <c r="K481" s="6">
        <f t="shared" si="7"/>
        <v>2584555</v>
      </c>
      <c r="L481" s="6">
        <f t="shared" si="8"/>
        <v>1075716.695</v>
      </c>
    </row>
    <row r="482">
      <c r="A482" s="4" t="s">
        <v>1321</v>
      </c>
      <c r="B482" s="4" t="s">
        <v>1322</v>
      </c>
      <c r="C482" s="4" t="s">
        <v>1323</v>
      </c>
      <c r="D482" s="5">
        <v>5357.0</v>
      </c>
      <c r="E482" s="6">
        <f t="shared" si="1"/>
        <v>1</v>
      </c>
      <c r="F482" s="6">
        <f t="shared" si="2"/>
        <v>40763</v>
      </c>
      <c r="G482" s="6">
        <f t="shared" si="3"/>
        <v>12397</v>
      </c>
      <c r="H482" s="6" t="str">
        <f t="shared" si="4"/>
        <v>G</v>
      </c>
      <c r="I482" s="6" t="str">
        <f t="shared" si="5"/>
        <v>High ambition</v>
      </c>
      <c r="J482" s="6" t="str">
        <f t="shared" si="6"/>
        <v>Low</v>
      </c>
      <c r="K482" s="6">
        <f t="shared" si="7"/>
        <v>291811</v>
      </c>
      <c r="L482" s="6">
        <f t="shared" si="8"/>
        <v>162430.1686</v>
      </c>
    </row>
    <row r="483">
      <c r="A483" s="4" t="s">
        <v>1324</v>
      </c>
      <c r="B483" s="4" t="s">
        <v>1325</v>
      </c>
      <c r="C483" s="4" t="s">
        <v>1326</v>
      </c>
      <c r="D483" s="5">
        <v>19536.0</v>
      </c>
      <c r="E483" s="6">
        <f t="shared" si="1"/>
        <v>1</v>
      </c>
      <c r="F483" s="6">
        <f t="shared" si="2"/>
        <v>11395</v>
      </c>
      <c r="G483" s="6">
        <f t="shared" si="3"/>
        <v>5814</v>
      </c>
      <c r="H483" s="6" t="str">
        <f t="shared" si="4"/>
        <v>A</v>
      </c>
      <c r="I483" s="6" t="str">
        <f t="shared" si="5"/>
        <v>Transformative change</v>
      </c>
      <c r="J483" s="6" t="str">
        <f t="shared" si="6"/>
        <v>Low</v>
      </c>
      <c r="K483" s="6">
        <f t="shared" si="7"/>
        <v>3620748</v>
      </c>
      <c r="L483" s="6">
        <f t="shared" si="8"/>
        <v>3310648.646</v>
      </c>
    </row>
    <row r="484">
      <c r="A484" s="4" t="s">
        <v>1327</v>
      </c>
      <c r="B484" s="4" t="s">
        <v>1328</v>
      </c>
      <c r="C484" s="4" t="s">
        <v>1329</v>
      </c>
      <c r="D484" s="5">
        <v>59418.0</v>
      </c>
      <c r="E484" s="6">
        <f t="shared" si="1"/>
        <v>4</v>
      </c>
      <c r="F484" s="6">
        <f t="shared" si="2"/>
        <v>48805</v>
      </c>
      <c r="G484" s="6">
        <f t="shared" si="3"/>
        <v>12544</v>
      </c>
      <c r="H484" s="6" t="str">
        <f t="shared" si="4"/>
        <v>C</v>
      </c>
      <c r="I484" s="6" t="str">
        <f t="shared" si="5"/>
        <v>Transformative change</v>
      </c>
      <c r="J484" s="6" t="str">
        <f t="shared" si="6"/>
        <v>Low</v>
      </c>
      <c r="K484" s="6">
        <f t="shared" si="7"/>
        <v>2762501</v>
      </c>
      <c r="L484" s="6">
        <f t="shared" si="8"/>
        <v>649541.6867</v>
      </c>
    </row>
    <row r="485">
      <c r="A485" s="4" t="s">
        <v>1330</v>
      </c>
      <c r="B485" s="4" t="s">
        <v>1331</v>
      </c>
      <c r="C485" s="4" t="s">
        <v>74</v>
      </c>
      <c r="D485" s="5">
        <v>19598.0</v>
      </c>
      <c r="E485" s="6">
        <f t="shared" si="1"/>
        <v>3</v>
      </c>
      <c r="F485" s="6">
        <f t="shared" si="2"/>
        <v>12393</v>
      </c>
      <c r="G485" s="6">
        <f t="shared" si="3"/>
        <v>33937</v>
      </c>
      <c r="H485" s="6" t="str">
        <f t="shared" si="4"/>
        <v>B</v>
      </c>
      <c r="I485" s="6" t="str">
        <f t="shared" si="5"/>
        <v>Transformative change</v>
      </c>
      <c r="J485" s="6" t="str">
        <f t="shared" si="6"/>
        <v>Low</v>
      </c>
      <c r="K485" s="6">
        <f t="shared" si="7"/>
        <v>832048</v>
      </c>
      <c r="L485" s="6">
        <f t="shared" si="8"/>
        <v>699501.6324</v>
      </c>
    </row>
    <row r="486">
      <c r="A486" s="4" t="s">
        <v>1332</v>
      </c>
      <c r="B486" s="4" t="s">
        <v>1333</v>
      </c>
      <c r="C486" s="4" t="s">
        <v>1334</v>
      </c>
      <c r="D486" s="5">
        <v>5871.0</v>
      </c>
      <c r="E486" s="6">
        <f t="shared" si="1"/>
        <v>2</v>
      </c>
      <c r="F486" s="6">
        <f t="shared" si="2"/>
        <v>25721</v>
      </c>
      <c r="G486" s="6">
        <f t="shared" si="3"/>
        <v>15362</v>
      </c>
      <c r="H486" s="6" t="str">
        <f t="shared" si="4"/>
        <v>D</v>
      </c>
      <c r="I486" s="6" t="str">
        <f t="shared" si="5"/>
        <v>Transformative change</v>
      </c>
      <c r="J486" s="6" t="str">
        <f t="shared" si="6"/>
        <v>High</v>
      </c>
      <c r="K486" s="6">
        <f t="shared" si="7"/>
        <v>1767809</v>
      </c>
      <c r="L486" s="6">
        <f t="shared" si="8"/>
        <v>542678.4184</v>
      </c>
    </row>
    <row r="487">
      <c r="A487" s="4" t="s">
        <v>1335</v>
      </c>
      <c r="B487" s="4" t="s">
        <v>1336</v>
      </c>
      <c r="C487" s="4" t="s">
        <v>74</v>
      </c>
      <c r="D487" s="5">
        <v>8190.0</v>
      </c>
      <c r="E487" s="6">
        <f t="shared" si="1"/>
        <v>2</v>
      </c>
      <c r="F487" s="6">
        <f t="shared" si="2"/>
        <v>66989</v>
      </c>
      <c r="G487" s="6">
        <f t="shared" si="3"/>
        <v>120</v>
      </c>
      <c r="H487" s="6" t="str">
        <f t="shared" si="4"/>
        <v>G</v>
      </c>
      <c r="I487" s="6" t="str">
        <f t="shared" si="5"/>
        <v>Transformative change</v>
      </c>
      <c r="J487" s="6" t="str">
        <f t="shared" si="6"/>
        <v>Low</v>
      </c>
      <c r="K487" s="6">
        <f t="shared" si="7"/>
        <v>2953328</v>
      </c>
      <c r="L487" s="6">
        <f t="shared" si="8"/>
        <v>14883.16582</v>
      </c>
    </row>
    <row r="488">
      <c r="A488" s="4" t="s">
        <v>1337</v>
      </c>
      <c r="B488" s="4" t="s">
        <v>1338</v>
      </c>
      <c r="C488" s="4" t="s">
        <v>1339</v>
      </c>
      <c r="D488" s="5">
        <v>11180.0</v>
      </c>
      <c r="E488" s="6">
        <f t="shared" si="1"/>
        <v>1</v>
      </c>
      <c r="F488" s="6">
        <f t="shared" si="2"/>
        <v>76753</v>
      </c>
      <c r="G488" s="6">
        <f t="shared" si="3"/>
        <v>31603</v>
      </c>
      <c r="H488" s="6" t="str">
        <f t="shared" si="4"/>
        <v>E</v>
      </c>
      <c r="I488" s="6" t="str">
        <f t="shared" si="5"/>
        <v>Transformative change</v>
      </c>
      <c r="J488" s="6" t="str">
        <f t="shared" si="6"/>
        <v>Medium</v>
      </c>
      <c r="K488" s="6">
        <f t="shared" si="7"/>
        <v>3837752</v>
      </c>
      <c r="L488" s="6">
        <f t="shared" si="8"/>
        <v>1952954.931</v>
      </c>
    </row>
    <row r="489">
      <c r="A489" s="4" t="s">
        <v>1340</v>
      </c>
      <c r="B489" s="4" t="s">
        <v>1341</v>
      </c>
      <c r="C489" s="4" t="s">
        <v>74</v>
      </c>
      <c r="D489" s="5">
        <v>19622.0</v>
      </c>
      <c r="E489" s="6">
        <f t="shared" si="1"/>
        <v>2</v>
      </c>
      <c r="F489" s="6">
        <f t="shared" si="2"/>
        <v>99378</v>
      </c>
      <c r="G489" s="6">
        <f t="shared" si="3"/>
        <v>81726</v>
      </c>
      <c r="H489" s="6" t="str">
        <f t="shared" si="4"/>
        <v>F</v>
      </c>
      <c r="I489" s="6" t="str">
        <f t="shared" si="5"/>
        <v>Transformative change</v>
      </c>
      <c r="J489" s="6" t="str">
        <f t="shared" si="6"/>
        <v>Low</v>
      </c>
      <c r="K489" s="6">
        <f t="shared" si="7"/>
        <v>3221825</v>
      </c>
      <c r="L489" s="6">
        <f t="shared" si="8"/>
        <v>399015.6294</v>
      </c>
    </row>
    <row r="490">
      <c r="A490" s="4" t="s">
        <v>1342</v>
      </c>
      <c r="B490" s="4" t="s">
        <v>1343</v>
      </c>
      <c r="C490" s="4" t="s">
        <v>1344</v>
      </c>
      <c r="D490" s="5">
        <v>9021.0</v>
      </c>
      <c r="E490" s="6">
        <f t="shared" si="1"/>
        <v>3</v>
      </c>
      <c r="F490" s="6">
        <f t="shared" si="2"/>
        <v>97245</v>
      </c>
      <c r="G490" s="6">
        <f t="shared" si="3"/>
        <v>86326</v>
      </c>
      <c r="H490" s="6" t="str">
        <f t="shared" si="4"/>
        <v>F</v>
      </c>
      <c r="I490" s="6" t="str">
        <f t="shared" si="5"/>
        <v>High ambition</v>
      </c>
      <c r="J490" s="6" t="str">
        <f t="shared" si="6"/>
        <v>Low</v>
      </c>
      <c r="K490" s="6">
        <f t="shared" si="7"/>
        <v>2426116</v>
      </c>
      <c r="L490" s="6">
        <f t="shared" si="8"/>
        <v>96179.5078</v>
      </c>
    </row>
    <row r="491">
      <c r="A491" s="4" t="s">
        <v>1345</v>
      </c>
      <c r="B491" s="4" t="s">
        <v>1346</v>
      </c>
      <c r="C491" s="4" t="s">
        <v>1347</v>
      </c>
      <c r="D491" s="5">
        <v>375458.0</v>
      </c>
      <c r="E491" s="6">
        <f t="shared" si="1"/>
        <v>4</v>
      </c>
      <c r="F491" s="6">
        <f t="shared" si="2"/>
        <v>81208</v>
      </c>
      <c r="G491" s="6">
        <f t="shared" si="3"/>
        <v>67343</v>
      </c>
      <c r="H491" s="6" t="str">
        <f t="shared" si="4"/>
        <v>C</v>
      </c>
      <c r="I491" s="6" t="str">
        <f t="shared" si="5"/>
        <v>Transformative change</v>
      </c>
      <c r="J491" s="6" t="str">
        <f t="shared" si="6"/>
        <v>Medium</v>
      </c>
      <c r="K491" s="6">
        <f t="shared" si="7"/>
        <v>868195</v>
      </c>
      <c r="L491" s="6">
        <f t="shared" si="8"/>
        <v>748210.3736</v>
      </c>
    </row>
    <row r="492">
      <c r="A492" s="4" t="s">
        <v>1348</v>
      </c>
      <c r="B492" s="4" t="s">
        <v>1349</v>
      </c>
      <c r="C492" s="4" t="s">
        <v>884</v>
      </c>
      <c r="D492" s="5">
        <v>82336.0</v>
      </c>
      <c r="E492" s="6">
        <f t="shared" si="1"/>
        <v>1</v>
      </c>
      <c r="F492" s="6">
        <f t="shared" si="2"/>
        <v>49324</v>
      </c>
      <c r="G492" s="6">
        <f t="shared" si="3"/>
        <v>5974</v>
      </c>
      <c r="H492" s="6" t="str">
        <f t="shared" si="4"/>
        <v>G</v>
      </c>
      <c r="I492" s="6" t="str">
        <f t="shared" si="5"/>
        <v>Transformative change</v>
      </c>
      <c r="J492" s="6" t="str">
        <f t="shared" si="6"/>
        <v>High</v>
      </c>
      <c r="K492" s="6">
        <f t="shared" si="7"/>
        <v>3245492</v>
      </c>
      <c r="L492" s="6">
        <f t="shared" si="8"/>
        <v>1705659.565</v>
      </c>
    </row>
    <row r="493">
      <c r="A493" s="4" t="s">
        <v>1350</v>
      </c>
      <c r="B493" s="4" t="s">
        <v>1351</v>
      </c>
      <c r="C493" s="4" t="s">
        <v>1352</v>
      </c>
      <c r="D493" s="5">
        <v>9169.0</v>
      </c>
      <c r="E493" s="6">
        <f t="shared" si="1"/>
        <v>1</v>
      </c>
      <c r="F493" s="6">
        <f t="shared" si="2"/>
        <v>34352</v>
      </c>
      <c r="G493" s="6">
        <f t="shared" si="3"/>
        <v>9672</v>
      </c>
      <c r="H493" s="6" t="str">
        <f t="shared" si="4"/>
        <v>A</v>
      </c>
      <c r="I493" s="6" t="str">
        <f t="shared" si="5"/>
        <v>Transformative change</v>
      </c>
      <c r="J493" s="6" t="str">
        <f t="shared" si="6"/>
        <v>Medium</v>
      </c>
      <c r="K493" s="6">
        <f t="shared" si="7"/>
        <v>3070529</v>
      </c>
      <c r="L493" s="6">
        <f t="shared" si="8"/>
        <v>2597573.956</v>
      </c>
    </row>
    <row r="494">
      <c r="A494" s="4" t="s">
        <v>1353</v>
      </c>
      <c r="B494" s="4" t="s">
        <v>1354</v>
      </c>
      <c r="C494" s="4" t="s">
        <v>1355</v>
      </c>
      <c r="D494" s="5">
        <v>15479.0</v>
      </c>
      <c r="E494" s="6">
        <f t="shared" si="1"/>
        <v>1</v>
      </c>
      <c r="F494" s="6">
        <f t="shared" si="2"/>
        <v>95028</v>
      </c>
      <c r="G494" s="6">
        <f t="shared" si="3"/>
        <v>46696</v>
      </c>
      <c r="H494" s="6" t="str">
        <f t="shared" si="4"/>
        <v>E</v>
      </c>
      <c r="I494" s="6" t="str">
        <f t="shared" si="5"/>
        <v>Transformative change</v>
      </c>
      <c r="J494" s="6" t="str">
        <f t="shared" si="6"/>
        <v>High</v>
      </c>
      <c r="K494" s="6">
        <f t="shared" si="7"/>
        <v>3335278</v>
      </c>
      <c r="L494" s="6">
        <f t="shared" si="8"/>
        <v>694934.3435</v>
      </c>
    </row>
    <row r="495">
      <c r="A495" s="4" t="s">
        <v>1356</v>
      </c>
      <c r="B495" s="4" t="s">
        <v>1357</v>
      </c>
      <c r="C495" s="4" t="s">
        <v>1358</v>
      </c>
      <c r="D495" s="5">
        <v>251125.0</v>
      </c>
      <c r="E495" s="6">
        <f t="shared" si="1"/>
        <v>4</v>
      </c>
      <c r="F495" s="6">
        <f t="shared" si="2"/>
        <v>12635</v>
      </c>
      <c r="G495" s="6">
        <f t="shared" si="3"/>
        <v>40698</v>
      </c>
      <c r="H495" s="6" t="str">
        <f t="shared" si="4"/>
        <v>E</v>
      </c>
      <c r="I495" s="6" t="str">
        <f t="shared" si="5"/>
        <v>Transformative change</v>
      </c>
      <c r="J495" s="6" t="str">
        <f t="shared" si="6"/>
        <v>Medium</v>
      </c>
      <c r="K495" s="6">
        <f t="shared" si="7"/>
        <v>1431334</v>
      </c>
      <c r="L495" s="6">
        <f t="shared" si="8"/>
        <v>218527.0725</v>
      </c>
    </row>
    <row r="496">
      <c r="A496" s="4" t="s">
        <v>1359</v>
      </c>
      <c r="B496" s="4" t="s">
        <v>1360</v>
      </c>
      <c r="C496" s="4" t="s">
        <v>1361</v>
      </c>
      <c r="D496" s="5">
        <v>447956.0</v>
      </c>
      <c r="E496" s="6">
        <f t="shared" si="1"/>
        <v>5</v>
      </c>
      <c r="F496" s="6">
        <f t="shared" si="2"/>
        <v>46870</v>
      </c>
      <c r="G496" s="6">
        <f t="shared" si="3"/>
        <v>38005</v>
      </c>
      <c r="H496" s="6" t="str">
        <f t="shared" si="4"/>
        <v>B</v>
      </c>
      <c r="I496" s="6" t="str">
        <f t="shared" si="5"/>
        <v>High ambition</v>
      </c>
      <c r="J496" s="6" t="str">
        <f t="shared" si="6"/>
        <v>Low</v>
      </c>
      <c r="K496" s="6">
        <f t="shared" si="7"/>
        <v>1082644</v>
      </c>
      <c r="L496" s="6">
        <f t="shared" si="8"/>
        <v>926752.2364</v>
      </c>
    </row>
    <row r="497">
      <c r="A497" s="4" t="s">
        <v>1362</v>
      </c>
      <c r="B497" s="4" t="s">
        <v>1363</v>
      </c>
      <c r="C497" s="4" t="s">
        <v>1364</v>
      </c>
      <c r="D497" s="5">
        <v>18006.0</v>
      </c>
      <c r="E497" s="6">
        <f t="shared" si="1"/>
        <v>1</v>
      </c>
      <c r="F497" s="6">
        <f t="shared" si="2"/>
        <v>13504</v>
      </c>
      <c r="G497" s="6">
        <f t="shared" si="3"/>
        <v>27801</v>
      </c>
      <c r="H497" s="6" t="str">
        <f t="shared" si="4"/>
        <v>E</v>
      </c>
      <c r="I497" s="6" t="str">
        <f t="shared" si="5"/>
        <v>Transformative change</v>
      </c>
      <c r="J497" s="6" t="str">
        <f t="shared" si="6"/>
        <v>High</v>
      </c>
      <c r="K497" s="6">
        <f t="shared" si="7"/>
        <v>197494</v>
      </c>
      <c r="L497" s="6">
        <f t="shared" si="8"/>
        <v>151473.2822</v>
      </c>
    </row>
    <row r="498">
      <c r="A498" s="4" t="s">
        <v>1365</v>
      </c>
      <c r="B498" s="4" t="s">
        <v>1366</v>
      </c>
      <c r="C498" s="4" t="s">
        <v>74</v>
      </c>
      <c r="D498" s="5">
        <v>14980.0</v>
      </c>
      <c r="E498" s="6">
        <f t="shared" si="1"/>
        <v>2</v>
      </c>
      <c r="F498" s="6">
        <f t="shared" si="2"/>
        <v>46865</v>
      </c>
      <c r="G498" s="6">
        <f t="shared" si="3"/>
        <v>33898</v>
      </c>
      <c r="H498" s="6" t="str">
        <f t="shared" si="4"/>
        <v>C</v>
      </c>
      <c r="I498" s="6" t="str">
        <f t="shared" si="5"/>
        <v>High ambition</v>
      </c>
      <c r="J498" s="6" t="str">
        <f t="shared" si="6"/>
        <v>Low</v>
      </c>
      <c r="K498" s="6">
        <f t="shared" si="7"/>
        <v>3536482</v>
      </c>
      <c r="L498" s="6">
        <f t="shared" si="8"/>
        <v>3168408.67</v>
      </c>
    </row>
    <row r="499">
      <c r="A499" s="4" t="s">
        <v>1367</v>
      </c>
      <c r="B499" s="4" t="s">
        <v>1368</v>
      </c>
      <c r="C499" s="4" t="s">
        <v>1369</v>
      </c>
      <c r="D499" s="5">
        <v>7118.0</v>
      </c>
      <c r="E499" s="6">
        <f t="shared" si="1"/>
        <v>2</v>
      </c>
      <c r="F499" s="6">
        <f t="shared" si="2"/>
        <v>64637</v>
      </c>
      <c r="G499" s="6">
        <f t="shared" si="3"/>
        <v>18295</v>
      </c>
      <c r="H499" s="6" t="str">
        <f t="shared" si="4"/>
        <v>C</v>
      </c>
      <c r="I499" s="6" t="str">
        <f t="shared" si="5"/>
        <v>Transformative change</v>
      </c>
      <c r="J499" s="6" t="str">
        <f t="shared" si="6"/>
        <v>Low</v>
      </c>
      <c r="K499" s="6">
        <f t="shared" si="7"/>
        <v>3163194</v>
      </c>
      <c r="L499" s="6">
        <f t="shared" si="8"/>
        <v>1628566.664</v>
      </c>
    </row>
    <row r="500">
      <c r="A500" s="4" t="s">
        <v>1370</v>
      </c>
      <c r="B500" s="4" t="s">
        <v>1371</v>
      </c>
      <c r="C500" s="4" t="s">
        <v>1372</v>
      </c>
      <c r="D500" s="5">
        <v>7291.0</v>
      </c>
      <c r="E500" s="6">
        <f t="shared" si="1"/>
        <v>1</v>
      </c>
      <c r="F500" s="6">
        <f t="shared" si="2"/>
        <v>72983</v>
      </c>
      <c r="G500" s="6">
        <f t="shared" si="3"/>
        <v>57384</v>
      </c>
      <c r="H500" s="6" t="str">
        <f t="shared" si="4"/>
        <v>B</v>
      </c>
      <c r="I500" s="6" t="str">
        <f t="shared" si="5"/>
        <v>Transformative change</v>
      </c>
      <c r="J500" s="6" t="str">
        <f t="shared" si="6"/>
        <v>Low</v>
      </c>
      <c r="K500" s="6">
        <f t="shared" si="7"/>
        <v>1314302</v>
      </c>
      <c r="L500" s="6">
        <f t="shared" si="8"/>
        <v>356181.5592</v>
      </c>
    </row>
    <row r="501">
      <c r="A501" s="4" t="s">
        <v>1373</v>
      </c>
      <c r="B501" s="4" t="s">
        <v>1374</v>
      </c>
      <c r="C501" s="4" t="s">
        <v>74</v>
      </c>
      <c r="D501" s="5">
        <v>87736.0</v>
      </c>
      <c r="E501" s="6">
        <f t="shared" si="1"/>
        <v>4</v>
      </c>
      <c r="F501" s="6">
        <f t="shared" si="2"/>
        <v>44508</v>
      </c>
      <c r="G501" s="6">
        <f t="shared" si="3"/>
        <v>41197</v>
      </c>
      <c r="H501" s="6" t="str">
        <f t="shared" si="4"/>
        <v>F</v>
      </c>
      <c r="I501" s="6" t="str">
        <f t="shared" si="5"/>
        <v>Transformative change</v>
      </c>
      <c r="J501" s="6" t="str">
        <f t="shared" si="6"/>
        <v>Medium</v>
      </c>
      <c r="K501" s="6">
        <f t="shared" si="7"/>
        <v>835803</v>
      </c>
      <c r="L501" s="6">
        <f t="shared" si="8"/>
        <v>809042.9684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  <col customWidth="1" min="8" max="8" width="16.86"/>
    <col customWidth="1" min="11" max="11" width="26.0"/>
  </cols>
  <sheetData>
    <row r="1">
      <c r="A1" s="1" t="s">
        <v>0</v>
      </c>
      <c r="B1" s="1" t="s">
        <v>1</v>
      </c>
      <c r="C1" s="1" t="s">
        <v>1375</v>
      </c>
      <c r="D1" s="2" t="s">
        <v>3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1376</v>
      </c>
      <c r="K1" s="2" t="s">
        <v>1377</v>
      </c>
      <c r="L1" s="2" t="s">
        <v>1378</v>
      </c>
    </row>
    <row r="2">
      <c r="A2" s="4" t="s">
        <v>12</v>
      </c>
      <c r="B2" s="4" t="s">
        <v>13</v>
      </c>
      <c r="C2" s="4" t="s">
        <v>14</v>
      </c>
      <c r="D2" s="5">
        <v>17100.0</v>
      </c>
      <c r="E2" s="6" t="str">
        <f t="shared" ref="E2:E501" si="1">CHOOSE(RANDBETWEEN(1,7),"A","B","C","D","E","F","G")</f>
        <v>D</v>
      </c>
      <c r="F2" s="6" t="str">
        <f t="shared" ref="F2:F501" si="2">CHOOSE(RANDBETWEEN(1,6),"Transformative change","High ambition","Transformative change","Transformative change","Transformative change","Transformative change")</f>
        <v>Transformative change</v>
      </c>
      <c r="G2" s="6" t="str">
        <f t="shared" ref="G2:G501" si="3">CHOOSE(RANDBETWEEN(1,3),"Low","Medium","High")</f>
        <v>Medium</v>
      </c>
      <c r="H2" s="6">
        <f t="shared" ref="H2:H501" si="4">RANDBETWEEN(40000,4000000)</f>
        <v>1873003</v>
      </c>
      <c r="I2" s="6">
        <f t="shared" ref="I2:I501" si="5">H2*RAND()</f>
        <v>1850505.669</v>
      </c>
      <c r="J2" s="6">
        <f t="shared" ref="J2:J501" si="6">D2*RANDBETWEEN(4,15)</f>
        <v>188100</v>
      </c>
      <c r="K2" s="6">
        <f t="shared" ref="K2:K501" si="7">ROUND(IF(J2/RANDBETWEEN(24,400)&lt;1100,RANDBETWEEN(800,1100),J2/RANDBETWEEN(24,400)),2)</f>
        <v>858.9</v>
      </c>
      <c r="L2" s="6">
        <f t="shared" ref="L2:L501" si="8">RANDBETWEEN(1,30)/100</f>
        <v>0.25</v>
      </c>
    </row>
    <row r="3">
      <c r="A3" s="4" t="s">
        <v>15</v>
      </c>
      <c r="B3" s="4" t="s">
        <v>16</v>
      </c>
      <c r="C3" s="4" t="s">
        <v>17</v>
      </c>
      <c r="D3" s="5">
        <v>89592.0</v>
      </c>
      <c r="E3" s="6" t="str">
        <f t="shared" si="1"/>
        <v>E</v>
      </c>
      <c r="F3" s="6" t="str">
        <f t="shared" si="2"/>
        <v>Transformative change</v>
      </c>
      <c r="G3" s="6" t="str">
        <f t="shared" si="3"/>
        <v>Medium</v>
      </c>
      <c r="H3" s="6">
        <f t="shared" si="4"/>
        <v>1466921</v>
      </c>
      <c r="I3" s="6">
        <f t="shared" si="5"/>
        <v>383851.551</v>
      </c>
      <c r="J3" s="6">
        <f t="shared" si="6"/>
        <v>1254288</v>
      </c>
      <c r="K3" s="6">
        <f t="shared" si="7"/>
        <v>41809.6</v>
      </c>
      <c r="L3" s="6">
        <f t="shared" si="8"/>
        <v>0.04</v>
      </c>
    </row>
    <row r="4">
      <c r="A4" s="4" t="s">
        <v>18</v>
      </c>
      <c r="B4" s="4" t="s">
        <v>19</v>
      </c>
      <c r="C4" s="4" t="s">
        <v>20</v>
      </c>
      <c r="D4" s="5">
        <v>23688.0</v>
      </c>
      <c r="E4" s="6" t="str">
        <f t="shared" si="1"/>
        <v>F</v>
      </c>
      <c r="F4" s="6" t="str">
        <f t="shared" si="2"/>
        <v>High ambition</v>
      </c>
      <c r="G4" s="6" t="str">
        <f t="shared" si="3"/>
        <v>High</v>
      </c>
      <c r="H4" s="6">
        <f t="shared" si="4"/>
        <v>1719282</v>
      </c>
      <c r="I4" s="6">
        <f t="shared" si="5"/>
        <v>708073.8574</v>
      </c>
      <c r="J4" s="6">
        <f t="shared" si="6"/>
        <v>118440</v>
      </c>
      <c r="K4" s="6">
        <f t="shared" si="7"/>
        <v>847</v>
      </c>
      <c r="L4" s="6">
        <f t="shared" si="8"/>
        <v>0.18</v>
      </c>
    </row>
    <row r="5">
      <c r="A5" s="4" t="s">
        <v>21</v>
      </c>
      <c r="B5" s="4" t="s">
        <v>22</v>
      </c>
      <c r="C5" s="4" t="s">
        <v>23</v>
      </c>
      <c r="D5" s="5">
        <v>707515.0</v>
      </c>
      <c r="E5" s="6" t="str">
        <f t="shared" si="1"/>
        <v>B</v>
      </c>
      <c r="F5" s="6" t="str">
        <f t="shared" si="2"/>
        <v>Transformative change</v>
      </c>
      <c r="G5" s="6" t="str">
        <f t="shared" si="3"/>
        <v>Medium</v>
      </c>
      <c r="H5" s="6">
        <f t="shared" si="4"/>
        <v>2453637</v>
      </c>
      <c r="I5" s="6">
        <f t="shared" si="5"/>
        <v>1225163.191</v>
      </c>
      <c r="J5" s="6">
        <f t="shared" si="6"/>
        <v>8490180</v>
      </c>
      <c r="K5" s="6">
        <f t="shared" si="7"/>
        <v>43317.24</v>
      </c>
      <c r="L5" s="6">
        <f t="shared" si="8"/>
        <v>0.13</v>
      </c>
    </row>
    <row r="6">
      <c r="A6" s="4" t="s">
        <v>24</v>
      </c>
      <c r="B6" s="4" t="s">
        <v>25</v>
      </c>
      <c r="C6" s="4" t="s">
        <v>26</v>
      </c>
      <c r="D6" s="5">
        <v>8954.0</v>
      </c>
      <c r="E6" s="6" t="str">
        <f t="shared" si="1"/>
        <v>G</v>
      </c>
      <c r="F6" s="6" t="str">
        <f t="shared" si="2"/>
        <v>Transformative change</v>
      </c>
      <c r="G6" s="6" t="str">
        <f t="shared" si="3"/>
        <v>Low</v>
      </c>
      <c r="H6" s="6">
        <f t="shared" si="4"/>
        <v>1365665</v>
      </c>
      <c r="I6" s="6">
        <f t="shared" si="5"/>
        <v>1230099.594</v>
      </c>
      <c r="J6" s="6">
        <f t="shared" si="6"/>
        <v>71632</v>
      </c>
      <c r="K6" s="6">
        <f t="shared" si="7"/>
        <v>969</v>
      </c>
      <c r="L6" s="6">
        <f t="shared" si="8"/>
        <v>0.05</v>
      </c>
    </row>
    <row r="7">
      <c r="A7" s="4" t="s">
        <v>27</v>
      </c>
      <c r="B7" s="4" t="s">
        <v>28</v>
      </c>
      <c r="C7" s="4" t="s">
        <v>29</v>
      </c>
      <c r="D7" s="5">
        <v>77325.0</v>
      </c>
      <c r="E7" s="6" t="str">
        <f t="shared" si="1"/>
        <v>F</v>
      </c>
      <c r="F7" s="6" t="str">
        <f t="shared" si="2"/>
        <v>High ambition</v>
      </c>
      <c r="G7" s="6" t="str">
        <f t="shared" si="3"/>
        <v>High</v>
      </c>
      <c r="H7" s="6">
        <f t="shared" si="4"/>
        <v>2060705</v>
      </c>
      <c r="I7" s="6">
        <f t="shared" si="5"/>
        <v>1374665.32</v>
      </c>
      <c r="J7" s="6">
        <f t="shared" si="6"/>
        <v>1159875</v>
      </c>
      <c r="K7" s="6">
        <f t="shared" si="7"/>
        <v>22305.29</v>
      </c>
      <c r="L7" s="6">
        <f t="shared" si="8"/>
        <v>0.08</v>
      </c>
    </row>
    <row r="8">
      <c r="A8" s="4" t="s">
        <v>30</v>
      </c>
      <c r="B8" s="4" t="s">
        <v>31</v>
      </c>
      <c r="C8" s="4" t="s">
        <v>32</v>
      </c>
      <c r="D8" s="5">
        <v>19336.0</v>
      </c>
      <c r="E8" s="6" t="str">
        <f t="shared" si="1"/>
        <v>C</v>
      </c>
      <c r="F8" s="6" t="str">
        <f t="shared" si="2"/>
        <v>Transformative change</v>
      </c>
      <c r="G8" s="6" t="str">
        <f t="shared" si="3"/>
        <v>Medium</v>
      </c>
      <c r="H8" s="6">
        <f t="shared" si="4"/>
        <v>3708031</v>
      </c>
      <c r="I8" s="6">
        <f t="shared" si="5"/>
        <v>235044.4799</v>
      </c>
      <c r="J8" s="6">
        <f t="shared" si="6"/>
        <v>154688</v>
      </c>
      <c r="K8" s="6">
        <f t="shared" si="7"/>
        <v>1009</v>
      </c>
      <c r="L8" s="6">
        <f t="shared" si="8"/>
        <v>0.1</v>
      </c>
    </row>
    <row r="9">
      <c r="A9" s="4" t="s">
        <v>33</v>
      </c>
      <c r="B9" s="4" t="s">
        <v>34</v>
      </c>
      <c r="C9" s="4" t="s">
        <v>35</v>
      </c>
      <c r="D9" s="5">
        <v>234404.0</v>
      </c>
      <c r="E9" s="6" t="str">
        <f t="shared" si="1"/>
        <v>E</v>
      </c>
      <c r="F9" s="6" t="str">
        <f t="shared" si="2"/>
        <v>Transformative change</v>
      </c>
      <c r="G9" s="6" t="str">
        <f t="shared" si="3"/>
        <v>Low</v>
      </c>
      <c r="H9" s="6">
        <f t="shared" si="4"/>
        <v>270536</v>
      </c>
      <c r="I9" s="6">
        <f t="shared" si="5"/>
        <v>42635.47701</v>
      </c>
      <c r="J9" s="6">
        <f t="shared" si="6"/>
        <v>1406424</v>
      </c>
      <c r="K9" s="6">
        <f t="shared" si="7"/>
        <v>5368.03</v>
      </c>
      <c r="L9" s="6">
        <f t="shared" si="8"/>
        <v>0.14</v>
      </c>
    </row>
    <row r="10">
      <c r="A10" s="4" t="s">
        <v>36</v>
      </c>
      <c r="B10" s="4" t="s">
        <v>37</v>
      </c>
      <c r="C10" s="4" t="s">
        <v>38</v>
      </c>
      <c r="D10" s="5">
        <v>14081.0</v>
      </c>
      <c r="E10" s="6" t="str">
        <f t="shared" si="1"/>
        <v>F</v>
      </c>
      <c r="F10" s="6" t="str">
        <f t="shared" si="2"/>
        <v>Transformative change</v>
      </c>
      <c r="G10" s="6" t="str">
        <f t="shared" si="3"/>
        <v>Medium</v>
      </c>
      <c r="H10" s="6">
        <f t="shared" si="4"/>
        <v>339024</v>
      </c>
      <c r="I10" s="6">
        <f t="shared" si="5"/>
        <v>305241.9863</v>
      </c>
      <c r="J10" s="6">
        <f t="shared" si="6"/>
        <v>126729</v>
      </c>
      <c r="K10" s="6">
        <f t="shared" si="7"/>
        <v>864</v>
      </c>
      <c r="L10" s="6">
        <f t="shared" si="8"/>
        <v>0.06</v>
      </c>
    </row>
    <row r="11">
      <c r="A11" s="4" t="s">
        <v>39</v>
      </c>
      <c r="B11" s="4" t="s">
        <v>40</v>
      </c>
      <c r="C11" s="4" t="s">
        <v>41</v>
      </c>
      <c r="D11" s="5">
        <v>14001.0</v>
      </c>
      <c r="E11" s="6" t="str">
        <f t="shared" si="1"/>
        <v>E</v>
      </c>
      <c r="F11" s="6" t="str">
        <f t="shared" si="2"/>
        <v>Transformative change</v>
      </c>
      <c r="G11" s="6" t="str">
        <f t="shared" si="3"/>
        <v>High</v>
      </c>
      <c r="H11" s="6">
        <f t="shared" si="4"/>
        <v>390341</v>
      </c>
      <c r="I11" s="6">
        <f t="shared" si="5"/>
        <v>151036.0208</v>
      </c>
      <c r="J11" s="6">
        <f t="shared" si="6"/>
        <v>56004</v>
      </c>
      <c r="K11" s="6">
        <f t="shared" si="7"/>
        <v>1053</v>
      </c>
      <c r="L11" s="6">
        <f t="shared" si="8"/>
        <v>0.01</v>
      </c>
    </row>
    <row r="12">
      <c r="A12" s="4" t="s">
        <v>42</v>
      </c>
      <c r="B12" s="4" t="s">
        <v>43</v>
      </c>
      <c r="C12" s="4" t="s">
        <v>44</v>
      </c>
      <c r="D12" s="5">
        <v>12157.0</v>
      </c>
      <c r="E12" s="6" t="str">
        <f t="shared" si="1"/>
        <v>D</v>
      </c>
      <c r="F12" s="6" t="str">
        <f t="shared" si="2"/>
        <v>Transformative change</v>
      </c>
      <c r="G12" s="6" t="str">
        <f t="shared" si="3"/>
        <v>High</v>
      </c>
      <c r="H12" s="6">
        <f t="shared" si="4"/>
        <v>3678559</v>
      </c>
      <c r="I12" s="6">
        <f t="shared" si="5"/>
        <v>892986.6412</v>
      </c>
      <c r="J12" s="6">
        <f t="shared" si="6"/>
        <v>48628</v>
      </c>
      <c r="K12" s="6">
        <f t="shared" si="7"/>
        <v>1016</v>
      </c>
      <c r="L12" s="6">
        <f t="shared" si="8"/>
        <v>0.13</v>
      </c>
    </row>
    <row r="13">
      <c r="A13" s="4" t="s">
        <v>45</v>
      </c>
      <c r="B13" s="4" t="s">
        <v>46</v>
      </c>
      <c r="C13" s="4" t="s">
        <v>47</v>
      </c>
      <c r="D13" s="5">
        <v>7259.0</v>
      </c>
      <c r="E13" s="6" t="str">
        <f t="shared" si="1"/>
        <v>G</v>
      </c>
      <c r="F13" s="6" t="str">
        <f t="shared" si="2"/>
        <v>Transformative change</v>
      </c>
      <c r="G13" s="6" t="str">
        <f t="shared" si="3"/>
        <v>High</v>
      </c>
      <c r="H13" s="6">
        <f t="shared" si="4"/>
        <v>3718433</v>
      </c>
      <c r="I13" s="6">
        <f t="shared" si="5"/>
        <v>1204498.46</v>
      </c>
      <c r="J13" s="6">
        <f t="shared" si="6"/>
        <v>72590</v>
      </c>
      <c r="K13" s="6">
        <f t="shared" si="7"/>
        <v>1093</v>
      </c>
      <c r="L13" s="6">
        <f t="shared" si="8"/>
        <v>0.29</v>
      </c>
    </row>
    <row r="14">
      <c r="A14" s="4" t="s">
        <v>48</v>
      </c>
      <c r="B14" s="4" t="s">
        <v>49</v>
      </c>
      <c r="C14" s="4" t="s">
        <v>50</v>
      </c>
      <c r="D14" s="5">
        <v>15765.0</v>
      </c>
      <c r="E14" s="6" t="str">
        <f t="shared" si="1"/>
        <v>D</v>
      </c>
      <c r="F14" s="6" t="str">
        <f t="shared" si="2"/>
        <v>Transformative change</v>
      </c>
      <c r="G14" s="6" t="str">
        <f t="shared" si="3"/>
        <v>High</v>
      </c>
      <c r="H14" s="6">
        <f t="shared" si="4"/>
        <v>2790351</v>
      </c>
      <c r="I14" s="6">
        <f t="shared" si="5"/>
        <v>486034.3016</v>
      </c>
      <c r="J14" s="6">
        <f t="shared" si="6"/>
        <v>204945</v>
      </c>
      <c r="K14" s="6">
        <f t="shared" si="7"/>
        <v>841</v>
      </c>
      <c r="L14" s="6">
        <f t="shared" si="8"/>
        <v>0.26</v>
      </c>
    </row>
    <row r="15">
      <c r="A15" s="4" t="s">
        <v>51</v>
      </c>
      <c r="B15" s="4" t="s">
        <v>52</v>
      </c>
      <c r="C15" s="4" t="s">
        <v>53</v>
      </c>
      <c r="D15" s="5">
        <v>11233.0</v>
      </c>
      <c r="E15" s="6" t="str">
        <f t="shared" si="1"/>
        <v>C</v>
      </c>
      <c r="F15" s="6" t="str">
        <f t="shared" si="2"/>
        <v>Transformative change</v>
      </c>
      <c r="G15" s="6" t="str">
        <f t="shared" si="3"/>
        <v>Low</v>
      </c>
      <c r="H15" s="6">
        <f t="shared" si="4"/>
        <v>2245997</v>
      </c>
      <c r="I15" s="6">
        <f t="shared" si="5"/>
        <v>2087977.052</v>
      </c>
      <c r="J15" s="6">
        <f t="shared" si="6"/>
        <v>134796</v>
      </c>
      <c r="K15" s="6">
        <f t="shared" si="7"/>
        <v>828</v>
      </c>
      <c r="L15" s="6">
        <f t="shared" si="8"/>
        <v>0.08</v>
      </c>
    </row>
    <row r="16">
      <c r="A16" s="4" t="s">
        <v>54</v>
      </c>
      <c r="B16" s="4" t="s">
        <v>55</v>
      </c>
      <c r="C16" s="4" t="s">
        <v>56</v>
      </c>
      <c r="D16" s="5">
        <v>5414.0</v>
      </c>
      <c r="E16" s="6" t="str">
        <f t="shared" si="1"/>
        <v>F</v>
      </c>
      <c r="F16" s="6" t="str">
        <f t="shared" si="2"/>
        <v>Transformative change</v>
      </c>
      <c r="G16" s="6" t="str">
        <f t="shared" si="3"/>
        <v>Medium</v>
      </c>
      <c r="H16" s="6">
        <f t="shared" si="4"/>
        <v>1383931</v>
      </c>
      <c r="I16" s="6">
        <f t="shared" si="5"/>
        <v>848046.6411</v>
      </c>
      <c r="J16" s="6">
        <f t="shared" si="6"/>
        <v>21656</v>
      </c>
      <c r="K16" s="6">
        <f t="shared" si="7"/>
        <v>1085</v>
      </c>
      <c r="L16" s="6">
        <f t="shared" si="8"/>
        <v>0.28</v>
      </c>
    </row>
    <row r="17">
      <c r="A17" s="4" t="s">
        <v>57</v>
      </c>
      <c r="B17" s="4" t="s">
        <v>58</v>
      </c>
      <c r="C17" s="4" t="s">
        <v>59</v>
      </c>
      <c r="D17" s="5">
        <v>10706.0</v>
      </c>
      <c r="E17" s="6" t="str">
        <f t="shared" si="1"/>
        <v>D</v>
      </c>
      <c r="F17" s="6" t="str">
        <f t="shared" si="2"/>
        <v>High ambition</v>
      </c>
      <c r="G17" s="6" t="str">
        <f t="shared" si="3"/>
        <v>Low</v>
      </c>
      <c r="H17" s="6">
        <f t="shared" si="4"/>
        <v>3054336</v>
      </c>
      <c r="I17" s="6">
        <f t="shared" si="5"/>
        <v>21483.49806</v>
      </c>
      <c r="J17" s="6">
        <f t="shared" si="6"/>
        <v>117766</v>
      </c>
      <c r="K17" s="6">
        <f t="shared" si="7"/>
        <v>929</v>
      </c>
      <c r="L17" s="6">
        <f t="shared" si="8"/>
        <v>0.24</v>
      </c>
    </row>
    <row r="18">
      <c r="A18" s="4" t="s">
        <v>60</v>
      </c>
      <c r="B18" s="4" t="s">
        <v>61</v>
      </c>
      <c r="C18" s="4" t="s">
        <v>62</v>
      </c>
      <c r="D18" s="5">
        <v>8842.0</v>
      </c>
      <c r="E18" s="6" t="str">
        <f t="shared" si="1"/>
        <v>A</v>
      </c>
      <c r="F18" s="6" t="str">
        <f t="shared" si="2"/>
        <v>Transformative change</v>
      </c>
      <c r="G18" s="6" t="str">
        <f t="shared" si="3"/>
        <v>Low</v>
      </c>
      <c r="H18" s="6">
        <f t="shared" si="4"/>
        <v>1382111</v>
      </c>
      <c r="I18" s="6">
        <f t="shared" si="5"/>
        <v>764916.7394</v>
      </c>
      <c r="J18" s="6">
        <f t="shared" si="6"/>
        <v>53052</v>
      </c>
      <c r="K18" s="6">
        <f t="shared" si="7"/>
        <v>1040</v>
      </c>
      <c r="L18" s="6">
        <f t="shared" si="8"/>
        <v>0.06</v>
      </c>
    </row>
    <row r="19">
      <c r="A19" s="4" t="s">
        <v>63</v>
      </c>
      <c r="B19" s="4" t="s">
        <v>64</v>
      </c>
      <c r="C19" s="4" t="s">
        <v>65</v>
      </c>
      <c r="D19" s="5">
        <v>184035.0</v>
      </c>
      <c r="E19" s="6" t="str">
        <f t="shared" si="1"/>
        <v>G</v>
      </c>
      <c r="F19" s="6" t="str">
        <f t="shared" si="2"/>
        <v>High ambition</v>
      </c>
      <c r="G19" s="6" t="str">
        <f t="shared" si="3"/>
        <v>Medium</v>
      </c>
      <c r="H19" s="6">
        <f t="shared" si="4"/>
        <v>3227572</v>
      </c>
      <c r="I19" s="6">
        <f t="shared" si="5"/>
        <v>3100792.44</v>
      </c>
      <c r="J19" s="6">
        <f t="shared" si="6"/>
        <v>1104210</v>
      </c>
      <c r="K19" s="6">
        <f t="shared" si="7"/>
        <v>6944.72</v>
      </c>
      <c r="L19" s="6">
        <f t="shared" si="8"/>
        <v>0.17</v>
      </c>
    </row>
    <row r="20">
      <c r="A20" s="4" t="s">
        <v>66</v>
      </c>
      <c r="B20" s="4" t="s">
        <v>67</v>
      </c>
      <c r="C20" s="4" t="s">
        <v>68</v>
      </c>
      <c r="D20" s="5">
        <v>23265.0</v>
      </c>
      <c r="E20" s="6" t="str">
        <f t="shared" si="1"/>
        <v>D</v>
      </c>
      <c r="F20" s="6" t="str">
        <f t="shared" si="2"/>
        <v>Transformative change</v>
      </c>
      <c r="G20" s="6" t="str">
        <f t="shared" si="3"/>
        <v>Low</v>
      </c>
      <c r="H20" s="6">
        <f t="shared" si="4"/>
        <v>1353933</v>
      </c>
      <c r="I20" s="6">
        <f t="shared" si="5"/>
        <v>636606.7385</v>
      </c>
      <c r="J20" s="6">
        <f t="shared" si="6"/>
        <v>325710</v>
      </c>
      <c r="K20" s="6">
        <f t="shared" si="7"/>
        <v>11231.38</v>
      </c>
      <c r="L20" s="6">
        <f t="shared" si="8"/>
        <v>0.14</v>
      </c>
    </row>
    <row r="21">
      <c r="A21" s="4" t="s">
        <v>69</v>
      </c>
      <c r="B21" s="4" t="s">
        <v>70</v>
      </c>
      <c r="C21" s="4" t="s">
        <v>71</v>
      </c>
      <c r="D21" s="5">
        <v>346162.0</v>
      </c>
      <c r="E21" s="6" t="str">
        <f t="shared" si="1"/>
        <v>D</v>
      </c>
      <c r="F21" s="6" t="str">
        <f t="shared" si="2"/>
        <v>Transformative change</v>
      </c>
      <c r="G21" s="6" t="str">
        <f t="shared" si="3"/>
        <v>Low</v>
      </c>
      <c r="H21" s="6">
        <f t="shared" si="4"/>
        <v>420830</v>
      </c>
      <c r="I21" s="6">
        <f t="shared" si="5"/>
        <v>406922.7987</v>
      </c>
      <c r="J21" s="6">
        <f t="shared" si="6"/>
        <v>3115458</v>
      </c>
      <c r="K21" s="6">
        <f t="shared" si="7"/>
        <v>13724.48</v>
      </c>
      <c r="L21" s="6">
        <f t="shared" si="8"/>
        <v>0.2</v>
      </c>
    </row>
    <row r="22">
      <c r="A22" s="4" t="s">
        <v>72</v>
      </c>
      <c r="B22" s="4" t="s">
        <v>73</v>
      </c>
      <c r="C22" s="4" t="s">
        <v>74</v>
      </c>
      <c r="D22" s="5">
        <v>8699.0</v>
      </c>
      <c r="E22" s="6" t="str">
        <f t="shared" si="1"/>
        <v>D</v>
      </c>
      <c r="F22" s="6" t="str">
        <f t="shared" si="2"/>
        <v>Transformative change</v>
      </c>
      <c r="G22" s="6" t="str">
        <f t="shared" si="3"/>
        <v>Low</v>
      </c>
      <c r="H22" s="6">
        <f t="shared" si="4"/>
        <v>3873077</v>
      </c>
      <c r="I22" s="6">
        <f t="shared" si="5"/>
        <v>1466812.031</v>
      </c>
      <c r="J22" s="6">
        <f t="shared" si="6"/>
        <v>130485</v>
      </c>
      <c r="K22" s="6">
        <f t="shared" si="7"/>
        <v>936</v>
      </c>
      <c r="L22" s="6">
        <f t="shared" si="8"/>
        <v>0.07</v>
      </c>
    </row>
    <row r="23">
      <c r="A23" s="4" t="s">
        <v>75</v>
      </c>
      <c r="B23" s="4" t="s">
        <v>76</v>
      </c>
      <c r="C23" s="4" t="s">
        <v>77</v>
      </c>
      <c r="D23" s="5">
        <v>18346.0</v>
      </c>
      <c r="E23" s="6" t="str">
        <f t="shared" si="1"/>
        <v>D</v>
      </c>
      <c r="F23" s="6" t="str">
        <f t="shared" si="2"/>
        <v>Transformative change</v>
      </c>
      <c r="G23" s="6" t="str">
        <f t="shared" si="3"/>
        <v>Low</v>
      </c>
      <c r="H23" s="6">
        <f t="shared" si="4"/>
        <v>1463880</v>
      </c>
      <c r="I23" s="6">
        <f t="shared" si="5"/>
        <v>78640.18766</v>
      </c>
      <c r="J23" s="6">
        <f t="shared" si="6"/>
        <v>183460</v>
      </c>
      <c r="K23" s="6">
        <f t="shared" si="7"/>
        <v>998</v>
      </c>
      <c r="L23" s="6">
        <f t="shared" si="8"/>
        <v>0.11</v>
      </c>
    </row>
    <row r="24">
      <c r="A24" s="4" t="s">
        <v>78</v>
      </c>
      <c r="B24" s="4" t="s">
        <v>79</v>
      </c>
      <c r="C24" s="4" t="s">
        <v>74</v>
      </c>
      <c r="D24" s="5">
        <v>17503.0</v>
      </c>
      <c r="E24" s="6" t="str">
        <f t="shared" si="1"/>
        <v>D</v>
      </c>
      <c r="F24" s="6" t="str">
        <f t="shared" si="2"/>
        <v>Transformative change</v>
      </c>
      <c r="G24" s="6" t="str">
        <f t="shared" si="3"/>
        <v>Low</v>
      </c>
      <c r="H24" s="6">
        <f t="shared" si="4"/>
        <v>2101744</v>
      </c>
      <c r="I24" s="6">
        <f t="shared" si="5"/>
        <v>124145.3284</v>
      </c>
      <c r="J24" s="6">
        <f t="shared" si="6"/>
        <v>192533</v>
      </c>
      <c r="K24" s="6">
        <f t="shared" si="7"/>
        <v>1504.16</v>
      </c>
      <c r="L24" s="6">
        <f t="shared" si="8"/>
        <v>0.28</v>
      </c>
    </row>
    <row r="25">
      <c r="A25" s="4" t="s">
        <v>80</v>
      </c>
      <c r="B25" s="4" t="s">
        <v>81</v>
      </c>
      <c r="C25" s="4" t="s">
        <v>82</v>
      </c>
      <c r="D25" s="5">
        <v>18902.0</v>
      </c>
      <c r="E25" s="6" t="str">
        <f t="shared" si="1"/>
        <v>F</v>
      </c>
      <c r="F25" s="6" t="str">
        <f t="shared" si="2"/>
        <v>Transformative change</v>
      </c>
      <c r="G25" s="6" t="str">
        <f t="shared" si="3"/>
        <v>Medium</v>
      </c>
      <c r="H25" s="6">
        <f t="shared" si="4"/>
        <v>3260255</v>
      </c>
      <c r="I25" s="6">
        <f t="shared" si="5"/>
        <v>1926845.71</v>
      </c>
      <c r="J25" s="6">
        <f t="shared" si="6"/>
        <v>264628</v>
      </c>
      <c r="K25" s="6">
        <f t="shared" si="7"/>
        <v>1876.79</v>
      </c>
      <c r="L25" s="6">
        <f t="shared" si="8"/>
        <v>0.2</v>
      </c>
    </row>
    <row r="26">
      <c r="A26" s="4" t="s">
        <v>83</v>
      </c>
      <c r="B26" s="4" t="s">
        <v>84</v>
      </c>
      <c r="C26" s="4" t="s">
        <v>85</v>
      </c>
      <c r="D26" s="5">
        <v>5670.0</v>
      </c>
      <c r="E26" s="6" t="str">
        <f t="shared" si="1"/>
        <v>G</v>
      </c>
      <c r="F26" s="6" t="str">
        <f t="shared" si="2"/>
        <v>Transformative change</v>
      </c>
      <c r="G26" s="6" t="str">
        <f t="shared" si="3"/>
        <v>Low</v>
      </c>
      <c r="H26" s="6">
        <f t="shared" si="4"/>
        <v>3020005</v>
      </c>
      <c r="I26" s="6">
        <f t="shared" si="5"/>
        <v>2834168.452</v>
      </c>
      <c r="J26" s="6">
        <f t="shared" si="6"/>
        <v>45360</v>
      </c>
      <c r="K26" s="6">
        <f t="shared" si="7"/>
        <v>821</v>
      </c>
      <c r="L26" s="6">
        <f t="shared" si="8"/>
        <v>0.12</v>
      </c>
    </row>
    <row r="27">
      <c r="A27" s="4" t="s">
        <v>86</v>
      </c>
      <c r="B27" s="4" t="s">
        <v>87</v>
      </c>
      <c r="C27" s="4" t="s">
        <v>88</v>
      </c>
      <c r="D27" s="5">
        <v>50696.0</v>
      </c>
      <c r="E27" s="6" t="str">
        <f t="shared" si="1"/>
        <v>E</v>
      </c>
      <c r="F27" s="6" t="str">
        <f t="shared" si="2"/>
        <v>Transformative change</v>
      </c>
      <c r="G27" s="6" t="str">
        <f t="shared" si="3"/>
        <v>Low</v>
      </c>
      <c r="H27" s="6">
        <f t="shared" si="4"/>
        <v>3401831</v>
      </c>
      <c r="I27" s="6">
        <f t="shared" si="5"/>
        <v>2351464.28</v>
      </c>
      <c r="J27" s="6">
        <f t="shared" si="6"/>
        <v>506960</v>
      </c>
      <c r="K27" s="6">
        <f t="shared" si="7"/>
        <v>2357.95</v>
      </c>
      <c r="L27" s="6">
        <f t="shared" si="8"/>
        <v>0.29</v>
      </c>
    </row>
    <row r="28">
      <c r="A28" s="4" t="s">
        <v>89</v>
      </c>
      <c r="B28" s="4" t="s">
        <v>90</v>
      </c>
      <c r="C28" s="4" t="s">
        <v>91</v>
      </c>
      <c r="D28" s="5">
        <v>16670.0</v>
      </c>
      <c r="E28" s="6" t="str">
        <f t="shared" si="1"/>
        <v>B</v>
      </c>
      <c r="F28" s="6" t="str">
        <f t="shared" si="2"/>
        <v>Transformative change</v>
      </c>
      <c r="G28" s="6" t="str">
        <f t="shared" si="3"/>
        <v>Low</v>
      </c>
      <c r="H28" s="6">
        <f t="shared" si="4"/>
        <v>2160620</v>
      </c>
      <c r="I28" s="6">
        <f t="shared" si="5"/>
        <v>290244.3348</v>
      </c>
      <c r="J28" s="6">
        <f t="shared" si="6"/>
        <v>183370</v>
      </c>
      <c r="K28" s="6">
        <f t="shared" si="7"/>
        <v>1060</v>
      </c>
      <c r="L28" s="6">
        <f t="shared" si="8"/>
        <v>0.22</v>
      </c>
    </row>
    <row r="29">
      <c r="A29" s="4" t="s">
        <v>92</v>
      </c>
      <c r="B29" s="4" t="s">
        <v>93</v>
      </c>
      <c r="C29" s="4" t="s">
        <v>74</v>
      </c>
      <c r="D29" s="5">
        <v>6941.0</v>
      </c>
      <c r="E29" s="6" t="str">
        <f t="shared" si="1"/>
        <v>F</v>
      </c>
      <c r="F29" s="6" t="str">
        <f t="shared" si="2"/>
        <v>Transformative change</v>
      </c>
      <c r="G29" s="6" t="str">
        <f t="shared" si="3"/>
        <v>High</v>
      </c>
      <c r="H29" s="6">
        <f t="shared" si="4"/>
        <v>2878883</v>
      </c>
      <c r="I29" s="6">
        <f t="shared" si="5"/>
        <v>57011.74115</v>
      </c>
      <c r="J29" s="6">
        <f t="shared" si="6"/>
        <v>34705</v>
      </c>
      <c r="K29" s="6">
        <f t="shared" si="7"/>
        <v>897</v>
      </c>
      <c r="L29" s="6">
        <f t="shared" si="8"/>
        <v>0.15</v>
      </c>
    </row>
    <row r="30">
      <c r="A30" s="4" t="s">
        <v>94</v>
      </c>
      <c r="B30" s="4" t="s">
        <v>95</v>
      </c>
      <c r="C30" s="4" t="s">
        <v>96</v>
      </c>
      <c r="D30" s="5">
        <v>108146.0</v>
      </c>
      <c r="E30" s="6" t="str">
        <f t="shared" si="1"/>
        <v>E</v>
      </c>
      <c r="F30" s="6" t="str">
        <f t="shared" si="2"/>
        <v>Transformative change</v>
      </c>
      <c r="G30" s="6" t="str">
        <f t="shared" si="3"/>
        <v>Low</v>
      </c>
      <c r="H30" s="6">
        <f t="shared" si="4"/>
        <v>2909322</v>
      </c>
      <c r="I30" s="6">
        <f t="shared" si="5"/>
        <v>458056.2003</v>
      </c>
      <c r="J30" s="6">
        <f t="shared" si="6"/>
        <v>1081460</v>
      </c>
      <c r="K30" s="6">
        <f t="shared" si="7"/>
        <v>4915.73</v>
      </c>
      <c r="L30" s="6">
        <f t="shared" si="8"/>
        <v>0.1</v>
      </c>
    </row>
    <row r="31">
      <c r="A31" s="4" t="s">
        <v>97</v>
      </c>
      <c r="B31" s="4" t="s">
        <v>98</v>
      </c>
      <c r="C31" s="4" t="s">
        <v>99</v>
      </c>
      <c r="D31" s="5">
        <v>457645.0</v>
      </c>
      <c r="E31" s="6" t="str">
        <f t="shared" si="1"/>
        <v>D</v>
      </c>
      <c r="F31" s="6" t="str">
        <f t="shared" si="2"/>
        <v>Transformative change</v>
      </c>
      <c r="G31" s="6" t="str">
        <f t="shared" si="3"/>
        <v>High</v>
      </c>
      <c r="H31" s="6">
        <f t="shared" si="4"/>
        <v>2865605</v>
      </c>
      <c r="I31" s="6">
        <f t="shared" si="5"/>
        <v>1478251.955</v>
      </c>
      <c r="J31" s="6">
        <f t="shared" si="6"/>
        <v>2288225</v>
      </c>
      <c r="K31" s="6">
        <f t="shared" si="7"/>
        <v>28602.81</v>
      </c>
      <c r="L31" s="6">
        <f t="shared" si="8"/>
        <v>0.26</v>
      </c>
    </row>
    <row r="32">
      <c r="A32" s="4" t="s">
        <v>100</v>
      </c>
      <c r="B32" s="4" t="s">
        <v>101</v>
      </c>
      <c r="C32" s="4" t="s">
        <v>102</v>
      </c>
      <c r="D32" s="5">
        <v>19133.0</v>
      </c>
      <c r="E32" s="6" t="str">
        <f t="shared" si="1"/>
        <v>F</v>
      </c>
      <c r="F32" s="6" t="str">
        <f t="shared" si="2"/>
        <v>High ambition</v>
      </c>
      <c r="G32" s="6" t="str">
        <f t="shared" si="3"/>
        <v>Medium</v>
      </c>
      <c r="H32" s="6">
        <f t="shared" si="4"/>
        <v>3150574</v>
      </c>
      <c r="I32" s="6">
        <f t="shared" si="5"/>
        <v>2442402.67</v>
      </c>
      <c r="J32" s="6">
        <f t="shared" si="6"/>
        <v>248729</v>
      </c>
      <c r="K32" s="6">
        <f t="shared" si="7"/>
        <v>1099</v>
      </c>
      <c r="L32" s="6">
        <f t="shared" si="8"/>
        <v>0.03</v>
      </c>
    </row>
    <row r="33">
      <c r="A33" s="4" t="s">
        <v>103</v>
      </c>
      <c r="B33" s="4" t="s">
        <v>104</v>
      </c>
      <c r="C33" s="4" t="s">
        <v>41</v>
      </c>
      <c r="D33" s="5">
        <v>261473.0</v>
      </c>
      <c r="E33" s="6" t="str">
        <f t="shared" si="1"/>
        <v>E</v>
      </c>
      <c r="F33" s="6" t="str">
        <f t="shared" si="2"/>
        <v>Transformative change</v>
      </c>
      <c r="G33" s="6" t="str">
        <f t="shared" si="3"/>
        <v>High</v>
      </c>
      <c r="H33" s="6">
        <f t="shared" si="4"/>
        <v>1521099</v>
      </c>
      <c r="I33" s="6">
        <f t="shared" si="5"/>
        <v>795797.7728</v>
      </c>
      <c r="J33" s="6">
        <f t="shared" si="6"/>
        <v>3922095</v>
      </c>
      <c r="K33" s="6">
        <f t="shared" si="7"/>
        <v>62255.48</v>
      </c>
      <c r="L33" s="6">
        <f t="shared" si="8"/>
        <v>0.24</v>
      </c>
    </row>
    <row r="34">
      <c r="A34" s="4" t="s">
        <v>105</v>
      </c>
      <c r="B34" s="4" t="s">
        <v>106</v>
      </c>
      <c r="C34" s="4" t="s">
        <v>107</v>
      </c>
      <c r="D34" s="5">
        <v>7672.0</v>
      </c>
      <c r="E34" s="6" t="str">
        <f t="shared" si="1"/>
        <v>B</v>
      </c>
      <c r="F34" s="6" t="str">
        <f t="shared" si="2"/>
        <v>Transformative change</v>
      </c>
      <c r="G34" s="6" t="str">
        <f t="shared" si="3"/>
        <v>High</v>
      </c>
      <c r="H34" s="6">
        <f t="shared" si="4"/>
        <v>2718796</v>
      </c>
      <c r="I34" s="6">
        <f t="shared" si="5"/>
        <v>1455181.393</v>
      </c>
      <c r="J34" s="6">
        <f t="shared" si="6"/>
        <v>69048</v>
      </c>
      <c r="K34" s="6">
        <f t="shared" si="7"/>
        <v>1099</v>
      </c>
      <c r="L34" s="6">
        <f t="shared" si="8"/>
        <v>0.13</v>
      </c>
    </row>
    <row r="35">
      <c r="A35" s="4" t="s">
        <v>108</v>
      </c>
      <c r="B35" s="4" t="s">
        <v>109</v>
      </c>
      <c r="C35" s="4" t="s">
        <v>110</v>
      </c>
      <c r="D35" s="5">
        <v>51061.0</v>
      </c>
      <c r="E35" s="6" t="str">
        <f t="shared" si="1"/>
        <v>G</v>
      </c>
      <c r="F35" s="6" t="str">
        <f t="shared" si="2"/>
        <v>High ambition</v>
      </c>
      <c r="G35" s="6" t="str">
        <f t="shared" si="3"/>
        <v>High</v>
      </c>
      <c r="H35" s="6">
        <f t="shared" si="4"/>
        <v>705835</v>
      </c>
      <c r="I35" s="6">
        <f t="shared" si="5"/>
        <v>586674.3402</v>
      </c>
      <c r="J35" s="6">
        <f t="shared" si="6"/>
        <v>255305</v>
      </c>
      <c r="K35" s="6">
        <f t="shared" si="7"/>
        <v>814</v>
      </c>
      <c r="L35" s="6">
        <f t="shared" si="8"/>
        <v>0.06</v>
      </c>
    </row>
    <row r="36">
      <c r="A36" s="4" t="s">
        <v>111</v>
      </c>
      <c r="B36" s="4" t="s">
        <v>112</v>
      </c>
      <c r="C36" s="4" t="s">
        <v>113</v>
      </c>
      <c r="D36" s="5">
        <v>14223.0</v>
      </c>
      <c r="E36" s="6" t="str">
        <f t="shared" si="1"/>
        <v>F</v>
      </c>
      <c r="F36" s="6" t="str">
        <f t="shared" si="2"/>
        <v>Transformative change</v>
      </c>
      <c r="G36" s="6" t="str">
        <f t="shared" si="3"/>
        <v>Medium</v>
      </c>
      <c r="H36" s="6">
        <f t="shared" si="4"/>
        <v>1955053</v>
      </c>
      <c r="I36" s="6">
        <f t="shared" si="5"/>
        <v>877362.9264</v>
      </c>
      <c r="J36" s="6">
        <f t="shared" si="6"/>
        <v>85338</v>
      </c>
      <c r="K36" s="6">
        <f t="shared" si="7"/>
        <v>952</v>
      </c>
      <c r="L36" s="6">
        <f t="shared" si="8"/>
        <v>0.3</v>
      </c>
    </row>
    <row r="37">
      <c r="A37" s="4" t="s">
        <v>114</v>
      </c>
      <c r="B37" s="4" t="s">
        <v>115</v>
      </c>
      <c r="C37" s="4" t="s">
        <v>116</v>
      </c>
      <c r="D37" s="5">
        <v>93776.0</v>
      </c>
      <c r="E37" s="6" t="str">
        <f t="shared" si="1"/>
        <v>G</v>
      </c>
      <c r="F37" s="6" t="str">
        <f t="shared" si="2"/>
        <v>Transformative change</v>
      </c>
      <c r="G37" s="6" t="str">
        <f t="shared" si="3"/>
        <v>Low</v>
      </c>
      <c r="H37" s="6">
        <f t="shared" si="4"/>
        <v>833581</v>
      </c>
      <c r="I37" s="6">
        <f t="shared" si="5"/>
        <v>105184.0523</v>
      </c>
      <c r="J37" s="6">
        <f t="shared" si="6"/>
        <v>1219088</v>
      </c>
      <c r="K37" s="6">
        <f t="shared" si="7"/>
        <v>3997.01</v>
      </c>
      <c r="L37" s="6">
        <f t="shared" si="8"/>
        <v>0.19</v>
      </c>
    </row>
    <row r="38">
      <c r="A38" s="4" t="s">
        <v>117</v>
      </c>
      <c r="B38" s="4" t="s">
        <v>118</v>
      </c>
      <c r="C38" s="4" t="s">
        <v>119</v>
      </c>
      <c r="D38" s="5">
        <v>11389.0</v>
      </c>
      <c r="E38" s="6" t="str">
        <f t="shared" si="1"/>
        <v>A</v>
      </c>
      <c r="F38" s="6" t="str">
        <f t="shared" si="2"/>
        <v>Transformative change</v>
      </c>
      <c r="G38" s="6" t="str">
        <f t="shared" si="3"/>
        <v>High</v>
      </c>
      <c r="H38" s="6">
        <f t="shared" si="4"/>
        <v>1269223</v>
      </c>
      <c r="I38" s="6">
        <f t="shared" si="5"/>
        <v>424774.2988</v>
      </c>
      <c r="J38" s="6">
        <f t="shared" si="6"/>
        <v>56945</v>
      </c>
      <c r="K38" s="6">
        <f t="shared" si="7"/>
        <v>1010</v>
      </c>
      <c r="L38" s="6">
        <f t="shared" si="8"/>
        <v>0.05</v>
      </c>
    </row>
    <row r="39">
      <c r="A39" s="4" t="s">
        <v>120</v>
      </c>
      <c r="B39" s="4" t="s">
        <v>121</v>
      </c>
      <c r="C39" s="4" t="s">
        <v>122</v>
      </c>
      <c r="D39" s="5">
        <v>14553.0</v>
      </c>
      <c r="E39" s="6" t="str">
        <f t="shared" si="1"/>
        <v>E</v>
      </c>
      <c r="F39" s="6" t="str">
        <f t="shared" si="2"/>
        <v>Transformative change</v>
      </c>
      <c r="G39" s="6" t="str">
        <f t="shared" si="3"/>
        <v>High</v>
      </c>
      <c r="H39" s="6">
        <f t="shared" si="4"/>
        <v>1678792</v>
      </c>
      <c r="I39" s="6">
        <f t="shared" si="5"/>
        <v>592158.1355</v>
      </c>
      <c r="J39" s="6">
        <f t="shared" si="6"/>
        <v>218295</v>
      </c>
      <c r="K39" s="6">
        <f t="shared" si="7"/>
        <v>993</v>
      </c>
      <c r="L39" s="6">
        <f t="shared" si="8"/>
        <v>0.03</v>
      </c>
    </row>
    <row r="40">
      <c r="A40" s="4" t="s">
        <v>123</v>
      </c>
      <c r="B40" s="4" t="s">
        <v>124</v>
      </c>
      <c r="C40" s="4" t="s">
        <v>125</v>
      </c>
      <c r="D40" s="5">
        <v>11856.0</v>
      </c>
      <c r="E40" s="6" t="str">
        <f t="shared" si="1"/>
        <v>B</v>
      </c>
      <c r="F40" s="6" t="str">
        <f t="shared" si="2"/>
        <v>Transformative change</v>
      </c>
      <c r="G40" s="6" t="str">
        <f t="shared" si="3"/>
        <v>High</v>
      </c>
      <c r="H40" s="6">
        <f t="shared" si="4"/>
        <v>3687622</v>
      </c>
      <c r="I40" s="6">
        <f t="shared" si="5"/>
        <v>1192038.523</v>
      </c>
      <c r="J40" s="6">
        <f t="shared" si="6"/>
        <v>47424</v>
      </c>
      <c r="K40" s="6">
        <f t="shared" si="7"/>
        <v>1011</v>
      </c>
      <c r="L40" s="6">
        <f t="shared" si="8"/>
        <v>0.2</v>
      </c>
    </row>
    <row r="41">
      <c r="A41" s="4" t="s">
        <v>126</v>
      </c>
      <c r="B41" s="4" t="s">
        <v>127</v>
      </c>
      <c r="C41" s="4" t="s">
        <v>128</v>
      </c>
      <c r="D41" s="5">
        <v>72796.0</v>
      </c>
      <c r="E41" s="6" t="str">
        <f t="shared" si="1"/>
        <v>D</v>
      </c>
      <c r="F41" s="6" t="str">
        <f t="shared" si="2"/>
        <v>Transformative change</v>
      </c>
      <c r="G41" s="6" t="str">
        <f t="shared" si="3"/>
        <v>Low</v>
      </c>
      <c r="H41" s="6">
        <f t="shared" si="4"/>
        <v>3199481</v>
      </c>
      <c r="I41" s="6">
        <f t="shared" si="5"/>
        <v>1552061.824</v>
      </c>
      <c r="J41" s="6">
        <f t="shared" si="6"/>
        <v>436776</v>
      </c>
      <c r="K41" s="6">
        <f t="shared" si="7"/>
        <v>1382.2</v>
      </c>
      <c r="L41" s="6">
        <f t="shared" si="8"/>
        <v>0.1</v>
      </c>
    </row>
    <row r="42">
      <c r="A42" s="4" t="s">
        <v>129</v>
      </c>
      <c r="B42" s="4" t="s">
        <v>130</v>
      </c>
      <c r="C42" s="4" t="s">
        <v>131</v>
      </c>
      <c r="D42" s="5">
        <v>7633.0</v>
      </c>
      <c r="E42" s="6" t="str">
        <f t="shared" si="1"/>
        <v>G</v>
      </c>
      <c r="F42" s="6" t="str">
        <f t="shared" si="2"/>
        <v>Transformative change</v>
      </c>
      <c r="G42" s="6" t="str">
        <f t="shared" si="3"/>
        <v>High</v>
      </c>
      <c r="H42" s="6">
        <f t="shared" si="4"/>
        <v>2566104</v>
      </c>
      <c r="I42" s="6">
        <f t="shared" si="5"/>
        <v>52292.71117</v>
      </c>
      <c r="J42" s="6">
        <f t="shared" si="6"/>
        <v>61064</v>
      </c>
      <c r="K42" s="6">
        <f t="shared" si="7"/>
        <v>1033</v>
      </c>
      <c r="L42" s="6">
        <f t="shared" si="8"/>
        <v>0.25</v>
      </c>
    </row>
    <row r="43">
      <c r="A43" s="4" t="s">
        <v>132</v>
      </c>
      <c r="B43" s="4" t="s">
        <v>133</v>
      </c>
      <c r="C43" s="4" t="s">
        <v>134</v>
      </c>
      <c r="D43" s="5">
        <v>11891.0</v>
      </c>
      <c r="E43" s="6" t="str">
        <f t="shared" si="1"/>
        <v>A</v>
      </c>
      <c r="F43" s="6" t="str">
        <f t="shared" si="2"/>
        <v>Transformative change</v>
      </c>
      <c r="G43" s="6" t="str">
        <f t="shared" si="3"/>
        <v>Low</v>
      </c>
      <c r="H43" s="6">
        <f t="shared" si="4"/>
        <v>435552</v>
      </c>
      <c r="I43" s="6">
        <f t="shared" si="5"/>
        <v>91026.87983</v>
      </c>
      <c r="J43" s="6">
        <f t="shared" si="6"/>
        <v>130801</v>
      </c>
      <c r="K43" s="6">
        <f t="shared" si="7"/>
        <v>898</v>
      </c>
      <c r="L43" s="6">
        <f t="shared" si="8"/>
        <v>0.3</v>
      </c>
    </row>
    <row r="44">
      <c r="A44" s="4" t="s">
        <v>135</v>
      </c>
      <c r="B44" s="4" t="s">
        <v>136</v>
      </c>
      <c r="C44" s="4" t="s">
        <v>74</v>
      </c>
      <c r="D44" s="5">
        <v>9767.0</v>
      </c>
      <c r="E44" s="6" t="str">
        <f t="shared" si="1"/>
        <v>A</v>
      </c>
      <c r="F44" s="6" t="str">
        <f t="shared" si="2"/>
        <v>High ambition</v>
      </c>
      <c r="G44" s="6" t="str">
        <f t="shared" si="3"/>
        <v>High</v>
      </c>
      <c r="H44" s="6">
        <f t="shared" si="4"/>
        <v>3968636</v>
      </c>
      <c r="I44" s="6">
        <f t="shared" si="5"/>
        <v>3300808.783</v>
      </c>
      <c r="J44" s="6">
        <f t="shared" si="6"/>
        <v>136738</v>
      </c>
      <c r="K44" s="6">
        <f t="shared" si="7"/>
        <v>909</v>
      </c>
      <c r="L44" s="6">
        <f t="shared" si="8"/>
        <v>0.16</v>
      </c>
    </row>
    <row r="45">
      <c r="A45" s="4" t="s">
        <v>137</v>
      </c>
      <c r="B45" s="4" t="s">
        <v>138</v>
      </c>
      <c r="C45" s="4" t="s">
        <v>139</v>
      </c>
      <c r="D45" s="5">
        <v>19467.0</v>
      </c>
      <c r="E45" s="6" t="str">
        <f t="shared" si="1"/>
        <v>E</v>
      </c>
      <c r="F45" s="6" t="str">
        <f t="shared" si="2"/>
        <v>Transformative change</v>
      </c>
      <c r="G45" s="6" t="str">
        <f t="shared" si="3"/>
        <v>Medium</v>
      </c>
      <c r="H45" s="6">
        <f t="shared" si="4"/>
        <v>2182602</v>
      </c>
      <c r="I45" s="6">
        <f t="shared" si="5"/>
        <v>29149.40855</v>
      </c>
      <c r="J45" s="6">
        <f t="shared" si="6"/>
        <v>175203</v>
      </c>
      <c r="K45" s="6">
        <f t="shared" si="7"/>
        <v>882</v>
      </c>
      <c r="L45" s="6">
        <f t="shared" si="8"/>
        <v>0.06</v>
      </c>
    </row>
    <row r="46">
      <c r="A46" s="4" t="s">
        <v>140</v>
      </c>
      <c r="B46" s="4" t="s">
        <v>141</v>
      </c>
      <c r="C46" s="4" t="s">
        <v>74</v>
      </c>
      <c r="D46" s="5">
        <v>16315.0</v>
      </c>
      <c r="E46" s="6" t="str">
        <f t="shared" si="1"/>
        <v>G</v>
      </c>
      <c r="F46" s="6" t="str">
        <f t="shared" si="2"/>
        <v>Transformative change</v>
      </c>
      <c r="G46" s="6" t="str">
        <f t="shared" si="3"/>
        <v>High</v>
      </c>
      <c r="H46" s="6">
        <f t="shared" si="4"/>
        <v>2531324</v>
      </c>
      <c r="I46" s="6">
        <f t="shared" si="5"/>
        <v>2397631.745</v>
      </c>
      <c r="J46" s="6">
        <f t="shared" si="6"/>
        <v>146835</v>
      </c>
      <c r="K46" s="6">
        <f t="shared" si="7"/>
        <v>948</v>
      </c>
      <c r="L46" s="6">
        <f t="shared" si="8"/>
        <v>0.16</v>
      </c>
    </row>
    <row r="47">
      <c r="A47" s="4" t="s">
        <v>142</v>
      </c>
      <c r="B47" s="4" t="s">
        <v>143</v>
      </c>
      <c r="C47" s="4" t="s">
        <v>144</v>
      </c>
      <c r="D47" s="5">
        <v>16969.0</v>
      </c>
      <c r="E47" s="6" t="str">
        <f t="shared" si="1"/>
        <v>D</v>
      </c>
      <c r="F47" s="6" t="str">
        <f t="shared" si="2"/>
        <v>Transformative change</v>
      </c>
      <c r="G47" s="6" t="str">
        <f t="shared" si="3"/>
        <v>High</v>
      </c>
      <c r="H47" s="6">
        <f t="shared" si="4"/>
        <v>181189</v>
      </c>
      <c r="I47" s="6">
        <f t="shared" si="5"/>
        <v>34853.54777</v>
      </c>
      <c r="J47" s="6">
        <f t="shared" si="6"/>
        <v>152721</v>
      </c>
      <c r="K47" s="6">
        <f t="shared" si="7"/>
        <v>1012</v>
      </c>
      <c r="L47" s="6">
        <f t="shared" si="8"/>
        <v>0.14</v>
      </c>
    </row>
    <row r="48">
      <c r="A48" s="4" t="s">
        <v>145</v>
      </c>
      <c r="B48" s="4" t="s">
        <v>146</v>
      </c>
      <c r="C48" s="4" t="s">
        <v>147</v>
      </c>
      <c r="D48" s="5">
        <v>14235.0</v>
      </c>
      <c r="E48" s="6" t="str">
        <f t="shared" si="1"/>
        <v>E</v>
      </c>
      <c r="F48" s="6" t="str">
        <f t="shared" si="2"/>
        <v>Transformative change</v>
      </c>
      <c r="G48" s="6" t="str">
        <f t="shared" si="3"/>
        <v>High</v>
      </c>
      <c r="H48" s="6">
        <f t="shared" si="4"/>
        <v>3871929</v>
      </c>
      <c r="I48" s="6">
        <f t="shared" si="5"/>
        <v>1879565.763</v>
      </c>
      <c r="J48" s="6">
        <f t="shared" si="6"/>
        <v>199290</v>
      </c>
      <c r="K48" s="6">
        <f t="shared" si="7"/>
        <v>826</v>
      </c>
      <c r="L48" s="6">
        <f t="shared" si="8"/>
        <v>0.04</v>
      </c>
    </row>
    <row r="49">
      <c r="A49" s="4" t="s">
        <v>148</v>
      </c>
      <c r="B49" s="4" t="s">
        <v>149</v>
      </c>
      <c r="C49" s="4" t="s">
        <v>150</v>
      </c>
      <c r="D49" s="5">
        <v>441183.0</v>
      </c>
      <c r="E49" s="6" t="str">
        <f t="shared" si="1"/>
        <v>A</v>
      </c>
      <c r="F49" s="6" t="str">
        <f t="shared" si="2"/>
        <v>High ambition</v>
      </c>
      <c r="G49" s="6" t="str">
        <f t="shared" si="3"/>
        <v>High</v>
      </c>
      <c r="H49" s="6">
        <f t="shared" si="4"/>
        <v>1681579</v>
      </c>
      <c r="I49" s="6">
        <f t="shared" si="5"/>
        <v>433083.9464</v>
      </c>
      <c r="J49" s="6">
        <f t="shared" si="6"/>
        <v>6617745</v>
      </c>
      <c r="K49" s="6">
        <f t="shared" si="7"/>
        <v>59087.01</v>
      </c>
      <c r="L49" s="6">
        <f t="shared" si="8"/>
        <v>0.23</v>
      </c>
    </row>
    <row r="50">
      <c r="A50" s="4" t="s">
        <v>151</v>
      </c>
      <c r="B50" s="4" t="s">
        <v>152</v>
      </c>
      <c r="C50" s="4" t="s">
        <v>153</v>
      </c>
      <c r="D50" s="5">
        <v>82796.0</v>
      </c>
      <c r="E50" s="6" t="str">
        <f t="shared" si="1"/>
        <v>E</v>
      </c>
      <c r="F50" s="6" t="str">
        <f t="shared" si="2"/>
        <v>High ambition</v>
      </c>
      <c r="G50" s="6" t="str">
        <f t="shared" si="3"/>
        <v>Medium</v>
      </c>
      <c r="H50" s="6">
        <f t="shared" si="4"/>
        <v>484831</v>
      </c>
      <c r="I50" s="6">
        <f t="shared" si="5"/>
        <v>144789.5961</v>
      </c>
      <c r="J50" s="6">
        <f t="shared" si="6"/>
        <v>413980</v>
      </c>
      <c r="K50" s="6">
        <f t="shared" si="7"/>
        <v>1527.6</v>
      </c>
      <c r="L50" s="6">
        <f t="shared" si="8"/>
        <v>0.23</v>
      </c>
    </row>
    <row r="51">
      <c r="A51" s="4" t="s">
        <v>154</v>
      </c>
      <c r="B51" s="4" t="s">
        <v>155</v>
      </c>
      <c r="C51" s="4" t="s">
        <v>156</v>
      </c>
      <c r="D51" s="5">
        <v>82692.0</v>
      </c>
      <c r="E51" s="6" t="str">
        <f t="shared" si="1"/>
        <v>C</v>
      </c>
      <c r="F51" s="6" t="str">
        <f t="shared" si="2"/>
        <v>High ambition</v>
      </c>
      <c r="G51" s="6" t="str">
        <f t="shared" si="3"/>
        <v>Low</v>
      </c>
      <c r="H51" s="6">
        <f t="shared" si="4"/>
        <v>643947</v>
      </c>
      <c r="I51" s="6">
        <f t="shared" si="5"/>
        <v>167500.8989</v>
      </c>
      <c r="J51" s="6">
        <f t="shared" si="6"/>
        <v>413460</v>
      </c>
      <c r="K51" s="6">
        <f t="shared" si="7"/>
        <v>8107.06</v>
      </c>
      <c r="L51" s="6">
        <f t="shared" si="8"/>
        <v>0.11</v>
      </c>
    </row>
    <row r="52">
      <c r="A52" s="4" t="s">
        <v>157</v>
      </c>
      <c r="B52" s="4" t="s">
        <v>158</v>
      </c>
      <c r="C52" s="4" t="s">
        <v>159</v>
      </c>
      <c r="D52" s="5">
        <v>11342.0</v>
      </c>
      <c r="E52" s="6" t="str">
        <f t="shared" si="1"/>
        <v>C</v>
      </c>
      <c r="F52" s="6" t="str">
        <f t="shared" si="2"/>
        <v>High ambition</v>
      </c>
      <c r="G52" s="6" t="str">
        <f t="shared" si="3"/>
        <v>High</v>
      </c>
      <c r="H52" s="6">
        <f t="shared" si="4"/>
        <v>2101486</v>
      </c>
      <c r="I52" s="6">
        <f t="shared" si="5"/>
        <v>1969805.712</v>
      </c>
      <c r="J52" s="6">
        <f t="shared" si="6"/>
        <v>136104</v>
      </c>
      <c r="K52" s="6">
        <f t="shared" si="7"/>
        <v>1050</v>
      </c>
      <c r="L52" s="6">
        <f t="shared" si="8"/>
        <v>0.3</v>
      </c>
    </row>
    <row r="53">
      <c r="A53" s="4" t="s">
        <v>160</v>
      </c>
      <c r="B53" s="4" t="s">
        <v>161</v>
      </c>
      <c r="C53" s="4" t="s">
        <v>162</v>
      </c>
      <c r="D53" s="5">
        <v>15291.0</v>
      </c>
      <c r="E53" s="6" t="str">
        <f t="shared" si="1"/>
        <v>D</v>
      </c>
      <c r="F53" s="6" t="str">
        <f t="shared" si="2"/>
        <v>High ambition</v>
      </c>
      <c r="G53" s="6" t="str">
        <f t="shared" si="3"/>
        <v>Medium</v>
      </c>
      <c r="H53" s="6">
        <f t="shared" si="4"/>
        <v>434059</v>
      </c>
      <c r="I53" s="6">
        <f t="shared" si="5"/>
        <v>227181.7568</v>
      </c>
      <c r="J53" s="6">
        <f t="shared" si="6"/>
        <v>214074</v>
      </c>
      <c r="K53" s="6">
        <f t="shared" si="7"/>
        <v>858</v>
      </c>
      <c r="L53" s="6">
        <f t="shared" si="8"/>
        <v>0.08</v>
      </c>
    </row>
    <row r="54">
      <c r="A54" s="4" t="s">
        <v>163</v>
      </c>
      <c r="B54" s="4" t="s">
        <v>164</v>
      </c>
      <c r="C54" s="4" t="s">
        <v>165</v>
      </c>
      <c r="D54" s="5">
        <v>9912.0</v>
      </c>
      <c r="E54" s="6" t="str">
        <f t="shared" si="1"/>
        <v>D</v>
      </c>
      <c r="F54" s="6" t="str">
        <f t="shared" si="2"/>
        <v>Transformative change</v>
      </c>
      <c r="G54" s="6" t="str">
        <f t="shared" si="3"/>
        <v>Low</v>
      </c>
      <c r="H54" s="6">
        <f t="shared" si="4"/>
        <v>3696322</v>
      </c>
      <c r="I54" s="6">
        <f t="shared" si="5"/>
        <v>1018239.187</v>
      </c>
      <c r="J54" s="6">
        <f t="shared" si="6"/>
        <v>128856</v>
      </c>
      <c r="K54" s="6">
        <f t="shared" si="7"/>
        <v>896</v>
      </c>
      <c r="L54" s="6">
        <f t="shared" si="8"/>
        <v>0.01</v>
      </c>
    </row>
    <row r="55">
      <c r="A55" s="4" t="s">
        <v>166</v>
      </c>
      <c r="B55" s="4" t="s">
        <v>167</v>
      </c>
      <c r="C55" s="4" t="s">
        <v>168</v>
      </c>
      <c r="D55" s="5">
        <v>32313.0</v>
      </c>
      <c r="E55" s="6" t="str">
        <f t="shared" si="1"/>
        <v>E</v>
      </c>
      <c r="F55" s="6" t="str">
        <f t="shared" si="2"/>
        <v>Transformative change</v>
      </c>
      <c r="G55" s="6" t="str">
        <f t="shared" si="3"/>
        <v>Medium</v>
      </c>
      <c r="H55" s="6">
        <f t="shared" si="4"/>
        <v>2874420</v>
      </c>
      <c r="I55" s="6">
        <f t="shared" si="5"/>
        <v>820385.5957</v>
      </c>
      <c r="J55" s="6">
        <f t="shared" si="6"/>
        <v>226191</v>
      </c>
      <c r="K55" s="6">
        <f t="shared" si="7"/>
        <v>850</v>
      </c>
      <c r="L55" s="6">
        <f t="shared" si="8"/>
        <v>0.03</v>
      </c>
    </row>
    <row r="56">
      <c r="A56" s="4" t="s">
        <v>169</v>
      </c>
      <c r="B56" s="4" t="s">
        <v>170</v>
      </c>
      <c r="C56" s="4" t="s">
        <v>171</v>
      </c>
      <c r="D56" s="5">
        <v>19757.0</v>
      </c>
      <c r="E56" s="6" t="str">
        <f t="shared" si="1"/>
        <v>E</v>
      </c>
      <c r="F56" s="6" t="str">
        <f t="shared" si="2"/>
        <v>Transformative change</v>
      </c>
      <c r="G56" s="6" t="str">
        <f t="shared" si="3"/>
        <v>Medium</v>
      </c>
      <c r="H56" s="6">
        <f t="shared" si="4"/>
        <v>3998130</v>
      </c>
      <c r="I56" s="6">
        <f t="shared" si="5"/>
        <v>1181721.529</v>
      </c>
      <c r="J56" s="6">
        <f t="shared" si="6"/>
        <v>118542</v>
      </c>
      <c r="K56" s="6">
        <f t="shared" si="7"/>
        <v>1014</v>
      </c>
      <c r="L56" s="6">
        <f t="shared" si="8"/>
        <v>0.18</v>
      </c>
    </row>
    <row r="57">
      <c r="A57" s="4" t="s">
        <v>172</v>
      </c>
      <c r="B57" s="4" t="s">
        <v>173</v>
      </c>
      <c r="C57" s="4" t="s">
        <v>174</v>
      </c>
      <c r="D57" s="5">
        <v>15421.0</v>
      </c>
      <c r="E57" s="6" t="str">
        <f t="shared" si="1"/>
        <v>E</v>
      </c>
      <c r="F57" s="6" t="str">
        <f t="shared" si="2"/>
        <v>High ambition</v>
      </c>
      <c r="G57" s="6" t="str">
        <f t="shared" si="3"/>
        <v>Medium</v>
      </c>
      <c r="H57" s="6">
        <f t="shared" si="4"/>
        <v>1270882</v>
      </c>
      <c r="I57" s="6">
        <f t="shared" si="5"/>
        <v>955333.4115</v>
      </c>
      <c r="J57" s="6">
        <f t="shared" si="6"/>
        <v>107947</v>
      </c>
      <c r="K57" s="6">
        <f t="shared" si="7"/>
        <v>828</v>
      </c>
      <c r="L57" s="6">
        <f t="shared" si="8"/>
        <v>0.24</v>
      </c>
    </row>
    <row r="58">
      <c r="A58" s="4" t="s">
        <v>175</v>
      </c>
      <c r="B58" s="4" t="s">
        <v>176</v>
      </c>
      <c r="C58" s="4" t="s">
        <v>177</v>
      </c>
      <c r="D58" s="5">
        <v>75675.0</v>
      </c>
      <c r="E58" s="6" t="str">
        <f t="shared" si="1"/>
        <v>C</v>
      </c>
      <c r="F58" s="6" t="str">
        <f t="shared" si="2"/>
        <v>Transformative change</v>
      </c>
      <c r="G58" s="6" t="str">
        <f t="shared" si="3"/>
        <v>High</v>
      </c>
      <c r="H58" s="6">
        <f t="shared" si="4"/>
        <v>1246911</v>
      </c>
      <c r="I58" s="6">
        <f t="shared" si="5"/>
        <v>665952.1774</v>
      </c>
      <c r="J58" s="6">
        <f t="shared" si="6"/>
        <v>756750</v>
      </c>
      <c r="K58" s="6">
        <f t="shared" si="7"/>
        <v>2693.06</v>
      </c>
      <c r="L58" s="6">
        <f t="shared" si="8"/>
        <v>0.17</v>
      </c>
    </row>
    <row r="59">
      <c r="A59" s="4" t="s">
        <v>178</v>
      </c>
      <c r="B59" s="4" t="s">
        <v>179</v>
      </c>
      <c r="C59" s="4" t="s">
        <v>180</v>
      </c>
      <c r="D59" s="5">
        <v>6570.0</v>
      </c>
      <c r="E59" s="6" t="str">
        <f t="shared" si="1"/>
        <v>D</v>
      </c>
      <c r="F59" s="6" t="str">
        <f t="shared" si="2"/>
        <v>Transformative change</v>
      </c>
      <c r="G59" s="6" t="str">
        <f t="shared" si="3"/>
        <v>Low</v>
      </c>
      <c r="H59" s="6">
        <f t="shared" si="4"/>
        <v>3154735</v>
      </c>
      <c r="I59" s="6">
        <f t="shared" si="5"/>
        <v>183708.2623</v>
      </c>
      <c r="J59" s="6">
        <f t="shared" si="6"/>
        <v>91980</v>
      </c>
      <c r="K59" s="6">
        <f t="shared" si="7"/>
        <v>850</v>
      </c>
      <c r="L59" s="6">
        <f t="shared" si="8"/>
        <v>0.02</v>
      </c>
    </row>
    <row r="60">
      <c r="A60" s="4" t="s">
        <v>181</v>
      </c>
      <c r="B60" s="4" t="s">
        <v>182</v>
      </c>
      <c r="C60" s="4" t="s">
        <v>183</v>
      </c>
      <c r="D60" s="5">
        <v>9659.0</v>
      </c>
      <c r="E60" s="6" t="str">
        <f t="shared" si="1"/>
        <v>E</v>
      </c>
      <c r="F60" s="6" t="str">
        <f t="shared" si="2"/>
        <v>Transformative change</v>
      </c>
      <c r="G60" s="6" t="str">
        <f t="shared" si="3"/>
        <v>High</v>
      </c>
      <c r="H60" s="6">
        <f t="shared" si="4"/>
        <v>3816194</v>
      </c>
      <c r="I60" s="6">
        <f t="shared" si="5"/>
        <v>2621342.463</v>
      </c>
      <c r="J60" s="6">
        <f t="shared" si="6"/>
        <v>115908</v>
      </c>
      <c r="K60" s="6">
        <f t="shared" si="7"/>
        <v>2365.47</v>
      </c>
      <c r="L60" s="6">
        <f t="shared" si="8"/>
        <v>0.19</v>
      </c>
    </row>
    <row r="61">
      <c r="A61" s="4" t="s">
        <v>184</v>
      </c>
      <c r="B61" s="4" t="s">
        <v>185</v>
      </c>
      <c r="C61" s="4" t="s">
        <v>186</v>
      </c>
      <c r="D61" s="5">
        <v>105444.0</v>
      </c>
      <c r="E61" s="6" t="str">
        <f t="shared" si="1"/>
        <v>B</v>
      </c>
      <c r="F61" s="6" t="str">
        <f t="shared" si="2"/>
        <v>Transformative change</v>
      </c>
      <c r="G61" s="6" t="str">
        <f t="shared" si="3"/>
        <v>High</v>
      </c>
      <c r="H61" s="6">
        <f t="shared" si="4"/>
        <v>1560256</v>
      </c>
      <c r="I61" s="6">
        <f t="shared" si="5"/>
        <v>1005447</v>
      </c>
      <c r="J61" s="6">
        <f t="shared" si="6"/>
        <v>738108</v>
      </c>
      <c r="K61" s="6">
        <f t="shared" si="7"/>
        <v>4266.52</v>
      </c>
      <c r="L61" s="6">
        <f t="shared" si="8"/>
        <v>0.02</v>
      </c>
    </row>
    <row r="62">
      <c r="A62" s="4" t="s">
        <v>187</v>
      </c>
      <c r="B62" s="4" t="s">
        <v>188</v>
      </c>
      <c r="C62" s="4" t="s">
        <v>189</v>
      </c>
      <c r="D62" s="5">
        <v>334950.0</v>
      </c>
      <c r="E62" s="6" t="str">
        <f t="shared" si="1"/>
        <v>D</v>
      </c>
      <c r="F62" s="6" t="str">
        <f t="shared" si="2"/>
        <v>Transformative change</v>
      </c>
      <c r="G62" s="6" t="str">
        <f t="shared" si="3"/>
        <v>Medium</v>
      </c>
      <c r="H62" s="6">
        <f t="shared" si="4"/>
        <v>2240821</v>
      </c>
      <c r="I62" s="6">
        <f t="shared" si="5"/>
        <v>1960707.815</v>
      </c>
      <c r="J62" s="6">
        <f t="shared" si="6"/>
        <v>2009700</v>
      </c>
      <c r="K62" s="6">
        <f t="shared" si="7"/>
        <v>14669.34</v>
      </c>
      <c r="L62" s="6">
        <f t="shared" si="8"/>
        <v>0.25</v>
      </c>
    </row>
    <row r="63">
      <c r="A63" s="4" t="s">
        <v>190</v>
      </c>
      <c r="B63" s="4" t="s">
        <v>191</v>
      </c>
      <c r="C63" s="4" t="s">
        <v>192</v>
      </c>
      <c r="D63" s="5">
        <v>18878.0</v>
      </c>
      <c r="E63" s="6" t="str">
        <f t="shared" si="1"/>
        <v>F</v>
      </c>
      <c r="F63" s="6" t="str">
        <f t="shared" si="2"/>
        <v>Transformative change</v>
      </c>
      <c r="G63" s="6" t="str">
        <f t="shared" si="3"/>
        <v>Low</v>
      </c>
      <c r="H63" s="6">
        <f t="shared" si="4"/>
        <v>3737730</v>
      </c>
      <c r="I63" s="6">
        <f t="shared" si="5"/>
        <v>2004916.173</v>
      </c>
      <c r="J63" s="6">
        <f t="shared" si="6"/>
        <v>264292</v>
      </c>
      <c r="K63" s="6">
        <f t="shared" si="7"/>
        <v>1075</v>
      </c>
      <c r="L63" s="6">
        <f t="shared" si="8"/>
        <v>0.18</v>
      </c>
    </row>
    <row r="64">
      <c r="A64" s="4" t="s">
        <v>193</v>
      </c>
      <c r="B64" s="4" t="s">
        <v>194</v>
      </c>
      <c r="C64" s="4" t="s">
        <v>74</v>
      </c>
      <c r="D64" s="5">
        <v>71780.0</v>
      </c>
      <c r="E64" s="6" t="str">
        <f t="shared" si="1"/>
        <v>C</v>
      </c>
      <c r="F64" s="6" t="str">
        <f t="shared" si="2"/>
        <v>Transformative change</v>
      </c>
      <c r="G64" s="6" t="str">
        <f t="shared" si="3"/>
        <v>Medium</v>
      </c>
      <c r="H64" s="6">
        <f t="shared" si="4"/>
        <v>3630206</v>
      </c>
      <c r="I64" s="6">
        <f t="shared" si="5"/>
        <v>254977.7204</v>
      </c>
      <c r="J64" s="6">
        <f t="shared" si="6"/>
        <v>646020</v>
      </c>
      <c r="K64" s="6">
        <f t="shared" si="7"/>
        <v>2063.96</v>
      </c>
      <c r="L64" s="6">
        <f t="shared" si="8"/>
        <v>0.16</v>
      </c>
    </row>
    <row r="65">
      <c r="A65" s="4" t="s">
        <v>195</v>
      </c>
      <c r="B65" s="4" t="s">
        <v>196</v>
      </c>
      <c r="C65" s="4" t="s">
        <v>197</v>
      </c>
      <c r="D65" s="5">
        <v>6968.0</v>
      </c>
      <c r="E65" s="6" t="str">
        <f t="shared" si="1"/>
        <v>A</v>
      </c>
      <c r="F65" s="6" t="str">
        <f t="shared" si="2"/>
        <v>Transformative change</v>
      </c>
      <c r="G65" s="6" t="str">
        <f t="shared" si="3"/>
        <v>Low</v>
      </c>
      <c r="H65" s="6">
        <f t="shared" si="4"/>
        <v>481941</v>
      </c>
      <c r="I65" s="6">
        <f t="shared" si="5"/>
        <v>19499.86006</v>
      </c>
      <c r="J65" s="6">
        <f t="shared" si="6"/>
        <v>41808</v>
      </c>
      <c r="K65" s="6">
        <f t="shared" si="7"/>
        <v>938</v>
      </c>
      <c r="L65" s="6">
        <f t="shared" si="8"/>
        <v>0.23</v>
      </c>
    </row>
    <row r="66">
      <c r="A66" s="4" t="s">
        <v>198</v>
      </c>
      <c r="B66" s="4" t="s">
        <v>199</v>
      </c>
      <c r="C66" s="4" t="s">
        <v>200</v>
      </c>
      <c r="D66" s="5">
        <v>6157.0</v>
      </c>
      <c r="E66" s="6" t="str">
        <f t="shared" si="1"/>
        <v>A</v>
      </c>
      <c r="F66" s="6" t="str">
        <f t="shared" si="2"/>
        <v>Transformative change</v>
      </c>
      <c r="G66" s="6" t="str">
        <f t="shared" si="3"/>
        <v>Medium</v>
      </c>
      <c r="H66" s="6">
        <f t="shared" si="4"/>
        <v>3727056</v>
      </c>
      <c r="I66" s="6">
        <f t="shared" si="5"/>
        <v>675945.4924</v>
      </c>
      <c r="J66" s="6">
        <f t="shared" si="6"/>
        <v>30785</v>
      </c>
      <c r="K66" s="6">
        <f t="shared" si="7"/>
        <v>949</v>
      </c>
      <c r="L66" s="6">
        <f t="shared" si="8"/>
        <v>0.03</v>
      </c>
    </row>
    <row r="67">
      <c r="A67" s="4" t="s">
        <v>201</v>
      </c>
      <c r="B67" s="4" t="s">
        <v>202</v>
      </c>
      <c r="C67" s="4" t="s">
        <v>74</v>
      </c>
      <c r="D67" s="5">
        <v>18173.0</v>
      </c>
      <c r="E67" s="6" t="str">
        <f t="shared" si="1"/>
        <v>B</v>
      </c>
      <c r="F67" s="6" t="str">
        <f t="shared" si="2"/>
        <v>Transformative change</v>
      </c>
      <c r="G67" s="6" t="str">
        <f t="shared" si="3"/>
        <v>Medium</v>
      </c>
      <c r="H67" s="6">
        <f t="shared" si="4"/>
        <v>816131</v>
      </c>
      <c r="I67" s="6">
        <f t="shared" si="5"/>
        <v>282805.1071</v>
      </c>
      <c r="J67" s="6">
        <f t="shared" si="6"/>
        <v>72692</v>
      </c>
      <c r="K67" s="6">
        <f t="shared" si="7"/>
        <v>930</v>
      </c>
      <c r="L67" s="6">
        <f t="shared" si="8"/>
        <v>0.04</v>
      </c>
    </row>
    <row r="68">
      <c r="A68" s="4" t="s">
        <v>203</v>
      </c>
      <c r="B68" s="4" t="s">
        <v>204</v>
      </c>
      <c r="C68" s="4" t="s">
        <v>205</v>
      </c>
      <c r="D68" s="5">
        <v>225280.0</v>
      </c>
      <c r="E68" s="6" t="str">
        <f t="shared" si="1"/>
        <v>E</v>
      </c>
      <c r="F68" s="6" t="str">
        <f t="shared" si="2"/>
        <v>Transformative change</v>
      </c>
      <c r="G68" s="6" t="str">
        <f t="shared" si="3"/>
        <v>Low</v>
      </c>
      <c r="H68" s="6">
        <f t="shared" si="4"/>
        <v>1551565</v>
      </c>
      <c r="I68" s="6">
        <f t="shared" si="5"/>
        <v>465610.8451</v>
      </c>
      <c r="J68" s="6">
        <f t="shared" si="6"/>
        <v>1126400</v>
      </c>
      <c r="K68" s="6">
        <f t="shared" si="7"/>
        <v>3633.55</v>
      </c>
      <c r="L68" s="6">
        <f t="shared" si="8"/>
        <v>0.06</v>
      </c>
    </row>
    <row r="69">
      <c r="A69" s="4" t="s">
        <v>206</v>
      </c>
      <c r="B69" s="4" t="s">
        <v>207</v>
      </c>
      <c r="C69" s="4" t="s">
        <v>208</v>
      </c>
      <c r="D69" s="5">
        <v>32338.0</v>
      </c>
      <c r="E69" s="6" t="str">
        <f t="shared" si="1"/>
        <v>A</v>
      </c>
      <c r="F69" s="6" t="str">
        <f t="shared" si="2"/>
        <v>Transformative change</v>
      </c>
      <c r="G69" s="6" t="str">
        <f t="shared" si="3"/>
        <v>Low</v>
      </c>
      <c r="H69" s="6">
        <f t="shared" si="4"/>
        <v>3331429</v>
      </c>
      <c r="I69" s="6">
        <f t="shared" si="5"/>
        <v>1805156.99</v>
      </c>
      <c r="J69" s="6">
        <f t="shared" si="6"/>
        <v>161690</v>
      </c>
      <c r="K69" s="6">
        <f t="shared" si="7"/>
        <v>845</v>
      </c>
      <c r="L69" s="6">
        <f t="shared" si="8"/>
        <v>0.15</v>
      </c>
    </row>
    <row r="70">
      <c r="A70" s="4" t="s">
        <v>209</v>
      </c>
      <c r="B70" s="4" t="s">
        <v>210</v>
      </c>
      <c r="C70" s="4" t="s">
        <v>211</v>
      </c>
      <c r="D70" s="5">
        <v>10909.0</v>
      </c>
      <c r="E70" s="6" t="str">
        <f t="shared" si="1"/>
        <v>A</v>
      </c>
      <c r="F70" s="6" t="str">
        <f t="shared" si="2"/>
        <v>Transformative change</v>
      </c>
      <c r="G70" s="6" t="str">
        <f t="shared" si="3"/>
        <v>Medium</v>
      </c>
      <c r="H70" s="6">
        <f t="shared" si="4"/>
        <v>3171081</v>
      </c>
      <c r="I70" s="6">
        <f t="shared" si="5"/>
        <v>1926176.483</v>
      </c>
      <c r="J70" s="6">
        <f t="shared" si="6"/>
        <v>141817</v>
      </c>
      <c r="K70" s="6">
        <f t="shared" si="7"/>
        <v>812</v>
      </c>
      <c r="L70" s="6">
        <f t="shared" si="8"/>
        <v>0.22</v>
      </c>
    </row>
    <row r="71">
      <c r="A71" s="4" t="s">
        <v>209</v>
      </c>
      <c r="B71" s="4" t="s">
        <v>212</v>
      </c>
      <c r="C71" s="4" t="s">
        <v>213</v>
      </c>
      <c r="D71" s="5">
        <v>18618.0</v>
      </c>
      <c r="E71" s="6" t="str">
        <f t="shared" si="1"/>
        <v>G</v>
      </c>
      <c r="F71" s="6" t="str">
        <f t="shared" si="2"/>
        <v>Transformative change</v>
      </c>
      <c r="G71" s="6" t="str">
        <f t="shared" si="3"/>
        <v>Medium</v>
      </c>
      <c r="H71" s="6">
        <f t="shared" si="4"/>
        <v>1201739</v>
      </c>
      <c r="I71" s="6">
        <f t="shared" si="5"/>
        <v>642900.0399</v>
      </c>
      <c r="J71" s="6">
        <f t="shared" si="6"/>
        <v>148944</v>
      </c>
      <c r="K71" s="6">
        <f t="shared" si="7"/>
        <v>997</v>
      </c>
      <c r="L71" s="6">
        <f t="shared" si="8"/>
        <v>0.16</v>
      </c>
    </row>
    <row r="72">
      <c r="A72" s="4" t="s">
        <v>214</v>
      </c>
      <c r="B72" s="4" t="s">
        <v>215</v>
      </c>
      <c r="C72" s="4" t="s">
        <v>216</v>
      </c>
      <c r="D72" s="5">
        <v>38008.0</v>
      </c>
      <c r="E72" s="6" t="str">
        <f t="shared" si="1"/>
        <v>G</v>
      </c>
      <c r="F72" s="6" t="str">
        <f t="shared" si="2"/>
        <v>Transformative change</v>
      </c>
      <c r="G72" s="6" t="str">
        <f t="shared" si="3"/>
        <v>Medium</v>
      </c>
      <c r="H72" s="6">
        <f t="shared" si="4"/>
        <v>735227</v>
      </c>
      <c r="I72" s="6">
        <f t="shared" si="5"/>
        <v>323534.7788</v>
      </c>
      <c r="J72" s="6">
        <f t="shared" si="6"/>
        <v>532112</v>
      </c>
      <c r="K72" s="6">
        <f t="shared" si="7"/>
        <v>1490.51</v>
      </c>
      <c r="L72" s="6">
        <f t="shared" si="8"/>
        <v>0.28</v>
      </c>
    </row>
    <row r="73">
      <c r="A73" s="4" t="s">
        <v>217</v>
      </c>
      <c r="B73" s="4" t="s">
        <v>218</v>
      </c>
      <c r="C73" s="4" t="s">
        <v>219</v>
      </c>
      <c r="D73" s="5">
        <v>11101.0</v>
      </c>
      <c r="E73" s="6" t="str">
        <f t="shared" si="1"/>
        <v>C</v>
      </c>
      <c r="F73" s="6" t="str">
        <f t="shared" si="2"/>
        <v>Transformative change</v>
      </c>
      <c r="G73" s="6" t="str">
        <f t="shared" si="3"/>
        <v>Low</v>
      </c>
      <c r="H73" s="6">
        <f t="shared" si="4"/>
        <v>3054119</v>
      </c>
      <c r="I73" s="6">
        <f t="shared" si="5"/>
        <v>1189911.259</v>
      </c>
      <c r="J73" s="6">
        <f t="shared" si="6"/>
        <v>155414</v>
      </c>
      <c r="K73" s="6">
        <f t="shared" si="7"/>
        <v>528.62</v>
      </c>
      <c r="L73" s="6">
        <f t="shared" si="8"/>
        <v>0.2</v>
      </c>
    </row>
    <row r="74">
      <c r="A74" s="4" t="s">
        <v>220</v>
      </c>
      <c r="B74" s="4" t="s">
        <v>221</v>
      </c>
      <c r="C74" s="4" t="s">
        <v>74</v>
      </c>
      <c r="D74" s="5">
        <v>521418.0</v>
      </c>
      <c r="E74" s="6" t="str">
        <f t="shared" si="1"/>
        <v>G</v>
      </c>
      <c r="F74" s="6" t="str">
        <f t="shared" si="2"/>
        <v>Transformative change</v>
      </c>
      <c r="G74" s="6" t="str">
        <f t="shared" si="3"/>
        <v>High</v>
      </c>
      <c r="H74" s="6">
        <f t="shared" si="4"/>
        <v>3996508</v>
      </c>
      <c r="I74" s="6">
        <f t="shared" si="5"/>
        <v>67840.8378</v>
      </c>
      <c r="J74" s="6">
        <f t="shared" si="6"/>
        <v>7299852</v>
      </c>
      <c r="K74" s="6">
        <f t="shared" si="7"/>
        <v>115870.67</v>
      </c>
      <c r="L74" s="6">
        <f t="shared" si="8"/>
        <v>0.15</v>
      </c>
    </row>
    <row r="75">
      <c r="A75" s="4" t="s">
        <v>222</v>
      </c>
      <c r="B75" s="4" t="s">
        <v>223</v>
      </c>
      <c r="C75" s="4" t="s">
        <v>224</v>
      </c>
      <c r="D75" s="5">
        <v>35656.0</v>
      </c>
      <c r="E75" s="6" t="str">
        <f t="shared" si="1"/>
        <v>D</v>
      </c>
      <c r="F75" s="6" t="str">
        <f t="shared" si="2"/>
        <v>High ambition</v>
      </c>
      <c r="G75" s="6" t="str">
        <f t="shared" si="3"/>
        <v>Low</v>
      </c>
      <c r="H75" s="6">
        <f t="shared" si="4"/>
        <v>394601</v>
      </c>
      <c r="I75" s="6">
        <f t="shared" si="5"/>
        <v>224487.8245</v>
      </c>
      <c r="J75" s="6">
        <f t="shared" si="6"/>
        <v>356560</v>
      </c>
      <c r="K75" s="6">
        <f t="shared" si="7"/>
        <v>1969.94</v>
      </c>
      <c r="L75" s="6">
        <f t="shared" si="8"/>
        <v>0.2</v>
      </c>
    </row>
    <row r="76">
      <c r="A76" s="4" t="s">
        <v>225</v>
      </c>
      <c r="B76" s="4" t="s">
        <v>226</v>
      </c>
      <c r="C76" s="4" t="s">
        <v>227</v>
      </c>
      <c r="D76" s="5">
        <v>12697.0</v>
      </c>
      <c r="E76" s="6" t="str">
        <f t="shared" si="1"/>
        <v>G</v>
      </c>
      <c r="F76" s="6" t="str">
        <f t="shared" si="2"/>
        <v>Transformative change</v>
      </c>
      <c r="G76" s="6" t="str">
        <f t="shared" si="3"/>
        <v>Low</v>
      </c>
      <c r="H76" s="6">
        <f t="shared" si="4"/>
        <v>3536376</v>
      </c>
      <c r="I76" s="6">
        <f t="shared" si="5"/>
        <v>1153746.756</v>
      </c>
      <c r="J76" s="6">
        <f t="shared" si="6"/>
        <v>126970</v>
      </c>
      <c r="K76" s="6">
        <f t="shared" si="7"/>
        <v>1076</v>
      </c>
      <c r="L76" s="6">
        <f t="shared" si="8"/>
        <v>0.05</v>
      </c>
    </row>
    <row r="77">
      <c r="A77" s="4" t="s">
        <v>228</v>
      </c>
      <c r="B77" s="4" t="s">
        <v>229</v>
      </c>
      <c r="C77" s="4" t="s">
        <v>74</v>
      </c>
      <c r="D77" s="5">
        <v>95874.0</v>
      </c>
      <c r="E77" s="6" t="str">
        <f t="shared" si="1"/>
        <v>G</v>
      </c>
      <c r="F77" s="6" t="str">
        <f t="shared" si="2"/>
        <v>Transformative change</v>
      </c>
      <c r="G77" s="6" t="str">
        <f t="shared" si="3"/>
        <v>High</v>
      </c>
      <c r="H77" s="6">
        <f t="shared" si="4"/>
        <v>2369503</v>
      </c>
      <c r="I77" s="6">
        <f t="shared" si="5"/>
        <v>1397332.765</v>
      </c>
      <c r="J77" s="6">
        <f t="shared" si="6"/>
        <v>1438110</v>
      </c>
      <c r="K77" s="6">
        <f t="shared" si="7"/>
        <v>3972.68</v>
      </c>
      <c r="L77" s="6">
        <f t="shared" si="8"/>
        <v>0.04</v>
      </c>
    </row>
    <row r="78">
      <c r="A78" s="4" t="s">
        <v>230</v>
      </c>
      <c r="B78" s="4" t="s">
        <v>231</v>
      </c>
      <c r="C78" s="4" t="s">
        <v>232</v>
      </c>
      <c r="D78" s="5">
        <v>7401.0</v>
      </c>
      <c r="E78" s="6" t="str">
        <f t="shared" si="1"/>
        <v>A</v>
      </c>
      <c r="F78" s="6" t="str">
        <f t="shared" si="2"/>
        <v>Transformative change</v>
      </c>
      <c r="G78" s="6" t="str">
        <f t="shared" si="3"/>
        <v>High</v>
      </c>
      <c r="H78" s="6">
        <f t="shared" si="4"/>
        <v>2316768</v>
      </c>
      <c r="I78" s="6">
        <f t="shared" si="5"/>
        <v>1556588.584</v>
      </c>
      <c r="J78" s="6">
        <f t="shared" si="6"/>
        <v>103614</v>
      </c>
      <c r="K78" s="6">
        <f t="shared" si="7"/>
        <v>922</v>
      </c>
      <c r="L78" s="6">
        <f t="shared" si="8"/>
        <v>0.06</v>
      </c>
    </row>
    <row r="79">
      <c r="A79" s="4" t="s">
        <v>233</v>
      </c>
      <c r="B79" s="4" t="s">
        <v>234</v>
      </c>
      <c r="C79" s="4" t="s">
        <v>235</v>
      </c>
      <c r="D79" s="5">
        <v>85694.0</v>
      </c>
      <c r="E79" s="6" t="str">
        <f t="shared" si="1"/>
        <v>C</v>
      </c>
      <c r="F79" s="6" t="str">
        <f t="shared" si="2"/>
        <v>High ambition</v>
      </c>
      <c r="G79" s="6" t="str">
        <f t="shared" si="3"/>
        <v>Medium</v>
      </c>
      <c r="H79" s="6">
        <f t="shared" si="4"/>
        <v>1242195</v>
      </c>
      <c r="I79" s="6">
        <f t="shared" si="5"/>
        <v>729352.7383</v>
      </c>
      <c r="J79" s="6">
        <f t="shared" si="6"/>
        <v>342776</v>
      </c>
      <c r="K79" s="6">
        <f t="shared" si="7"/>
        <v>1181.99</v>
      </c>
      <c r="L79" s="6">
        <f t="shared" si="8"/>
        <v>0.08</v>
      </c>
    </row>
    <row r="80">
      <c r="A80" s="4" t="s">
        <v>236</v>
      </c>
      <c r="B80" s="4" t="s">
        <v>237</v>
      </c>
      <c r="C80" s="4" t="s">
        <v>238</v>
      </c>
      <c r="D80" s="5">
        <v>13456.0</v>
      </c>
      <c r="E80" s="6" t="str">
        <f t="shared" si="1"/>
        <v>G</v>
      </c>
      <c r="F80" s="6" t="str">
        <f t="shared" si="2"/>
        <v>High ambition</v>
      </c>
      <c r="G80" s="6" t="str">
        <f t="shared" si="3"/>
        <v>Medium</v>
      </c>
      <c r="H80" s="6">
        <f t="shared" si="4"/>
        <v>2697110</v>
      </c>
      <c r="I80" s="6">
        <f t="shared" si="5"/>
        <v>1027273.274</v>
      </c>
      <c r="J80" s="6">
        <f t="shared" si="6"/>
        <v>201840</v>
      </c>
      <c r="K80" s="6">
        <f t="shared" si="7"/>
        <v>560.67</v>
      </c>
      <c r="L80" s="6">
        <f t="shared" si="8"/>
        <v>0.24</v>
      </c>
    </row>
    <row r="81">
      <c r="A81" s="4" t="s">
        <v>239</v>
      </c>
      <c r="B81" s="4" t="s">
        <v>240</v>
      </c>
      <c r="C81" s="4" t="s">
        <v>241</v>
      </c>
      <c r="D81" s="5">
        <v>15740.0</v>
      </c>
      <c r="E81" s="6" t="str">
        <f t="shared" si="1"/>
        <v>B</v>
      </c>
      <c r="F81" s="6" t="str">
        <f t="shared" si="2"/>
        <v>Transformative change</v>
      </c>
      <c r="G81" s="6" t="str">
        <f t="shared" si="3"/>
        <v>High</v>
      </c>
      <c r="H81" s="6">
        <f t="shared" si="4"/>
        <v>1245341</v>
      </c>
      <c r="I81" s="6">
        <f t="shared" si="5"/>
        <v>360078.1148</v>
      </c>
      <c r="J81" s="6">
        <f t="shared" si="6"/>
        <v>204620</v>
      </c>
      <c r="K81" s="6">
        <f t="shared" si="7"/>
        <v>891</v>
      </c>
      <c r="L81" s="6">
        <f t="shared" si="8"/>
        <v>0.18</v>
      </c>
    </row>
    <row r="82">
      <c r="A82" s="4" t="s">
        <v>242</v>
      </c>
      <c r="B82" s="4" t="s">
        <v>243</v>
      </c>
      <c r="C82" s="4" t="s">
        <v>244</v>
      </c>
      <c r="D82" s="5">
        <v>8007.0</v>
      </c>
      <c r="E82" s="6" t="str">
        <f t="shared" si="1"/>
        <v>B</v>
      </c>
      <c r="F82" s="6" t="str">
        <f t="shared" si="2"/>
        <v>Transformative change</v>
      </c>
      <c r="G82" s="6" t="str">
        <f t="shared" si="3"/>
        <v>Low</v>
      </c>
      <c r="H82" s="6">
        <f t="shared" si="4"/>
        <v>2376794</v>
      </c>
      <c r="I82" s="6">
        <f t="shared" si="5"/>
        <v>405254.7332</v>
      </c>
      <c r="J82" s="6">
        <f t="shared" si="6"/>
        <v>32028</v>
      </c>
      <c r="K82" s="6">
        <f t="shared" si="7"/>
        <v>1002</v>
      </c>
      <c r="L82" s="6">
        <f t="shared" si="8"/>
        <v>0.12</v>
      </c>
    </row>
    <row r="83">
      <c r="A83" s="4" t="s">
        <v>245</v>
      </c>
      <c r="B83" s="4" t="s">
        <v>246</v>
      </c>
      <c r="C83" s="4" t="s">
        <v>247</v>
      </c>
      <c r="D83" s="5">
        <v>12912.0</v>
      </c>
      <c r="E83" s="6" t="str">
        <f t="shared" si="1"/>
        <v>D</v>
      </c>
      <c r="F83" s="6" t="str">
        <f t="shared" si="2"/>
        <v>Transformative change</v>
      </c>
      <c r="G83" s="6" t="str">
        <f t="shared" si="3"/>
        <v>Low</v>
      </c>
      <c r="H83" s="6">
        <f t="shared" si="4"/>
        <v>1908608</v>
      </c>
      <c r="I83" s="6">
        <f t="shared" si="5"/>
        <v>1720202.387</v>
      </c>
      <c r="J83" s="6">
        <f t="shared" si="6"/>
        <v>180768</v>
      </c>
      <c r="K83" s="6">
        <f t="shared" si="7"/>
        <v>847</v>
      </c>
      <c r="L83" s="6">
        <f t="shared" si="8"/>
        <v>0.21</v>
      </c>
    </row>
    <row r="84">
      <c r="A84" s="4" t="s">
        <v>248</v>
      </c>
      <c r="B84" s="4" t="s">
        <v>249</v>
      </c>
      <c r="C84" s="4" t="s">
        <v>250</v>
      </c>
      <c r="D84" s="5">
        <v>5488.0</v>
      </c>
      <c r="E84" s="6" t="str">
        <f t="shared" si="1"/>
        <v>E</v>
      </c>
      <c r="F84" s="6" t="str">
        <f t="shared" si="2"/>
        <v>Transformative change</v>
      </c>
      <c r="G84" s="6" t="str">
        <f t="shared" si="3"/>
        <v>Low</v>
      </c>
      <c r="H84" s="6">
        <f t="shared" si="4"/>
        <v>1243118</v>
      </c>
      <c r="I84" s="6">
        <f t="shared" si="5"/>
        <v>839873.2433</v>
      </c>
      <c r="J84" s="6">
        <f t="shared" si="6"/>
        <v>60368</v>
      </c>
      <c r="K84" s="6">
        <f t="shared" si="7"/>
        <v>994</v>
      </c>
      <c r="L84" s="6">
        <f t="shared" si="8"/>
        <v>0.13</v>
      </c>
    </row>
    <row r="85">
      <c r="A85" s="4" t="s">
        <v>251</v>
      </c>
      <c r="B85" s="4" t="s">
        <v>252</v>
      </c>
      <c r="C85" s="4" t="s">
        <v>253</v>
      </c>
      <c r="D85" s="5">
        <v>46833.0</v>
      </c>
      <c r="E85" s="6" t="str">
        <f t="shared" si="1"/>
        <v>A</v>
      </c>
      <c r="F85" s="6" t="str">
        <f t="shared" si="2"/>
        <v>Transformative change</v>
      </c>
      <c r="G85" s="6" t="str">
        <f t="shared" si="3"/>
        <v>High</v>
      </c>
      <c r="H85" s="6">
        <f t="shared" si="4"/>
        <v>1201842</v>
      </c>
      <c r="I85" s="6">
        <f t="shared" si="5"/>
        <v>482883.9084</v>
      </c>
      <c r="J85" s="6">
        <f t="shared" si="6"/>
        <v>374664</v>
      </c>
      <c r="K85" s="6">
        <f t="shared" si="7"/>
        <v>12085.94</v>
      </c>
      <c r="L85" s="6">
        <f t="shared" si="8"/>
        <v>0.13</v>
      </c>
    </row>
    <row r="86">
      <c r="A86" s="4" t="s">
        <v>254</v>
      </c>
      <c r="B86" s="4" t="s">
        <v>255</v>
      </c>
      <c r="C86" s="4" t="s">
        <v>74</v>
      </c>
      <c r="D86" s="5">
        <v>18864.0</v>
      </c>
      <c r="E86" s="6" t="str">
        <f t="shared" si="1"/>
        <v>D</v>
      </c>
      <c r="F86" s="6" t="str">
        <f t="shared" si="2"/>
        <v>Transformative change</v>
      </c>
      <c r="G86" s="6" t="str">
        <f t="shared" si="3"/>
        <v>Low</v>
      </c>
      <c r="H86" s="6">
        <f t="shared" si="4"/>
        <v>1304702</v>
      </c>
      <c r="I86" s="6">
        <f t="shared" si="5"/>
        <v>830079.0762</v>
      </c>
      <c r="J86" s="6">
        <f t="shared" si="6"/>
        <v>226368</v>
      </c>
      <c r="K86" s="6">
        <f t="shared" si="7"/>
        <v>891</v>
      </c>
      <c r="L86" s="6">
        <f t="shared" si="8"/>
        <v>0.3</v>
      </c>
    </row>
    <row r="87">
      <c r="A87" s="4" t="s">
        <v>256</v>
      </c>
      <c r="B87" s="4" t="s">
        <v>257</v>
      </c>
      <c r="C87" s="4" t="s">
        <v>258</v>
      </c>
      <c r="D87" s="5">
        <v>70757.0</v>
      </c>
      <c r="E87" s="6" t="str">
        <f t="shared" si="1"/>
        <v>E</v>
      </c>
      <c r="F87" s="6" t="str">
        <f t="shared" si="2"/>
        <v>Transformative change</v>
      </c>
      <c r="G87" s="6" t="str">
        <f t="shared" si="3"/>
        <v>High</v>
      </c>
      <c r="H87" s="6">
        <f t="shared" si="4"/>
        <v>673716</v>
      </c>
      <c r="I87" s="6">
        <f t="shared" si="5"/>
        <v>502964.7252</v>
      </c>
      <c r="J87" s="6">
        <f t="shared" si="6"/>
        <v>636813</v>
      </c>
      <c r="K87" s="6">
        <f t="shared" si="7"/>
        <v>1996.28</v>
      </c>
      <c r="L87" s="6">
        <f t="shared" si="8"/>
        <v>0.21</v>
      </c>
    </row>
    <row r="88">
      <c r="A88" s="4" t="s">
        <v>259</v>
      </c>
      <c r="B88" s="4" t="s">
        <v>260</v>
      </c>
      <c r="C88" s="4" t="s">
        <v>261</v>
      </c>
      <c r="D88" s="5">
        <v>5440.0</v>
      </c>
      <c r="E88" s="6" t="str">
        <f t="shared" si="1"/>
        <v>A</v>
      </c>
      <c r="F88" s="6" t="str">
        <f t="shared" si="2"/>
        <v>Transformative change</v>
      </c>
      <c r="G88" s="6" t="str">
        <f t="shared" si="3"/>
        <v>Medium</v>
      </c>
      <c r="H88" s="6">
        <f t="shared" si="4"/>
        <v>1690362</v>
      </c>
      <c r="I88" s="6">
        <f t="shared" si="5"/>
        <v>414376.62</v>
      </c>
      <c r="J88" s="6">
        <f t="shared" si="6"/>
        <v>59840</v>
      </c>
      <c r="K88" s="6">
        <f t="shared" si="7"/>
        <v>986</v>
      </c>
      <c r="L88" s="6">
        <f t="shared" si="8"/>
        <v>0.05</v>
      </c>
    </row>
    <row r="89">
      <c r="A89" s="4" t="s">
        <v>262</v>
      </c>
      <c r="B89" s="4" t="s">
        <v>263</v>
      </c>
      <c r="C89" s="4" t="s">
        <v>264</v>
      </c>
      <c r="D89" s="5">
        <v>5582.0</v>
      </c>
      <c r="E89" s="6" t="str">
        <f t="shared" si="1"/>
        <v>E</v>
      </c>
      <c r="F89" s="6" t="str">
        <f t="shared" si="2"/>
        <v>Transformative change</v>
      </c>
      <c r="G89" s="6" t="str">
        <f t="shared" si="3"/>
        <v>High</v>
      </c>
      <c r="H89" s="6">
        <f t="shared" si="4"/>
        <v>2685844</v>
      </c>
      <c r="I89" s="6">
        <f t="shared" si="5"/>
        <v>1301227.366</v>
      </c>
      <c r="J89" s="6">
        <f t="shared" si="6"/>
        <v>39074</v>
      </c>
      <c r="K89" s="6">
        <f t="shared" si="7"/>
        <v>948</v>
      </c>
      <c r="L89" s="6">
        <f t="shared" si="8"/>
        <v>0.13</v>
      </c>
    </row>
    <row r="90">
      <c r="A90" s="4" t="s">
        <v>265</v>
      </c>
      <c r="B90" s="4" t="s">
        <v>266</v>
      </c>
      <c r="C90" s="4" t="s">
        <v>74</v>
      </c>
      <c r="D90" s="5">
        <v>97745.0</v>
      </c>
      <c r="E90" s="6" t="str">
        <f t="shared" si="1"/>
        <v>E</v>
      </c>
      <c r="F90" s="6" t="str">
        <f t="shared" si="2"/>
        <v>Transformative change</v>
      </c>
      <c r="G90" s="6" t="str">
        <f t="shared" si="3"/>
        <v>High</v>
      </c>
      <c r="H90" s="6">
        <f t="shared" si="4"/>
        <v>2573468</v>
      </c>
      <c r="I90" s="6">
        <f t="shared" si="5"/>
        <v>401133.9484</v>
      </c>
      <c r="J90" s="6">
        <f t="shared" si="6"/>
        <v>1368430</v>
      </c>
      <c r="K90" s="6">
        <f t="shared" si="7"/>
        <v>9988.54</v>
      </c>
      <c r="L90" s="6">
        <f t="shared" si="8"/>
        <v>0.3</v>
      </c>
    </row>
    <row r="91">
      <c r="A91" s="4" t="s">
        <v>267</v>
      </c>
      <c r="B91" s="4" t="s">
        <v>268</v>
      </c>
      <c r="C91" s="4" t="s">
        <v>269</v>
      </c>
      <c r="D91" s="5">
        <v>317025.0</v>
      </c>
      <c r="E91" s="6" t="str">
        <f t="shared" si="1"/>
        <v>A</v>
      </c>
      <c r="F91" s="6" t="str">
        <f t="shared" si="2"/>
        <v>Transformative change</v>
      </c>
      <c r="G91" s="6" t="str">
        <f t="shared" si="3"/>
        <v>Medium</v>
      </c>
      <c r="H91" s="6">
        <f t="shared" si="4"/>
        <v>1722365</v>
      </c>
      <c r="I91" s="6">
        <f t="shared" si="5"/>
        <v>487162.303</v>
      </c>
      <c r="J91" s="6">
        <f t="shared" si="6"/>
        <v>3487275</v>
      </c>
      <c r="K91" s="6">
        <f t="shared" si="7"/>
        <v>8850.95</v>
      </c>
      <c r="L91" s="6">
        <f t="shared" si="8"/>
        <v>0.16</v>
      </c>
    </row>
    <row r="92">
      <c r="A92" s="4" t="s">
        <v>270</v>
      </c>
      <c r="B92" s="4" t="s">
        <v>271</v>
      </c>
      <c r="C92" s="4" t="s">
        <v>272</v>
      </c>
      <c r="D92" s="5">
        <v>12863.0</v>
      </c>
      <c r="E92" s="6" t="str">
        <f t="shared" si="1"/>
        <v>G</v>
      </c>
      <c r="F92" s="6" t="str">
        <f t="shared" si="2"/>
        <v>Transformative change</v>
      </c>
      <c r="G92" s="6" t="str">
        <f t="shared" si="3"/>
        <v>High</v>
      </c>
      <c r="H92" s="6">
        <f t="shared" si="4"/>
        <v>201754</v>
      </c>
      <c r="I92" s="6">
        <f t="shared" si="5"/>
        <v>131257.4667</v>
      </c>
      <c r="J92" s="6">
        <f t="shared" si="6"/>
        <v>192945</v>
      </c>
      <c r="K92" s="6">
        <f t="shared" si="7"/>
        <v>1079</v>
      </c>
      <c r="L92" s="6">
        <f t="shared" si="8"/>
        <v>0.12</v>
      </c>
    </row>
    <row r="93">
      <c r="A93" s="4" t="s">
        <v>273</v>
      </c>
      <c r="B93" s="4" t="s">
        <v>274</v>
      </c>
      <c r="C93" s="4" t="s">
        <v>275</v>
      </c>
      <c r="D93" s="5">
        <v>16875.0</v>
      </c>
      <c r="E93" s="6" t="str">
        <f t="shared" si="1"/>
        <v>B</v>
      </c>
      <c r="F93" s="6" t="str">
        <f t="shared" si="2"/>
        <v>Transformative change</v>
      </c>
      <c r="G93" s="6" t="str">
        <f t="shared" si="3"/>
        <v>Medium</v>
      </c>
      <c r="H93" s="6">
        <f t="shared" si="4"/>
        <v>3434995</v>
      </c>
      <c r="I93" s="6">
        <f t="shared" si="5"/>
        <v>2964142.818</v>
      </c>
      <c r="J93" s="6">
        <f t="shared" si="6"/>
        <v>84375</v>
      </c>
      <c r="K93" s="6">
        <f t="shared" si="7"/>
        <v>990</v>
      </c>
      <c r="L93" s="6">
        <f t="shared" si="8"/>
        <v>0.05</v>
      </c>
    </row>
    <row r="94">
      <c r="A94" s="4" t="s">
        <v>276</v>
      </c>
      <c r="B94" s="4" t="s">
        <v>277</v>
      </c>
      <c r="C94" s="4" t="s">
        <v>278</v>
      </c>
      <c r="D94" s="5">
        <v>10288.0</v>
      </c>
      <c r="E94" s="6" t="str">
        <f t="shared" si="1"/>
        <v>B</v>
      </c>
      <c r="F94" s="6" t="str">
        <f t="shared" si="2"/>
        <v>Transformative change</v>
      </c>
      <c r="G94" s="6" t="str">
        <f t="shared" si="3"/>
        <v>Medium</v>
      </c>
      <c r="H94" s="6">
        <f t="shared" si="4"/>
        <v>2732611</v>
      </c>
      <c r="I94" s="6">
        <f t="shared" si="5"/>
        <v>1279558.449</v>
      </c>
      <c r="J94" s="6">
        <f t="shared" si="6"/>
        <v>51440</v>
      </c>
      <c r="K94" s="6">
        <f t="shared" si="7"/>
        <v>940</v>
      </c>
      <c r="L94" s="6">
        <f t="shared" si="8"/>
        <v>0.1</v>
      </c>
    </row>
    <row r="95">
      <c r="A95" s="4" t="s">
        <v>279</v>
      </c>
      <c r="B95" s="4" t="s">
        <v>280</v>
      </c>
      <c r="C95" s="4" t="s">
        <v>281</v>
      </c>
      <c r="D95" s="5">
        <v>16947.0</v>
      </c>
      <c r="E95" s="6" t="str">
        <f t="shared" si="1"/>
        <v>D</v>
      </c>
      <c r="F95" s="6" t="str">
        <f t="shared" si="2"/>
        <v>Transformative change</v>
      </c>
      <c r="G95" s="6" t="str">
        <f t="shared" si="3"/>
        <v>Low</v>
      </c>
      <c r="H95" s="6">
        <f t="shared" si="4"/>
        <v>2123547</v>
      </c>
      <c r="I95" s="6">
        <f t="shared" si="5"/>
        <v>1795865.267</v>
      </c>
      <c r="J95" s="6">
        <f t="shared" si="6"/>
        <v>84735</v>
      </c>
      <c r="K95" s="6">
        <f t="shared" si="7"/>
        <v>1031</v>
      </c>
      <c r="L95" s="6">
        <f t="shared" si="8"/>
        <v>0.08</v>
      </c>
    </row>
    <row r="96">
      <c r="A96" s="4" t="s">
        <v>282</v>
      </c>
      <c r="B96" s="4" t="s">
        <v>283</v>
      </c>
      <c r="C96" s="4" t="s">
        <v>284</v>
      </c>
      <c r="D96" s="5">
        <v>8168.0</v>
      </c>
      <c r="E96" s="6" t="str">
        <f t="shared" si="1"/>
        <v>C</v>
      </c>
      <c r="F96" s="6" t="str">
        <f t="shared" si="2"/>
        <v>Transformative change</v>
      </c>
      <c r="G96" s="6" t="str">
        <f t="shared" si="3"/>
        <v>Medium</v>
      </c>
      <c r="H96" s="6">
        <f t="shared" si="4"/>
        <v>1533837</v>
      </c>
      <c r="I96" s="6">
        <f t="shared" si="5"/>
        <v>1216356.353</v>
      </c>
      <c r="J96" s="6">
        <f t="shared" si="6"/>
        <v>81680</v>
      </c>
      <c r="K96" s="6">
        <f t="shared" si="7"/>
        <v>997</v>
      </c>
      <c r="L96" s="6">
        <f t="shared" si="8"/>
        <v>0.06</v>
      </c>
    </row>
    <row r="97">
      <c r="A97" s="4" t="s">
        <v>285</v>
      </c>
      <c r="B97" s="4" t="s">
        <v>286</v>
      </c>
      <c r="C97" s="4" t="s">
        <v>287</v>
      </c>
      <c r="D97" s="5">
        <v>5276.0</v>
      </c>
      <c r="E97" s="6" t="str">
        <f t="shared" si="1"/>
        <v>F</v>
      </c>
      <c r="F97" s="6" t="str">
        <f t="shared" si="2"/>
        <v>Transformative change</v>
      </c>
      <c r="G97" s="6" t="str">
        <f t="shared" si="3"/>
        <v>Low</v>
      </c>
      <c r="H97" s="6">
        <f t="shared" si="4"/>
        <v>1791927</v>
      </c>
      <c r="I97" s="6">
        <f t="shared" si="5"/>
        <v>13832.49509</v>
      </c>
      <c r="J97" s="6">
        <f t="shared" si="6"/>
        <v>58036</v>
      </c>
      <c r="K97" s="6">
        <f t="shared" si="7"/>
        <v>855</v>
      </c>
      <c r="L97" s="6">
        <f t="shared" si="8"/>
        <v>0.21</v>
      </c>
    </row>
    <row r="98">
      <c r="A98" s="4" t="s">
        <v>288</v>
      </c>
      <c r="B98" s="4" t="s">
        <v>289</v>
      </c>
      <c r="C98" s="4" t="s">
        <v>290</v>
      </c>
      <c r="D98" s="5">
        <v>17509.0</v>
      </c>
      <c r="E98" s="6" t="str">
        <f t="shared" si="1"/>
        <v>E</v>
      </c>
      <c r="F98" s="6" t="str">
        <f t="shared" si="2"/>
        <v>Transformative change</v>
      </c>
      <c r="G98" s="6" t="str">
        <f t="shared" si="3"/>
        <v>High</v>
      </c>
      <c r="H98" s="6">
        <f t="shared" si="4"/>
        <v>2889868</v>
      </c>
      <c r="I98" s="6">
        <f t="shared" si="5"/>
        <v>2608364.866</v>
      </c>
      <c r="J98" s="6">
        <f t="shared" si="6"/>
        <v>122563</v>
      </c>
      <c r="K98" s="6">
        <f t="shared" si="7"/>
        <v>1042</v>
      </c>
      <c r="L98" s="6">
        <f t="shared" si="8"/>
        <v>0.09</v>
      </c>
    </row>
    <row r="99">
      <c r="A99" s="4" t="s">
        <v>291</v>
      </c>
      <c r="B99" s="4" t="s">
        <v>292</v>
      </c>
      <c r="C99" s="4" t="s">
        <v>293</v>
      </c>
      <c r="D99" s="5">
        <v>10243.0</v>
      </c>
      <c r="E99" s="6" t="str">
        <f t="shared" si="1"/>
        <v>E</v>
      </c>
      <c r="F99" s="6" t="str">
        <f t="shared" si="2"/>
        <v>Transformative change</v>
      </c>
      <c r="G99" s="6" t="str">
        <f t="shared" si="3"/>
        <v>Medium</v>
      </c>
      <c r="H99" s="6">
        <f t="shared" si="4"/>
        <v>3559586</v>
      </c>
      <c r="I99" s="6">
        <f t="shared" si="5"/>
        <v>1591954.259</v>
      </c>
      <c r="J99" s="6">
        <f t="shared" si="6"/>
        <v>143402</v>
      </c>
      <c r="K99" s="6">
        <f t="shared" si="7"/>
        <v>1111.64</v>
      </c>
      <c r="L99" s="6">
        <f t="shared" si="8"/>
        <v>0.18</v>
      </c>
    </row>
    <row r="100">
      <c r="A100" s="4" t="s">
        <v>294</v>
      </c>
      <c r="B100" s="4" t="s">
        <v>295</v>
      </c>
      <c r="C100" s="4" t="s">
        <v>74</v>
      </c>
      <c r="D100" s="5">
        <v>243999.0</v>
      </c>
      <c r="E100" s="6" t="str">
        <f t="shared" si="1"/>
        <v>D</v>
      </c>
      <c r="F100" s="6" t="str">
        <f t="shared" si="2"/>
        <v>Transformative change</v>
      </c>
      <c r="G100" s="6" t="str">
        <f t="shared" si="3"/>
        <v>Medium</v>
      </c>
      <c r="H100" s="6">
        <f t="shared" si="4"/>
        <v>3293464</v>
      </c>
      <c r="I100" s="6">
        <f t="shared" si="5"/>
        <v>3217489.148</v>
      </c>
      <c r="J100" s="6">
        <f t="shared" si="6"/>
        <v>2195991</v>
      </c>
      <c r="K100" s="6">
        <f t="shared" si="7"/>
        <v>12132.55</v>
      </c>
      <c r="L100" s="6">
        <f t="shared" si="8"/>
        <v>0.28</v>
      </c>
    </row>
    <row r="101">
      <c r="A101" s="4" t="s">
        <v>296</v>
      </c>
      <c r="B101" s="4" t="s">
        <v>297</v>
      </c>
      <c r="C101" s="4" t="s">
        <v>298</v>
      </c>
      <c r="D101" s="5">
        <v>17116.0</v>
      </c>
      <c r="E101" s="6" t="str">
        <f t="shared" si="1"/>
        <v>G</v>
      </c>
      <c r="F101" s="6" t="str">
        <f t="shared" si="2"/>
        <v>High ambition</v>
      </c>
      <c r="G101" s="6" t="str">
        <f t="shared" si="3"/>
        <v>High</v>
      </c>
      <c r="H101" s="6">
        <f t="shared" si="4"/>
        <v>1008446</v>
      </c>
      <c r="I101" s="6">
        <f t="shared" si="5"/>
        <v>161647.1335</v>
      </c>
      <c r="J101" s="6">
        <f t="shared" si="6"/>
        <v>222508</v>
      </c>
      <c r="K101" s="6">
        <f t="shared" si="7"/>
        <v>906</v>
      </c>
      <c r="L101" s="6">
        <f t="shared" si="8"/>
        <v>0.16</v>
      </c>
    </row>
    <row r="102">
      <c r="A102" s="4" t="s">
        <v>299</v>
      </c>
      <c r="B102" s="4" t="s">
        <v>300</v>
      </c>
      <c r="C102" s="4" t="s">
        <v>301</v>
      </c>
      <c r="D102" s="5">
        <v>479335.0</v>
      </c>
      <c r="E102" s="6" t="str">
        <f t="shared" si="1"/>
        <v>E</v>
      </c>
      <c r="F102" s="6" t="str">
        <f t="shared" si="2"/>
        <v>Transformative change</v>
      </c>
      <c r="G102" s="6" t="str">
        <f t="shared" si="3"/>
        <v>High</v>
      </c>
      <c r="H102" s="6">
        <f t="shared" si="4"/>
        <v>1382877</v>
      </c>
      <c r="I102" s="6">
        <f t="shared" si="5"/>
        <v>784096.186</v>
      </c>
      <c r="J102" s="6">
        <f t="shared" si="6"/>
        <v>3355345</v>
      </c>
      <c r="K102" s="6">
        <f t="shared" si="7"/>
        <v>29958.44</v>
      </c>
      <c r="L102" s="6">
        <f t="shared" si="8"/>
        <v>0.18</v>
      </c>
    </row>
    <row r="103">
      <c r="A103" s="4" t="s">
        <v>302</v>
      </c>
      <c r="B103" s="4" t="s">
        <v>303</v>
      </c>
      <c r="C103" s="4" t="s">
        <v>304</v>
      </c>
      <c r="D103" s="5">
        <v>252933.0</v>
      </c>
      <c r="E103" s="6" t="str">
        <f t="shared" si="1"/>
        <v>B</v>
      </c>
      <c r="F103" s="6" t="str">
        <f t="shared" si="2"/>
        <v>High ambition</v>
      </c>
      <c r="G103" s="6" t="str">
        <f t="shared" si="3"/>
        <v>High</v>
      </c>
      <c r="H103" s="6">
        <f t="shared" si="4"/>
        <v>1285308</v>
      </c>
      <c r="I103" s="6">
        <f t="shared" si="5"/>
        <v>677595.461</v>
      </c>
      <c r="J103" s="6">
        <f t="shared" si="6"/>
        <v>2023464</v>
      </c>
      <c r="K103" s="6">
        <f t="shared" si="7"/>
        <v>9499.83</v>
      </c>
      <c r="L103" s="6">
        <f t="shared" si="8"/>
        <v>0.04</v>
      </c>
    </row>
    <row r="104">
      <c r="A104" s="4" t="s">
        <v>305</v>
      </c>
      <c r="B104" s="4" t="s">
        <v>306</v>
      </c>
      <c r="C104" s="4" t="s">
        <v>74</v>
      </c>
      <c r="D104" s="5">
        <v>8106.0</v>
      </c>
      <c r="E104" s="6" t="str">
        <f t="shared" si="1"/>
        <v>C</v>
      </c>
      <c r="F104" s="6" t="str">
        <f t="shared" si="2"/>
        <v>Transformative change</v>
      </c>
      <c r="G104" s="6" t="str">
        <f t="shared" si="3"/>
        <v>High</v>
      </c>
      <c r="H104" s="6">
        <f t="shared" si="4"/>
        <v>984479</v>
      </c>
      <c r="I104" s="6">
        <f t="shared" si="5"/>
        <v>220240.2882</v>
      </c>
      <c r="J104" s="6">
        <f t="shared" si="6"/>
        <v>56742</v>
      </c>
      <c r="K104" s="6">
        <f t="shared" si="7"/>
        <v>845</v>
      </c>
      <c r="L104" s="6">
        <f t="shared" si="8"/>
        <v>0.28</v>
      </c>
    </row>
    <row r="105">
      <c r="A105" s="4" t="s">
        <v>307</v>
      </c>
      <c r="B105" s="4" t="s">
        <v>308</v>
      </c>
      <c r="C105" s="4" t="s">
        <v>309</v>
      </c>
      <c r="D105" s="5">
        <v>19323.0</v>
      </c>
      <c r="E105" s="6" t="str">
        <f t="shared" si="1"/>
        <v>E</v>
      </c>
      <c r="F105" s="6" t="str">
        <f t="shared" si="2"/>
        <v>Transformative change</v>
      </c>
      <c r="G105" s="6" t="str">
        <f t="shared" si="3"/>
        <v>High</v>
      </c>
      <c r="H105" s="6">
        <f t="shared" si="4"/>
        <v>2659703</v>
      </c>
      <c r="I105" s="6">
        <f t="shared" si="5"/>
        <v>555624.0263</v>
      </c>
      <c r="J105" s="6">
        <f t="shared" si="6"/>
        <v>154584</v>
      </c>
      <c r="K105" s="6">
        <f t="shared" si="7"/>
        <v>1000</v>
      </c>
      <c r="L105" s="6">
        <f t="shared" si="8"/>
        <v>0.16</v>
      </c>
    </row>
    <row r="106">
      <c r="A106" s="4" t="s">
        <v>310</v>
      </c>
      <c r="B106" s="4" t="s">
        <v>311</v>
      </c>
      <c r="C106" s="4" t="s">
        <v>312</v>
      </c>
      <c r="D106" s="5">
        <v>18234.0</v>
      </c>
      <c r="E106" s="6" t="str">
        <f t="shared" si="1"/>
        <v>D</v>
      </c>
      <c r="F106" s="6" t="str">
        <f t="shared" si="2"/>
        <v>Transformative change</v>
      </c>
      <c r="G106" s="6" t="str">
        <f t="shared" si="3"/>
        <v>Low</v>
      </c>
      <c r="H106" s="6">
        <f t="shared" si="4"/>
        <v>3280859</v>
      </c>
      <c r="I106" s="6">
        <f t="shared" si="5"/>
        <v>2582047.786</v>
      </c>
      <c r="J106" s="6">
        <f t="shared" si="6"/>
        <v>72936</v>
      </c>
      <c r="K106" s="6">
        <f t="shared" si="7"/>
        <v>949</v>
      </c>
      <c r="L106" s="6">
        <f t="shared" si="8"/>
        <v>0.14</v>
      </c>
    </row>
    <row r="107">
      <c r="A107" s="4" t="s">
        <v>313</v>
      </c>
      <c r="B107" s="4" t="s">
        <v>314</v>
      </c>
      <c r="C107" s="4" t="s">
        <v>315</v>
      </c>
      <c r="D107" s="5">
        <v>6177.0</v>
      </c>
      <c r="E107" s="6" t="str">
        <f t="shared" si="1"/>
        <v>G</v>
      </c>
      <c r="F107" s="6" t="str">
        <f t="shared" si="2"/>
        <v>Transformative change</v>
      </c>
      <c r="G107" s="6" t="str">
        <f t="shared" si="3"/>
        <v>High</v>
      </c>
      <c r="H107" s="6">
        <f t="shared" si="4"/>
        <v>1797232</v>
      </c>
      <c r="I107" s="6">
        <f t="shared" si="5"/>
        <v>1714276.384</v>
      </c>
      <c r="J107" s="6">
        <f t="shared" si="6"/>
        <v>30885</v>
      </c>
      <c r="K107" s="6">
        <f t="shared" si="7"/>
        <v>884</v>
      </c>
      <c r="L107" s="6">
        <f t="shared" si="8"/>
        <v>0.22</v>
      </c>
    </row>
    <row r="108">
      <c r="A108" s="4" t="s">
        <v>316</v>
      </c>
      <c r="B108" s="4" t="s">
        <v>317</v>
      </c>
      <c r="C108" s="4" t="s">
        <v>318</v>
      </c>
      <c r="D108" s="5">
        <v>17535.0</v>
      </c>
      <c r="E108" s="6" t="str">
        <f t="shared" si="1"/>
        <v>C</v>
      </c>
      <c r="F108" s="6" t="str">
        <f t="shared" si="2"/>
        <v>High ambition</v>
      </c>
      <c r="G108" s="6" t="str">
        <f t="shared" si="3"/>
        <v>Low</v>
      </c>
      <c r="H108" s="6">
        <f t="shared" si="4"/>
        <v>1964395</v>
      </c>
      <c r="I108" s="6">
        <f t="shared" si="5"/>
        <v>1640483.964</v>
      </c>
      <c r="J108" s="6">
        <f t="shared" si="6"/>
        <v>245490</v>
      </c>
      <c r="K108" s="6">
        <f t="shared" si="7"/>
        <v>859</v>
      </c>
      <c r="L108" s="6">
        <f t="shared" si="8"/>
        <v>0.01</v>
      </c>
    </row>
    <row r="109">
      <c r="A109" s="4" t="s">
        <v>319</v>
      </c>
      <c r="B109" s="4" t="s">
        <v>320</v>
      </c>
      <c r="C109" s="4" t="s">
        <v>321</v>
      </c>
      <c r="D109" s="5">
        <v>18409.0</v>
      </c>
      <c r="E109" s="6" t="str">
        <f t="shared" si="1"/>
        <v>B</v>
      </c>
      <c r="F109" s="6" t="str">
        <f t="shared" si="2"/>
        <v>High ambition</v>
      </c>
      <c r="G109" s="6" t="str">
        <f t="shared" si="3"/>
        <v>Medium</v>
      </c>
      <c r="H109" s="6">
        <f t="shared" si="4"/>
        <v>1048372</v>
      </c>
      <c r="I109" s="6">
        <f t="shared" si="5"/>
        <v>854015.6709</v>
      </c>
      <c r="J109" s="6">
        <f t="shared" si="6"/>
        <v>257726</v>
      </c>
      <c r="K109" s="6">
        <f t="shared" si="7"/>
        <v>827</v>
      </c>
      <c r="L109" s="6">
        <f t="shared" si="8"/>
        <v>0.3</v>
      </c>
    </row>
    <row r="110">
      <c r="A110" s="4" t="s">
        <v>322</v>
      </c>
      <c r="B110" s="4" t="s">
        <v>323</v>
      </c>
      <c r="C110" s="4" t="s">
        <v>324</v>
      </c>
      <c r="D110" s="5">
        <v>18289.0</v>
      </c>
      <c r="E110" s="6" t="str">
        <f t="shared" si="1"/>
        <v>E</v>
      </c>
      <c r="F110" s="6" t="str">
        <f t="shared" si="2"/>
        <v>High ambition</v>
      </c>
      <c r="G110" s="6" t="str">
        <f t="shared" si="3"/>
        <v>Low</v>
      </c>
      <c r="H110" s="6">
        <f t="shared" si="4"/>
        <v>3156291</v>
      </c>
      <c r="I110" s="6">
        <f t="shared" si="5"/>
        <v>2505949.139</v>
      </c>
      <c r="J110" s="6">
        <f t="shared" si="6"/>
        <v>237757</v>
      </c>
      <c r="K110" s="6">
        <f t="shared" si="7"/>
        <v>902</v>
      </c>
      <c r="L110" s="6">
        <f t="shared" si="8"/>
        <v>0.13</v>
      </c>
    </row>
    <row r="111">
      <c r="A111" s="4" t="s">
        <v>325</v>
      </c>
      <c r="B111" s="4" t="s">
        <v>326</v>
      </c>
      <c r="C111" s="4" t="s">
        <v>74</v>
      </c>
      <c r="D111" s="5">
        <v>423787.0</v>
      </c>
      <c r="E111" s="6" t="str">
        <f t="shared" si="1"/>
        <v>C</v>
      </c>
      <c r="F111" s="6" t="str">
        <f t="shared" si="2"/>
        <v>Transformative change</v>
      </c>
      <c r="G111" s="6" t="str">
        <f t="shared" si="3"/>
        <v>Low</v>
      </c>
      <c r="H111" s="6">
        <f t="shared" si="4"/>
        <v>1892742</v>
      </c>
      <c r="I111" s="6">
        <f t="shared" si="5"/>
        <v>520554.5593</v>
      </c>
      <c r="J111" s="6">
        <f t="shared" si="6"/>
        <v>5085444</v>
      </c>
      <c r="K111" s="6">
        <f t="shared" si="7"/>
        <v>21825.94</v>
      </c>
      <c r="L111" s="6">
        <f t="shared" si="8"/>
        <v>0.21</v>
      </c>
    </row>
    <row r="112">
      <c r="A112" s="4" t="s">
        <v>327</v>
      </c>
      <c r="B112" s="4" t="s">
        <v>328</v>
      </c>
      <c r="C112" s="4" t="s">
        <v>329</v>
      </c>
      <c r="D112" s="5">
        <v>17528.0</v>
      </c>
      <c r="E112" s="6" t="str">
        <f t="shared" si="1"/>
        <v>E</v>
      </c>
      <c r="F112" s="6" t="str">
        <f t="shared" si="2"/>
        <v>High ambition</v>
      </c>
      <c r="G112" s="6" t="str">
        <f t="shared" si="3"/>
        <v>High</v>
      </c>
      <c r="H112" s="6">
        <f t="shared" si="4"/>
        <v>791076</v>
      </c>
      <c r="I112" s="6">
        <f t="shared" si="5"/>
        <v>163529.1284</v>
      </c>
      <c r="J112" s="6">
        <f t="shared" si="6"/>
        <v>262920</v>
      </c>
      <c r="K112" s="6">
        <f t="shared" si="7"/>
        <v>1081.98</v>
      </c>
      <c r="L112" s="6">
        <f t="shared" si="8"/>
        <v>0.23</v>
      </c>
    </row>
    <row r="113">
      <c r="A113" s="4" t="s">
        <v>330</v>
      </c>
      <c r="B113" s="4" t="s">
        <v>331</v>
      </c>
      <c r="C113" s="4" t="s">
        <v>332</v>
      </c>
      <c r="D113" s="5">
        <v>5442.0</v>
      </c>
      <c r="E113" s="6" t="str">
        <f t="shared" si="1"/>
        <v>C</v>
      </c>
      <c r="F113" s="6" t="str">
        <f t="shared" si="2"/>
        <v>Transformative change</v>
      </c>
      <c r="G113" s="6" t="str">
        <f t="shared" si="3"/>
        <v>Low</v>
      </c>
      <c r="H113" s="6">
        <f t="shared" si="4"/>
        <v>2358842</v>
      </c>
      <c r="I113" s="6">
        <f t="shared" si="5"/>
        <v>1856995.397</v>
      </c>
      <c r="J113" s="6">
        <f t="shared" si="6"/>
        <v>76188</v>
      </c>
      <c r="K113" s="6">
        <f t="shared" si="7"/>
        <v>924</v>
      </c>
      <c r="L113" s="6">
        <f t="shared" si="8"/>
        <v>0.17</v>
      </c>
    </row>
    <row r="114">
      <c r="A114" s="4" t="s">
        <v>333</v>
      </c>
      <c r="B114" s="4" t="s">
        <v>334</v>
      </c>
      <c r="C114" s="4" t="s">
        <v>335</v>
      </c>
      <c r="D114" s="5">
        <v>92106.0</v>
      </c>
      <c r="E114" s="6" t="str">
        <f t="shared" si="1"/>
        <v>D</v>
      </c>
      <c r="F114" s="6" t="str">
        <f t="shared" si="2"/>
        <v>Transformative change</v>
      </c>
      <c r="G114" s="6" t="str">
        <f t="shared" si="3"/>
        <v>Low</v>
      </c>
      <c r="H114" s="6">
        <f t="shared" si="4"/>
        <v>526589</v>
      </c>
      <c r="I114" s="6">
        <f t="shared" si="5"/>
        <v>349419.0531</v>
      </c>
      <c r="J114" s="6">
        <f t="shared" si="6"/>
        <v>1289484</v>
      </c>
      <c r="K114" s="6">
        <f t="shared" si="7"/>
        <v>3332</v>
      </c>
      <c r="L114" s="6">
        <f t="shared" si="8"/>
        <v>0.17</v>
      </c>
    </row>
    <row r="115">
      <c r="A115" s="4" t="s">
        <v>336</v>
      </c>
      <c r="B115" s="4" t="s">
        <v>337</v>
      </c>
      <c r="C115" s="4" t="s">
        <v>338</v>
      </c>
      <c r="D115" s="5">
        <v>16350.0</v>
      </c>
      <c r="E115" s="6" t="str">
        <f t="shared" si="1"/>
        <v>A</v>
      </c>
      <c r="F115" s="6" t="str">
        <f t="shared" si="2"/>
        <v>Transformative change</v>
      </c>
      <c r="G115" s="6" t="str">
        <f t="shared" si="3"/>
        <v>High</v>
      </c>
      <c r="H115" s="6">
        <f t="shared" si="4"/>
        <v>399267</v>
      </c>
      <c r="I115" s="6">
        <f t="shared" si="5"/>
        <v>87470.43082</v>
      </c>
      <c r="J115" s="6">
        <f t="shared" si="6"/>
        <v>196200</v>
      </c>
      <c r="K115" s="6">
        <f t="shared" si="7"/>
        <v>1056</v>
      </c>
      <c r="L115" s="6">
        <f t="shared" si="8"/>
        <v>0.11</v>
      </c>
    </row>
    <row r="116">
      <c r="A116" s="4" t="s">
        <v>339</v>
      </c>
      <c r="B116" s="4" t="s">
        <v>340</v>
      </c>
      <c r="C116" s="4" t="s">
        <v>341</v>
      </c>
      <c r="D116" s="5">
        <v>76105.0</v>
      </c>
      <c r="E116" s="6" t="str">
        <f t="shared" si="1"/>
        <v>E</v>
      </c>
      <c r="F116" s="6" t="str">
        <f t="shared" si="2"/>
        <v>Transformative change</v>
      </c>
      <c r="G116" s="6" t="str">
        <f t="shared" si="3"/>
        <v>Low</v>
      </c>
      <c r="H116" s="6">
        <f t="shared" si="4"/>
        <v>3079414</v>
      </c>
      <c r="I116" s="6">
        <f t="shared" si="5"/>
        <v>2745161.367</v>
      </c>
      <c r="J116" s="6">
        <f t="shared" si="6"/>
        <v>837155</v>
      </c>
      <c r="K116" s="6">
        <f t="shared" si="7"/>
        <v>3430.96</v>
      </c>
      <c r="L116" s="6">
        <f t="shared" si="8"/>
        <v>0.06</v>
      </c>
    </row>
    <row r="117">
      <c r="A117" s="4" t="s">
        <v>342</v>
      </c>
      <c r="B117" s="4" t="s">
        <v>343</v>
      </c>
      <c r="C117" s="4" t="s">
        <v>344</v>
      </c>
      <c r="D117" s="5">
        <v>7365.0</v>
      </c>
      <c r="E117" s="6" t="str">
        <f t="shared" si="1"/>
        <v>F</v>
      </c>
      <c r="F117" s="6" t="str">
        <f t="shared" si="2"/>
        <v>High ambition</v>
      </c>
      <c r="G117" s="6" t="str">
        <f t="shared" si="3"/>
        <v>Medium</v>
      </c>
      <c r="H117" s="6">
        <f t="shared" si="4"/>
        <v>1241382</v>
      </c>
      <c r="I117" s="6">
        <f t="shared" si="5"/>
        <v>883126.2026</v>
      </c>
      <c r="J117" s="6">
        <f t="shared" si="6"/>
        <v>110475</v>
      </c>
      <c r="K117" s="6">
        <f t="shared" si="7"/>
        <v>1051</v>
      </c>
      <c r="L117" s="6">
        <f t="shared" si="8"/>
        <v>0.1</v>
      </c>
    </row>
    <row r="118">
      <c r="A118" s="4" t="s">
        <v>345</v>
      </c>
      <c r="B118" s="4" t="s">
        <v>346</v>
      </c>
      <c r="C118" s="4" t="s">
        <v>347</v>
      </c>
      <c r="D118" s="5">
        <v>328085.0</v>
      </c>
      <c r="E118" s="6" t="str">
        <f t="shared" si="1"/>
        <v>F</v>
      </c>
      <c r="F118" s="6" t="str">
        <f t="shared" si="2"/>
        <v>High ambition</v>
      </c>
      <c r="G118" s="6" t="str">
        <f t="shared" si="3"/>
        <v>High</v>
      </c>
      <c r="H118" s="6">
        <f t="shared" si="4"/>
        <v>445793</v>
      </c>
      <c r="I118" s="6">
        <f t="shared" si="5"/>
        <v>224815.843</v>
      </c>
      <c r="J118" s="6">
        <f t="shared" si="6"/>
        <v>1640425</v>
      </c>
      <c r="K118" s="6">
        <f t="shared" si="7"/>
        <v>5858.66</v>
      </c>
      <c r="L118" s="6">
        <f t="shared" si="8"/>
        <v>0.3</v>
      </c>
    </row>
    <row r="119">
      <c r="A119" s="4" t="s">
        <v>348</v>
      </c>
      <c r="B119" s="4" t="s">
        <v>349</v>
      </c>
      <c r="C119" s="4" t="s">
        <v>350</v>
      </c>
      <c r="D119" s="5">
        <v>20506.0</v>
      </c>
      <c r="E119" s="6" t="str">
        <f t="shared" si="1"/>
        <v>E</v>
      </c>
      <c r="F119" s="6" t="str">
        <f t="shared" si="2"/>
        <v>Transformative change</v>
      </c>
      <c r="G119" s="6" t="str">
        <f t="shared" si="3"/>
        <v>Medium</v>
      </c>
      <c r="H119" s="6">
        <f t="shared" si="4"/>
        <v>2973466</v>
      </c>
      <c r="I119" s="6">
        <f t="shared" si="5"/>
        <v>1325651.112</v>
      </c>
      <c r="J119" s="6">
        <f t="shared" si="6"/>
        <v>143542</v>
      </c>
      <c r="K119" s="6">
        <f t="shared" si="7"/>
        <v>4349.76</v>
      </c>
      <c r="L119" s="6">
        <f t="shared" si="8"/>
        <v>0.22</v>
      </c>
    </row>
    <row r="120">
      <c r="A120" s="4" t="s">
        <v>351</v>
      </c>
      <c r="B120" s="4" t="s">
        <v>352</v>
      </c>
      <c r="C120" s="4" t="s">
        <v>353</v>
      </c>
      <c r="D120" s="5">
        <v>499358.0</v>
      </c>
      <c r="E120" s="6" t="str">
        <f t="shared" si="1"/>
        <v>D</v>
      </c>
      <c r="F120" s="6" t="str">
        <f t="shared" si="2"/>
        <v>Transformative change</v>
      </c>
      <c r="G120" s="6" t="str">
        <f t="shared" si="3"/>
        <v>Medium</v>
      </c>
      <c r="H120" s="6">
        <f t="shared" si="4"/>
        <v>2828011</v>
      </c>
      <c r="I120" s="6">
        <f t="shared" si="5"/>
        <v>2582089.855</v>
      </c>
      <c r="J120" s="6">
        <f t="shared" si="6"/>
        <v>6491654</v>
      </c>
      <c r="K120" s="6">
        <f t="shared" si="7"/>
        <v>28472.17</v>
      </c>
      <c r="L120" s="6">
        <f t="shared" si="8"/>
        <v>0.29</v>
      </c>
    </row>
    <row r="121">
      <c r="A121" s="4" t="s">
        <v>354</v>
      </c>
      <c r="B121" s="4" t="s">
        <v>355</v>
      </c>
      <c r="C121" s="4" t="s">
        <v>356</v>
      </c>
      <c r="D121" s="5">
        <v>11065.0</v>
      </c>
      <c r="E121" s="6" t="str">
        <f t="shared" si="1"/>
        <v>D</v>
      </c>
      <c r="F121" s="6" t="str">
        <f t="shared" si="2"/>
        <v>High ambition</v>
      </c>
      <c r="G121" s="6" t="str">
        <f t="shared" si="3"/>
        <v>Medium</v>
      </c>
      <c r="H121" s="6">
        <f t="shared" si="4"/>
        <v>1946331</v>
      </c>
      <c r="I121" s="6">
        <f t="shared" si="5"/>
        <v>1600664.552</v>
      </c>
      <c r="J121" s="6">
        <f t="shared" si="6"/>
        <v>165975</v>
      </c>
      <c r="K121" s="6">
        <f t="shared" si="7"/>
        <v>1059</v>
      </c>
      <c r="L121" s="6">
        <f t="shared" si="8"/>
        <v>0.15</v>
      </c>
    </row>
    <row r="122">
      <c r="A122" s="4" t="s">
        <v>357</v>
      </c>
      <c r="B122" s="4" t="s">
        <v>358</v>
      </c>
      <c r="C122" s="4" t="s">
        <v>359</v>
      </c>
      <c r="D122" s="5">
        <v>379611.0</v>
      </c>
      <c r="E122" s="6" t="str">
        <f t="shared" si="1"/>
        <v>C</v>
      </c>
      <c r="F122" s="6" t="str">
        <f t="shared" si="2"/>
        <v>Transformative change</v>
      </c>
      <c r="G122" s="6" t="str">
        <f t="shared" si="3"/>
        <v>High</v>
      </c>
      <c r="H122" s="6">
        <f t="shared" si="4"/>
        <v>3206238</v>
      </c>
      <c r="I122" s="6">
        <f t="shared" si="5"/>
        <v>2872819.764</v>
      </c>
      <c r="J122" s="6">
        <f t="shared" si="6"/>
        <v>1898055</v>
      </c>
      <c r="K122" s="6">
        <f t="shared" si="7"/>
        <v>5469.9</v>
      </c>
      <c r="L122" s="6">
        <f t="shared" si="8"/>
        <v>0.03</v>
      </c>
    </row>
    <row r="123">
      <c r="A123" s="4" t="s">
        <v>360</v>
      </c>
      <c r="B123" s="4" t="s">
        <v>361</v>
      </c>
      <c r="C123" s="4" t="s">
        <v>362</v>
      </c>
      <c r="D123" s="5">
        <v>256106.0</v>
      </c>
      <c r="E123" s="6" t="str">
        <f t="shared" si="1"/>
        <v>D</v>
      </c>
      <c r="F123" s="6" t="str">
        <f t="shared" si="2"/>
        <v>Transformative change</v>
      </c>
      <c r="G123" s="6" t="str">
        <f t="shared" si="3"/>
        <v>Low</v>
      </c>
      <c r="H123" s="6">
        <f t="shared" si="4"/>
        <v>170401</v>
      </c>
      <c r="I123" s="6">
        <f t="shared" si="5"/>
        <v>93307.31974</v>
      </c>
      <c r="J123" s="6">
        <f t="shared" si="6"/>
        <v>2048848</v>
      </c>
      <c r="K123" s="6">
        <f t="shared" si="7"/>
        <v>17073.73</v>
      </c>
      <c r="L123" s="6">
        <f t="shared" si="8"/>
        <v>0.05</v>
      </c>
    </row>
    <row r="124">
      <c r="A124" s="4" t="s">
        <v>36</v>
      </c>
      <c r="B124" s="4" t="s">
        <v>363</v>
      </c>
      <c r="C124" s="4" t="s">
        <v>364</v>
      </c>
      <c r="D124" s="5">
        <v>886346.0</v>
      </c>
      <c r="E124" s="6" t="str">
        <f t="shared" si="1"/>
        <v>C</v>
      </c>
      <c r="F124" s="6" t="str">
        <f t="shared" si="2"/>
        <v>Transformative change</v>
      </c>
      <c r="G124" s="6" t="str">
        <f t="shared" si="3"/>
        <v>Low</v>
      </c>
      <c r="H124" s="6">
        <f t="shared" si="4"/>
        <v>335855</v>
      </c>
      <c r="I124" s="6">
        <f t="shared" si="5"/>
        <v>110652.3658</v>
      </c>
      <c r="J124" s="6">
        <f t="shared" si="6"/>
        <v>9749806</v>
      </c>
      <c r="K124" s="6">
        <f t="shared" si="7"/>
        <v>26858.97</v>
      </c>
      <c r="L124" s="6">
        <f t="shared" si="8"/>
        <v>0.01</v>
      </c>
    </row>
    <row r="125">
      <c r="A125" s="4" t="s">
        <v>365</v>
      </c>
      <c r="B125" s="4" t="s">
        <v>366</v>
      </c>
      <c r="C125" s="4" t="s">
        <v>74</v>
      </c>
      <c r="D125" s="5">
        <v>89067.0</v>
      </c>
      <c r="E125" s="6" t="str">
        <f t="shared" si="1"/>
        <v>F</v>
      </c>
      <c r="F125" s="6" t="str">
        <f t="shared" si="2"/>
        <v>Transformative change</v>
      </c>
      <c r="G125" s="6" t="str">
        <f t="shared" si="3"/>
        <v>Medium</v>
      </c>
      <c r="H125" s="6">
        <f t="shared" si="4"/>
        <v>848272</v>
      </c>
      <c r="I125" s="6">
        <f t="shared" si="5"/>
        <v>112192.7508</v>
      </c>
      <c r="J125" s="6">
        <f t="shared" si="6"/>
        <v>712536</v>
      </c>
      <c r="K125" s="6">
        <f t="shared" si="7"/>
        <v>3980.65</v>
      </c>
      <c r="L125" s="6">
        <f t="shared" si="8"/>
        <v>0.01</v>
      </c>
    </row>
    <row r="126">
      <c r="A126" s="4" t="s">
        <v>367</v>
      </c>
      <c r="B126" s="4" t="s">
        <v>368</v>
      </c>
      <c r="C126" s="4" t="s">
        <v>74</v>
      </c>
      <c r="D126" s="5">
        <v>8203.0</v>
      </c>
      <c r="E126" s="6" t="str">
        <f t="shared" si="1"/>
        <v>E</v>
      </c>
      <c r="F126" s="6" t="str">
        <f t="shared" si="2"/>
        <v>Transformative change</v>
      </c>
      <c r="G126" s="6" t="str">
        <f t="shared" si="3"/>
        <v>Medium</v>
      </c>
      <c r="H126" s="6">
        <f t="shared" si="4"/>
        <v>2950237</v>
      </c>
      <c r="I126" s="6">
        <f t="shared" si="5"/>
        <v>1705891.77</v>
      </c>
      <c r="J126" s="6">
        <f t="shared" si="6"/>
        <v>73827</v>
      </c>
      <c r="K126" s="6">
        <f t="shared" si="7"/>
        <v>830</v>
      </c>
      <c r="L126" s="6">
        <f t="shared" si="8"/>
        <v>0.17</v>
      </c>
    </row>
    <row r="127">
      <c r="A127" s="4" t="s">
        <v>369</v>
      </c>
      <c r="B127" s="4" t="s">
        <v>370</v>
      </c>
      <c r="C127" s="4" t="s">
        <v>371</v>
      </c>
      <c r="D127" s="5">
        <v>13897.0</v>
      </c>
      <c r="E127" s="6" t="str">
        <f t="shared" si="1"/>
        <v>E</v>
      </c>
      <c r="F127" s="6" t="str">
        <f t="shared" si="2"/>
        <v>Transformative change</v>
      </c>
      <c r="G127" s="6" t="str">
        <f t="shared" si="3"/>
        <v>Low</v>
      </c>
      <c r="H127" s="6">
        <f t="shared" si="4"/>
        <v>1942724</v>
      </c>
      <c r="I127" s="6">
        <f t="shared" si="5"/>
        <v>582947.1799</v>
      </c>
      <c r="J127" s="6">
        <f t="shared" si="6"/>
        <v>55588</v>
      </c>
      <c r="K127" s="6">
        <f t="shared" si="7"/>
        <v>414.84</v>
      </c>
      <c r="L127" s="6">
        <f t="shared" si="8"/>
        <v>0.1</v>
      </c>
    </row>
    <row r="128">
      <c r="A128" s="4" t="s">
        <v>372</v>
      </c>
      <c r="B128" s="4" t="s">
        <v>373</v>
      </c>
      <c r="C128" s="4" t="s">
        <v>374</v>
      </c>
      <c r="D128" s="5">
        <v>6842.0</v>
      </c>
      <c r="E128" s="6" t="str">
        <f t="shared" si="1"/>
        <v>F</v>
      </c>
      <c r="F128" s="6" t="str">
        <f t="shared" si="2"/>
        <v>High ambition</v>
      </c>
      <c r="G128" s="6" t="str">
        <f t="shared" si="3"/>
        <v>High</v>
      </c>
      <c r="H128" s="6">
        <f t="shared" si="4"/>
        <v>1309007</v>
      </c>
      <c r="I128" s="6">
        <f t="shared" si="5"/>
        <v>60830.00391</v>
      </c>
      <c r="J128" s="6">
        <f t="shared" si="6"/>
        <v>54736</v>
      </c>
      <c r="K128" s="6">
        <f t="shared" si="7"/>
        <v>956</v>
      </c>
      <c r="L128" s="6">
        <f t="shared" si="8"/>
        <v>0.14</v>
      </c>
    </row>
    <row r="129">
      <c r="A129" s="4" t="s">
        <v>375</v>
      </c>
      <c r="B129" s="4" t="s">
        <v>376</v>
      </c>
      <c r="C129" s="4" t="s">
        <v>74</v>
      </c>
      <c r="D129" s="5">
        <v>19601.0</v>
      </c>
      <c r="E129" s="6" t="str">
        <f t="shared" si="1"/>
        <v>C</v>
      </c>
      <c r="F129" s="6" t="str">
        <f t="shared" si="2"/>
        <v>Transformative change</v>
      </c>
      <c r="G129" s="6" t="str">
        <f t="shared" si="3"/>
        <v>Medium</v>
      </c>
      <c r="H129" s="6">
        <f t="shared" si="4"/>
        <v>1640217</v>
      </c>
      <c r="I129" s="6">
        <f t="shared" si="5"/>
        <v>1321510.625</v>
      </c>
      <c r="J129" s="6">
        <f t="shared" si="6"/>
        <v>254813</v>
      </c>
      <c r="K129" s="6">
        <f t="shared" si="7"/>
        <v>2682.24</v>
      </c>
      <c r="L129" s="6">
        <f t="shared" si="8"/>
        <v>0.23</v>
      </c>
    </row>
    <row r="130">
      <c r="A130" s="4" t="s">
        <v>377</v>
      </c>
      <c r="B130" s="4" t="s">
        <v>378</v>
      </c>
      <c r="C130" s="4" t="s">
        <v>379</v>
      </c>
      <c r="D130" s="5">
        <v>19167.0</v>
      </c>
      <c r="E130" s="6" t="str">
        <f t="shared" si="1"/>
        <v>F</v>
      </c>
      <c r="F130" s="6" t="str">
        <f t="shared" si="2"/>
        <v>Transformative change</v>
      </c>
      <c r="G130" s="6" t="str">
        <f t="shared" si="3"/>
        <v>Medium</v>
      </c>
      <c r="H130" s="6">
        <f t="shared" si="4"/>
        <v>3111764</v>
      </c>
      <c r="I130" s="6">
        <f t="shared" si="5"/>
        <v>1209669.054</v>
      </c>
      <c r="J130" s="6">
        <f t="shared" si="6"/>
        <v>191670</v>
      </c>
      <c r="K130" s="6">
        <f t="shared" si="7"/>
        <v>691.95</v>
      </c>
      <c r="L130" s="6">
        <f t="shared" si="8"/>
        <v>0.08</v>
      </c>
    </row>
    <row r="131">
      <c r="A131" s="4" t="s">
        <v>380</v>
      </c>
      <c r="B131" s="4" t="s">
        <v>381</v>
      </c>
      <c r="C131" s="4" t="s">
        <v>382</v>
      </c>
      <c r="D131" s="5">
        <v>51943.0</v>
      </c>
      <c r="E131" s="6" t="str">
        <f t="shared" si="1"/>
        <v>C</v>
      </c>
      <c r="F131" s="6" t="str">
        <f t="shared" si="2"/>
        <v>Transformative change</v>
      </c>
      <c r="G131" s="6" t="str">
        <f t="shared" si="3"/>
        <v>High</v>
      </c>
      <c r="H131" s="6">
        <f t="shared" si="4"/>
        <v>1849848</v>
      </c>
      <c r="I131" s="6">
        <f t="shared" si="5"/>
        <v>302393.617</v>
      </c>
      <c r="J131" s="6">
        <f t="shared" si="6"/>
        <v>259715</v>
      </c>
      <c r="K131" s="6">
        <f t="shared" si="7"/>
        <v>681.67</v>
      </c>
      <c r="L131" s="6">
        <f t="shared" si="8"/>
        <v>0.06</v>
      </c>
    </row>
    <row r="132">
      <c r="A132" s="4" t="s">
        <v>383</v>
      </c>
      <c r="B132" s="4" t="s">
        <v>384</v>
      </c>
      <c r="C132" s="4" t="s">
        <v>385</v>
      </c>
      <c r="D132" s="5">
        <v>31956.0</v>
      </c>
      <c r="E132" s="6" t="str">
        <f t="shared" si="1"/>
        <v>D</v>
      </c>
      <c r="F132" s="6" t="str">
        <f t="shared" si="2"/>
        <v>Transformative change</v>
      </c>
      <c r="G132" s="6" t="str">
        <f t="shared" si="3"/>
        <v>Low</v>
      </c>
      <c r="H132" s="6">
        <f t="shared" si="4"/>
        <v>1117272</v>
      </c>
      <c r="I132" s="6">
        <f t="shared" si="5"/>
        <v>984349.515</v>
      </c>
      <c r="J132" s="6">
        <f t="shared" si="6"/>
        <v>479340</v>
      </c>
      <c r="K132" s="6">
        <f t="shared" si="7"/>
        <v>4168.17</v>
      </c>
      <c r="L132" s="6">
        <f t="shared" si="8"/>
        <v>0.19</v>
      </c>
    </row>
    <row r="133">
      <c r="A133" s="4" t="s">
        <v>386</v>
      </c>
      <c r="B133" s="4" t="s">
        <v>387</v>
      </c>
      <c r="C133" s="4" t="s">
        <v>388</v>
      </c>
      <c r="D133" s="5">
        <v>11874.0</v>
      </c>
      <c r="E133" s="6" t="str">
        <f t="shared" si="1"/>
        <v>F</v>
      </c>
      <c r="F133" s="6" t="str">
        <f t="shared" si="2"/>
        <v>Transformative change</v>
      </c>
      <c r="G133" s="6" t="str">
        <f t="shared" si="3"/>
        <v>Low</v>
      </c>
      <c r="H133" s="6">
        <f t="shared" si="4"/>
        <v>3797779</v>
      </c>
      <c r="I133" s="6">
        <f t="shared" si="5"/>
        <v>2985306.254</v>
      </c>
      <c r="J133" s="6">
        <f t="shared" si="6"/>
        <v>178110</v>
      </c>
      <c r="K133" s="6">
        <f t="shared" si="7"/>
        <v>889</v>
      </c>
      <c r="L133" s="6">
        <f t="shared" si="8"/>
        <v>0.29</v>
      </c>
    </row>
    <row r="134">
      <c r="A134" s="4" t="s">
        <v>389</v>
      </c>
      <c r="B134" s="4" t="s">
        <v>390</v>
      </c>
      <c r="C134" s="4" t="s">
        <v>391</v>
      </c>
      <c r="D134" s="5">
        <v>9081.0</v>
      </c>
      <c r="E134" s="6" t="str">
        <f t="shared" si="1"/>
        <v>G</v>
      </c>
      <c r="F134" s="6" t="str">
        <f t="shared" si="2"/>
        <v>High ambition</v>
      </c>
      <c r="G134" s="6" t="str">
        <f t="shared" si="3"/>
        <v>Medium</v>
      </c>
      <c r="H134" s="6">
        <f t="shared" si="4"/>
        <v>1168127</v>
      </c>
      <c r="I134" s="6">
        <f t="shared" si="5"/>
        <v>528086.7343</v>
      </c>
      <c r="J134" s="6">
        <f t="shared" si="6"/>
        <v>108972</v>
      </c>
      <c r="K134" s="6">
        <f t="shared" si="7"/>
        <v>854</v>
      </c>
      <c r="L134" s="6">
        <f t="shared" si="8"/>
        <v>0.11</v>
      </c>
    </row>
    <row r="135">
      <c r="A135" s="4" t="s">
        <v>392</v>
      </c>
      <c r="B135" s="4" t="s">
        <v>393</v>
      </c>
      <c r="C135" s="4" t="s">
        <v>394</v>
      </c>
      <c r="D135" s="5">
        <v>11966.0</v>
      </c>
      <c r="E135" s="6" t="str">
        <f t="shared" si="1"/>
        <v>B</v>
      </c>
      <c r="F135" s="6" t="str">
        <f t="shared" si="2"/>
        <v>Transformative change</v>
      </c>
      <c r="G135" s="6" t="str">
        <f t="shared" si="3"/>
        <v>Medium</v>
      </c>
      <c r="H135" s="6">
        <f t="shared" si="4"/>
        <v>1657133</v>
      </c>
      <c r="I135" s="6">
        <f t="shared" si="5"/>
        <v>55261.03359</v>
      </c>
      <c r="J135" s="6">
        <f t="shared" si="6"/>
        <v>179490</v>
      </c>
      <c r="K135" s="6">
        <f t="shared" si="7"/>
        <v>532.61</v>
      </c>
      <c r="L135" s="6">
        <f t="shared" si="8"/>
        <v>0.1</v>
      </c>
    </row>
    <row r="136">
      <c r="A136" s="4" t="s">
        <v>395</v>
      </c>
      <c r="B136" s="4" t="s">
        <v>396</v>
      </c>
      <c r="C136" s="4" t="s">
        <v>397</v>
      </c>
      <c r="D136" s="5">
        <v>16095.0</v>
      </c>
      <c r="E136" s="6" t="str">
        <f t="shared" si="1"/>
        <v>B</v>
      </c>
      <c r="F136" s="6" t="str">
        <f t="shared" si="2"/>
        <v>Transformative change</v>
      </c>
      <c r="G136" s="6" t="str">
        <f t="shared" si="3"/>
        <v>Medium</v>
      </c>
      <c r="H136" s="6">
        <f t="shared" si="4"/>
        <v>1720884</v>
      </c>
      <c r="I136" s="6">
        <f t="shared" si="5"/>
        <v>1505460.831</v>
      </c>
      <c r="J136" s="6">
        <f t="shared" si="6"/>
        <v>64380</v>
      </c>
      <c r="K136" s="6">
        <f t="shared" si="7"/>
        <v>1005</v>
      </c>
      <c r="L136" s="6">
        <f t="shared" si="8"/>
        <v>0.28</v>
      </c>
    </row>
    <row r="137">
      <c r="A137" s="4" t="s">
        <v>398</v>
      </c>
      <c r="B137" s="4" t="s">
        <v>399</v>
      </c>
      <c r="C137" s="4" t="s">
        <v>74</v>
      </c>
      <c r="D137" s="5">
        <v>85484.0</v>
      </c>
      <c r="E137" s="6" t="str">
        <f t="shared" si="1"/>
        <v>B</v>
      </c>
      <c r="F137" s="6" t="str">
        <f t="shared" si="2"/>
        <v>Transformative change</v>
      </c>
      <c r="G137" s="6" t="str">
        <f t="shared" si="3"/>
        <v>High</v>
      </c>
      <c r="H137" s="6">
        <f t="shared" si="4"/>
        <v>3913359</v>
      </c>
      <c r="I137" s="6">
        <f t="shared" si="5"/>
        <v>2627377.489</v>
      </c>
      <c r="J137" s="6">
        <f t="shared" si="6"/>
        <v>341936</v>
      </c>
      <c r="K137" s="6">
        <f t="shared" si="7"/>
        <v>831</v>
      </c>
      <c r="L137" s="6">
        <f t="shared" si="8"/>
        <v>0.29</v>
      </c>
    </row>
    <row r="138">
      <c r="A138" s="4" t="s">
        <v>400</v>
      </c>
      <c r="B138" s="4" t="s">
        <v>401</v>
      </c>
      <c r="C138" s="4" t="s">
        <v>402</v>
      </c>
      <c r="D138" s="5">
        <v>17580.0</v>
      </c>
      <c r="E138" s="6" t="str">
        <f t="shared" si="1"/>
        <v>E</v>
      </c>
      <c r="F138" s="6" t="str">
        <f t="shared" si="2"/>
        <v>Transformative change</v>
      </c>
      <c r="G138" s="6" t="str">
        <f t="shared" si="3"/>
        <v>High</v>
      </c>
      <c r="H138" s="6">
        <f t="shared" si="4"/>
        <v>2101656</v>
      </c>
      <c r="I138" s="6">
        <f t="shared" si="5"/>
        <v>1298712.392</v>
      </c>
      <c r="J138" s="6">
        <f t="shared" si="6"/>
        <v>263700</v>
      </c>
      <c r="K138" s="6">
        <f t="shared" si="7"/>
        <v>955</v>
      </c>
      <c r="L138" s="6">
        <f t="shared" si="8"/>
        <v>0.09</v>
      </c>
    </row>
    <row r="139">
      <c r="A139" s="4" t="s">
        <v>403</v>
      </c>
      <c r="B139" s="4" t="s">
        <v>404</v>
      </c>
      <c r="C139" s="4" t="s">
        <v>405</v>
      </c>
      <c r="D139" s="5">
        <v>11812.0</v>
      </c>
      <c r="E139" s="6" t="str">
        <f t="shared" si="1"/>
        <v>G</v>
      </c>
      <c r="F139" s="6" t="str">
        <f t="shared" si="2"/>
        <v>Transformative change</v>
      </c>
      <c r="G139" s="6" t="str">
        <f t="shared" si="3"/>
        <v>Low</v>
      </c>
      <c r="H139" s="6">
        <f t="shared" si="4"/>
        <v>1285065</v>
      </c>
      <c r="I139" s="6">
        <f t="shared" si="5"/>
        <v>310523.316</v>
      </c>
      <c r="J139" s="6">
        <f t="shared" si="6"/>
        <v>153556</v>
      </c>
      <c r="K139" s="6">
        <f t="shared" si="7"/>
        <v>906</v>
      </c>
      <c r="L139" s="6">
        <f t="shared" si="8"/>
        <v>0.06</v>
      </c>
    </row>
    <row r="140">
      <c r="A140" s="4" t="s">
        <v>406</v>
      </c>
      <c r="B140" s="4" t="s">
        <v>407</v>
      </c>
      <c r="C140" s="4" t="s">
        <v>408</v>
      </c>
      <c r="D140" s="5">
        <v>15360.0</v>
      </c>
      <c r="E140" s="6" t="str">
        <f t="shared" si="1"/>
        <v>A</v>
      </c>
      <c r="F140" s="6" t="str">
        <f t="shared" si="2"/>
        <v>Transformative change</v>
      </c>
      <c r="G140" s="6" t="str">
        <f t="shared" si="3"/>
        <v>Low</v>
      </c>
      <c r="H140" s="6">
        <f t="shared" si="4"/>
        <v>1867185</v>
      </c>
      <c r="I140" s="6">
        <f t="shared" si="5"/>
        <v>1601474.376</v>
      </c>
      <c r="J140" s="6">
        <f t="shared" si="6"/>
        <v>184320</v>
      </c>
      <c r="K140" s="6">
        <f t="shared" si="7"/>
        <v>886</v>
      </c>
      <c r="L140" s="6">
        <f t="shared" si="8"/>
        <v>0.1</v>
      </c>
    </row>
    <row r="141">
      <c r="A141" s="4" t="s">
        <v>409</v>
      </c>
      <c r="B141" s="4" t="s">
        <v>410</v>
      </c>
      <c r="C141" s="4" t="s">
        <v>411</v>
      </c>
      <c r="D141" s="5">
        <v>14865.0</v>
      </c>
      <c r="E141" s="6" t="str">
        <f t="shared" si="1"/>
        <v>G</v>
      </c>
      <c r="F141" s="6" t="str">
        <f t="shared" si="2"/>
        <v>High ambition</v>
      </c>
      <c r="G141" s="6" t="str">
        <f t="shared" si="3"/>
        <v>Medium</v>
      </c>
      <c r="H141" s="6">
        <f t="shared" si="4"/>
        <v>1980322</v>
      </c>
      <c r="I141" s="6">
        <f t="shared" si="5"/>
        <v>1664008.84</v>
      </c>
      <c r="J141" s="6">
        <f t="shared" si="6"/>
        <v>178380</v>
      </c>
      <c r="K141" s="6">
        <f t="shared" si="7"/>
        <v>1094.36</v>
      </c>
      <c r="L141" s="6">
        <f t="shared" si="8"/>
        <v>0.17</v>
      </c>
    </row>
    <row r="142">
      <c r="A142" s="4" t="s">
        <v>412</v>
      </c>
      <c r="B142" s="4" t="s">
        <v>413</v>
      </c>
      <c r="C142" s="4" t="s">
        <v>414</v>
      </c>
      <c r="D142" s="5">
        <v>10659.0</v>
      </c>
      <c r="E142" s="6" t="str">
        <f t="shared" si="1"/>
        <v>E</v>
      </c>
      <c r="F142" s="6" t="str">
        <f t="shared" si="2"/>
        <v>Transformative change</v>
      </c>
      <c r="G142" s="6" t="str">
        <f t="shared" si="3"/>
        <v>High</v>
      </c>
      <c r="H142" s="6">
        <f t="shared" si="4"/>
        <v>1171375</v>
      </c>
      <c r="I142" s="6">
        <f t="shared" si="5"/>
        <v>175377.5981</v>
      </c>
      <c r="J142" s="6">
        <f t="shared" si="6"/>
        <v>159885</v>
      </c>
      <c r="K142" s="6">
        <f t="shared" si="7"/>
        <v>5329.5</v>
      </c>
      <c r="L142" s="6">
        <f t="shared" si="8"/>
        <v>0.25</v>
      </c>
    </row>
    <row r="143">
      <c r="A143" s="4" t="s">
        <v>415</v>
      </c>
      <c r="B143" s="4" t="s">
        <v>416</v>
      </c>
      <c r="C143" s="4" t="s">
        <v>77</v>
      </c>
      <c r="D143" s="5">
        <v>14805.0</v>
      </c>
      <c r="E143" s="6" t="str">
        <f t="shared" si="1"/>
        <v>D</v>
      </c>
      <c r="F143" s="6" t="str">
        <f t="shared" si="2"/>
        <v>Transformative change</v>
      </c>
      <c r="G143" s="6" t="str">
        <f t="shared" si="3"/>
        <v>Low</v>
      </c>
      <c r="H143" s="6">
        <f t="shared" si="4"/>
        <v>1628434</v>
      </c>
      <c r="I143" s="6">
        <f t="shared" si="5"/>
        <v>1315186.03</v>
      </c>
      <c r="J143" s="6">
        <f t="shared" si="6"/>
        <v>148050</v>
      </c>
      <c r="K143" s="6">
        <f t="shared" si="7"/>
        <v>1091</v>
      </c>
      <c r="L143" s="6">
        <f t="shared" si="8"/>
        <v>0.04</v>
      </c>
    </row>
    <row r="144">
      <c r="A144" s="4" t="s">
        <v>417</v>
      </c>
      <c r="B144" s="4" t="s">
        <v>418</v>
      </c>
      <c r="C144" s="4" t="s">
        <v>419</v>
      </c>
      <c r="D144" s="5">
        <v>15023.0</v>
      </c>
      <c r="E144" s="6" t="str">
        <f t="shared" si="1"/>
        <v>E</v>
      </c>
      <c r="F144" s="6" t="str">
        <f t="shared" si="2"/>
        <v>Transformative change</v>
      </c>
      <c r="G144" s="6" t="str">
        <f t="shared" si="3"/>
        <v>High</v>
      </c>
      <c r="H144" s="6">
        <f t="shared" si="4"/>
        <v>157302</v>
      </c>
      <c r="I144" s="6">
        <f t="shared" si="5"/>
        <v>41083.13113</v>
      </c>
      <c r="J144" s="6">
        <f t="shared" si="6"/>
        <v>165253</v>
      </c>
      <c r="K144" s="6">
        <f t="shared" si="7"/>
        <v>995</v>
      </c>
      <c r="L144" s="6">
        <f t="shared" si="8"/>
        <v>0.2</v>
      </c>
    </row>
    <row r="145">
      <c r="A145" s="4" t="s">
        <v>420</v>
      </c>
      <c r="B145" s="4" t="s">
        <v>421</v>
      </c>
      <c r="C145" s="4" t="s">
        <v>74</v>
      </c>
      <c r="D145" s="5">
        <v>9864.0</v>
      </c>
      <c r="E145" s="6" t="str">
        <f t="shared" si="1"/>
        <v>F</v>
      </c>
      <c r="F145" s="6" t="str">
        <f t="shared" si="2"/>
        <v>Transformative change</v>
      </c>
      <c r="G145" s="6" t="str">
        <f t="shared" si="3"/>
        <v>High</v>
      </c>
      <c r="H145" s="6">
        <f t="shared" si="4"/>
        <v>747177</v>
      </c>
      <c r="I145" s="6">
        <f t="shared" si="5"/>
        <v>618609.5804</v>
      </c>
      <c r="J145" s="6">
        <f t="shared" si="6"/>
        <v>128232</v>
      </c>
      <c r="K145" s="6">
        <f t="shared" si="7"/>
        <v>504.85</v>
      </c>
      <c r="L145" s="6">
        <f t="shared" si="8"/>
        <v>0.26</v>
      </c>
    </row>
    <row r="146">
      <c r="A146" s="4" t="s">
        <v>422</v>
      </c>
      <c r="B146" s="4" t="s">
        <v>423</v>
      </c>
      <c r="C146" s="4" t="s">
        <v>424</v>
      </c>
      <c r="D146" s="5">
        <v>7851.0</v>
      </c>
      <c r="E146" s="6" t="str">
        <f t="shared" si="1"/>
        <v>D</v>
      </c>
      <c r="F146" s="6" t="str">
        <f t="shared" si="2"/>
        <v>Transformative change</v>
      </c>
      <c r="G146" s="6" t="str">
        <f t="shared" si="3"/>
        <v>Medium</v>
      </c>
      <c r="H146" s="6">
        <f t="shared" si="4"/>
        <v>3314687</v>
      </c>
      <c r="I146" s="6">
        <f t="shared" si="5"/>
        <v>2197371.424</v>
      </c>
      <c r="J146" s="6">
        <f t="shared" si="6"/>
        <v>78510</v>
      </c>
      <c r="K146" s="6">
        <f t="shared" si="7"/>
        <v>213.92</v>
      </c>
      <c r="L146" s="6">
        <f t="shared" si="8"/>
        <v>0.26</v>
      </c>
    </row>
    <row r="147">
      <c r="A147" s="4" t="s">
        <v>425</v>
      </c>
      <c r="B147" s="4" t="s">
        <v>426</v>
      </c>
      <c r="C147" s="4" t="s">
        <v>427</v>
      </c>
      <c r="D147" s="5">
        <v>11688.0</v>
      </c>
      <c r="E147" s="6" t="str">
        <f t="shared" si="1"/>
        <v>C</v>
      </c>
      <c r="F147" s="6" t="str">
        <f t="shared" si="2"/>
        <v>Transformative change</v>
      </c>
      <c r="G147" s="6" t="str">
        <f t="shared" si="3"/>
        <v>Medium</v>
      </c>
      <c r="H147" s="6">
        <f t="shared" si="4"/>
        <v>445513</v>
      </c>
      <c r="I147" s="6">
        <f t="shared" si="5"/>
        <v>418319.3018</v>
      </c>
      <c r="J147" s="6">
        <f t="shared" si="6"/>
        <v>58440</v>
      </c>
      <c r="K147" s="6">
        <f t="shared" si="7"/>
        <v>996</v>
      </c>
      <c r="L147" s="6">
        <f t="shared" si="8"/>
        <v>0.3</v>
      </c>
    </row>
    <row r="148">
      <c r="A148" s="4" t="s">
        <v>428</v>
      </c>
      <c r="B148" s="4" t="s">
        <v>429</v>
      </c>
      <c r="C148" s="4" t="s">
        <v>430</v>
      </c>
      <c r="D148" s="5">
        <v>9702.0</v>
      </c>
      <c r="E148" s="6" t="str">
        <f t="shared" si="1"/>
        <v>B</v>
      </c>
      <c r="F148" s="6" t="str">
        <f t="shared" si="2"/>
        <v>Transformative change</v>
      </c>
      <c r="G148" s="6" t="str">
        <f t="shared" si="3"/>
        <v>High</v>
      </c>
      <c r="H148" s="6">
        <f t="shared" si="4"/>
        <v>3062833</v>
      </c>
      <c r="I148" s="6">
        <f t="shared" si="5"/>
        <v>557145.9388</v>
      </c>
      <c r="J148" s="6">
        <f t="shared" si="6"/>
        <v>145530</v>
      </c>
      <c r="K148" s="6">
        <f t="shared" si="7"/>
        <v>816</v>
      </c>
      <c r="L148" s="6">
        <f t="shared" si="8"/>
        <v>0.11</v>
      </c>
    </row>
    <row r="149">
      <c r="A149" s="4" t="s">
        <v>431</v>
      </c>
      <c r="B149" s="4" t="s">
        <v>432</v>
      </c>
      <c r="C149" s="4" t="s">
        <v>433</v>
      </c>
      <c r="D149" s="5">
        <v>12739.0</v>
      </c>
      <c r="E149" s="6" t="str">
        <f t="shared" si="1"/>
        <v>C</v>
      </c>
      <c r="F149" s="6" t="str">
        <f t="shared" si="2"/>
        <v>Transformative change</v>
      </c>
      <c r="G149" s="6" t="str">
        <f t="shared" si="3"/>
        <v>Medium</v>
      </c>
      <c r="H149" s="6">
        <f t="shared" si="4"/>
        <v>2101760</v>
      </c>
      <c r="I149" s="6">
        <f t="shared" si="5"/>
        <v>2001153.259</v>
      </c>
      <c r="J149" s="6">
        <f t="shared" si="6"/>
        <v>191085</v>
      </c>
      <c r="K149" s="6">
        <f t="shared" si="7"/>
        <v>1014</v>
      </c>
      <c r="L149" s="6">
        <f t="shared" si="8"/>
        <v>0.1</v>
      </c>
    </row>
    <row r="150">
      <c r="A150" s="4" t="s">
        <v>434</v>
      </c>
      <c r="B150" s="4" t="s">
        <v>435</v>
      </c>
      <c r="C150" s="4" t="s">
        <v>74</v>
      </c>
      <c r="D150" s="5">
        <v>154600.0</v>
      </c>
      <c r="E150" s="6" t="str">
        <f t="shared" si="1"/>
        <v>G</v>
      </c>
      <c r="F150" s="6" t="str">
        <f t="shared" si="2"/>
        <v>Transformative change</v>
      </c>
      <c r="G150" s="6" t="str">
        <f t="shared" si="3"/>
        <v>Medium</v>
      </c>
      <c r="H150" s="6">
        <f t="shared" si="4"/>
        <v>3939049</v>
      </c>
      <c r="I150" s="6">
        <f t="shared" si="5"/>
        <v>1235655.764</v>
      </c>
      <c r="J150" s="6">
        <f t="shared" si="6"/>
        <v>1546000</v>
      </c>
      <c r="K150" s="6">
        <f t="shared" si="7"/>
        <v>3894.21</v>
      </c>
      <c r="L150" s="6">
        <f t="shared" si="8"/>
        <v>0.26</v>
      </c>
    </row>
    <row r="151">
      <c r="A151" s="4" t="s">
        <v>436</v>
      </c>
      <c r="B151" s="4" t="s">
        <v>437</v>
      </c>
      <c r="C151" s="4" t="s">
        <v>438</v>
      </c>
      <c r="D151" s="5">
        <v>5165.0</v>
      </c>
      <c r="E151" s="6" t="str">
        <f t="shared" si="1"/>
        <v>E</v>
      </c>
      <c r="F151" s="6" t="str">
        <f t="shared" si="2"/>
        <v>Transformative change</v>
      </c>
      <c r="G151" s="6" t="str">
        <f t="shared" si="3"/>
        <v>Low</v>
      </c>
      <c r="H151" s="6">
        <f t="shared" si="4"/>
        <v>1117243</v>
      </c>
      <c r="I151" s="6">
        <f t="shared" si="5"/>
        <v>874276.456</v>
      </c>
      <c r="J151" s="6">
        <f t="shared" si="6"/>
        <v>61980</v>
      </c>
      <c r="K151" s="6">
        <f t="shared" si="7"/>
        <v>1002</v>
      </c>
      <c r="L151" s="6">
        <f t="shared" si="8"/>
        <v>0.15</v>
      </c>
    </row>
    <row r="152">
      <c r="A152" s="4" t="s">
        <v>439</v>
      </c>
      <c r="B152" s="4" t="s">
        <v>440</v>
      </c>
      <c r="C152" s="4" t="s">
        <v>74</v>
      </c>
      <c r="D152" s="5">
        <v>18218.0</v>
      </c>
      <c r="E152" s="6" t="str">
        <f t="shared" si="1"/>
        <v>G</v>
      </c>
      <c r="F152" s="6" t="str">
        <f t="shared" si="2"/>
        <v>Transformative change</v>
      </c>
      <c r="G152" s="6" t="str">
        <f t="shared" si="3"/>
        <v>Low</v>
      </c>
      <c r="H152" s="6">
        <f t="shared" si="4"/>
        <v>2252518</v>
      </c>
      <c r="I152" s="6">
        <f t="shared" si="5"/>
        <v>1565839.808</v>
      </c>
      <c r="J152" s="6">
        <f t="shared" si="6"/>
        <v>255052</v>
      </c>
      <c r="K152" s="6">
        <f t="shared" si="7"/>
        <v>1932.21</v>
      </c>
      <c r="L152" s="6">
        <f t="shared" si="8"/>
        <v>0.09</v>
      </c>
    </row>
    <row r="153">
      <c r="A153" s="4" t="s">
        <v>441</v>
      </c>
      <c r="B153" s="4" t="s">
        <v>442</v>
      </c>
      <c r="C153" s="4" t="s">
        <v>74</v>
      </c>
      <c r="D153" s="5">
        <v>5862.0</v>
      </c>
      <c r="E153" s="6" t="str">
        <f t="shared" si="1"/>
        <v>D</v>
      </c>
      <c r="F153" s="6" t="str">
        <f t="shared" si="2"/>
        <v>Transformative change</v>
      </c>
      <c r="G153" s="6" t="str">
        <f t="shared" si="3"/>
        <v>Medium</v>
      </c>
      <c r="H153" s="6">
        <f t="shared" si="4"/>
        <v>485407</v>
      </c>
      <c r="I153" s="6">
        <f t="shared" si="5"/>
        <v>91837.63108</v>
      </c>
      <c r="J153" s="6">
        <f t="shared" si="6"/>
        <v>52758</v>
      </c>
      <c r="K153" s="6">
        <f t="shared" si="7"/>
        <v>1042</v>
      </c>
      <c r="L153" s="6">
        <f t="shared" si="8"/>
        <v>0.12</v>
      </c>
    </row>
    <row r="154">
      <c r="A154" s="4" t="s">
        <v>443</v>
      </c>
      <c r="B154" s="4" t="s">
        <v>444</v>
      </c>
      <c r="C154" s="4" t="s">
        <v>74</v>
      </c>
      <c r="D154" s="5">
        <v>93321.0</v>
      </c>
      <c r="E154" s="6" t="str">
        <f t="shared" si="1"/>
        <v>E</v>
      </c>
      <c r="F154" s="6" t="str">
        <f t="shared" si="2"/>
        <v>High ambition</v>
      </c>
      <c r="G154" s="6" t="str">
        <f t="shared" si="3"/>
        <v>High</v>
      </c>
      <c r="H154" s="6">
        <f t="shared" si="4"/>
        <v>2383656</v>
      </c>
      <c r="I154" s="6">
        <f t="shared" si="5"/>
        <v>565610.913</v>
      </c>
      <c r="J154" s="6">
        <f t="shared" si="6"/>
        <v>1213173</v>
      </c>
      <c r="K154" s="6">
        <f t="shared" si="7"/>
        <v>5229.19</v>
      </c>
      <c r="L154" s="6">
        <f t="shared" si="8"/>
        <v>0.16</v>
      </c>
    </row>
    <row r="155">
      <c r="A155" s="4" t="s">
        <v>445</v>
      </c>
      <c r="B155" s="4" t="s">
        <v>446</v>
      </c>
      <c r="C155" s="4" t="s">
        <v>447</v>
      </c>
      <c r="D155" s="5">
        <v>15811.0</v>
      </c>
      <c r="E155" s="6" t="str">
        <f t="shared" si="1"/>
        <v>A</v>
      </c>
      <c r="F155" s="6" t="str">
        <f t="shared" si="2"/>
        <v>Transformative change</v>
      </c>
      <c r="G155" s="6" t="str">
        <f t="shared" si="3"/>
        <v>Medium</v>
      </c>
      <c r="H155" s="6">
        <f t="shared" si="4"/>
        <v>2596404</v>
      </c>
      <c r="I155" s="6">
        <f t="shared" si="5"/>
        <v>1104900.334</v>
      </c>
      <c r="J155" s="6">
        <f t="shared" si="6"/>
        <v>110677</v>
      </c>
      <c r="K155" s="6">
        <f t="shared" si="7"/>
        <v>966</v>
      </c>
      <c r="L155" s="6">
        <f t="shared" si="8"/>
        <v>0.08</v>
      </c>
    </row>
    <row r="156">
      <c r="A156" s="4" t="s">
        <v>448</v>
      </c>
      <c r="B156" s="4" t="s">
        <v>449</v>
      </c>
      <c r="C156" s="4" t="s">
        <v>450</v>
      </c>
      <c r="D156" s="5">
        <v>237720.0</v>
      </c>
      <c r="E156" s="6" t="str">
        <f t="shared" si="1"/>
        <v>E</v>
      </c>
      <c r="F156" s="6" t="str">
        <f t="shared" si="2"/>
        <v>Transformative change</v>
      </c>
      <c r="G156" s="6" t="str">
        <f t="shared" si="3"/>
        <v>Low</v>
      </c>
      <c r="H156" s="6">
        <f t="shared" si="4"/>
        <v>428924</v>
      </c>
      <c r="I156" s="6">
        <f t="shared" si="5"/>
        <v>179401.0564</v>
      </c>
      <c r="J156" s="6">
        <f t="shared" si="6"/>
        <v>1188600</v>
      </c>
      <c r="K156" s="6">
        <f t="shared" si="7"/>
        <v>4170.53</v>
      </c>
      <c r="L156" s="6">
        <f t="shared" si="8"/>
        <v>0.17</v>
      </c>
    </row>
    <row r="157">
      <c r="A157" s="4" t="s">
        <v>451</v>
      </c>
      <c r="B157" s="4" t="s">
        <v>452</v>
      </c>
      <c r="C157" s="4" t="s">
        <v>453</v>
      </c>
      <c r="D157" s="5">
        <v>10402.0</v>
      </c>
      <c r="E157" s="6" t="str">
        <f t="shared" si="1"/>
        <v>A</v>
      </c>
      <c r="F157" s="6" t="str">
        <f t="shared" si="2"/>
        <v>Transformative change</v>
      </c>
      <c r="G157" s="6" t="str">
        <f t="shared" si="3"/>
        <v>High</v>
      </c>
      <c r="H157" s="6">
        <f t="shared" si="4"/>
        <v>1057139</v>
      </c>
      <c r="I157" s="6">
        <f t="shared" si="5"/>
        <v>317099.0128</v>
      </c>
      <c r="J157" s="6">
        <f t="shared" si="6"/>
        <v>124824</v>
      </c>
      <c r="K157" s="6">
        <f t="shared" si="7"/>
        <v>915</v>
      </c>
      <c r="L157" s="6">
        <f t="shared" si="8"/>
        <v>0.12</v>
      </c>
    </row>
    <row r="158">
      <c r="A158" s="4" t="s">
        <v>454</v>
      </c>
      <c r="B158" s="4" t="s">
        <v>421</v>
      </c>
      <c r="C158" s="4" t="s">
        <v>455</v>
      </c>
      <c r="D158" s="5">
        <v>7333.0</v>
      </c>
      <c r="E158" s="6" t="str">
        <f t="shared" si="1"/>
        <v>E</v>
      </c>
      <c r="F158" s="6" t="str">
        <f t="shared" si="2"/>
        <v>Transformative change</v>
      </c>
      <c r="G158" s="6" t="str">
        <f t="shared" si="3"/>
        <v>Medium</v>
      </c>
      <c r="H158" s="6">
        <f t="shared" si="4"/>
        <v>531120</v>
      </c>
      <c r="I158" s="6">
        <f t="shared" si="5"/>
        <v>125620.6505</v>
      </c>
      <c r="J158" s="6">
        <f t="shared" si="6"/>
        <v>80663</v>
      </c>
      <c r="K158" s="6">
        <f t="shared" si="7"/>
        <v>970</v>
      </c>
      <c r="L158" s="6">
        <f t="shared" si="8"/>
        <v>0.21</v>
      </c>
    </row>
    <row r="159">
      <c r="A159" s="4" t="s">
        <v>456</v>
      </c>
      <c r="B159" s="4" t="s">
        <v>457</v>
      </c>
      <c r="C159" s="4" t="s">
        <v>458</v>
      </c>
      <c r="D159" s="5">
        <v>12089.0</v>
      </c>
      <c r="E159" s="6" t="str">
        <f t="shared" si="1"/>
        <v>F</v>
      </c>
      <c r="F159" s="6" t="str">
        <f t="shared" si="2"/>
        <v>Transformative change</v>
      </c>
      <c r="G159" s="6" t="str">
        <f t="shared" si="3"/>
        <v>High</v>
      </c>
      <c r="H159" s="6">
        <f t="shared" si="4"/>
        <v>2226801</v>
      </c>
      <c r="I159" s="6">
        <f t="shared" si="5"/>
        <v>326186.4721</v>
      </c>
      <c r="J159" s="6">
        <f t="shared" si="6"/>
        <v>132979</v>
      </c>
      <c r="K159" s="6">
        <f t="shared" si="7"/>
        <v>901</v>
      </c>
      <c r="L159" s="6">
        <f t="shared" si="8"/>
        <v>0.19</v>
      </c>
    </row>
    <row r="160">
      <c r="A160" s="4" t="s">
        <v>459</v>
      </c>
      <c r="B160" s="4" t="s">
        <v>460</v>
      </c>
      <c r="C160" s="4" t="s">
        <v>461</v>
      </c>
      <c r="D160" s="5">
        <v>19954.0</v>
      </c>
      <c r="E160" s="6" t="str">
        <f t="shared" si="1"/>
        <v>B</v>
      </c>
      <c r="F160" s="6" t="str">
        <f t="shared" si="2"/>
        <v>Transformative change</v>
      </c>
      <c r="G160" s="6" t="str">
        <f t="shared" si="3"/>
        <v>Medium</v>
      </c>
      <c r="H160" s="6">
        <f t="shared" si="4"/>
        <v>2515128</v>
      </c>
      <c r="I160" s="6">
        <f t="shared" si="5"/>
        <v>815254.8972</v>
      </c>
      <c r="J160" s="6">
        <f t="shared" si="6"/>
        <v>119724</v>
      </c>
      <c r="K160" s="6">
        <f t="shared" si="7"/>
        <v>944</v>
      </c>
      <c r="L160" s="6">
        <f t="shared" si="8"/>
        <v>0.2</v>
      </c>
    </row>
    <row r="161">
      <c r="A161" s="4" t="s">
        <v>462</v>
      </c>
      <c r="B161" s="4" t="s">
        <v>463</v>
      </c>
      <c r="C161" s="4" t="s">
        <v>74</v>
      </c>
      <c r="D161" s="5">
        <v>35707.0</v>
      </c>
      <c r="E161" s="6" t="str">
        <f t="shared" si="1"/>
        <v>G</v>
      </c>
      <c r="F161" s="6" t="str">
        <f t="shared" si="2"/>
        <v>Transformative change</v>
      </c>
      <c r="G161" s="6" t="str">
        <f t="shared" si="3"/>
        <v>Low</v>
      </c>
      <c r="H161" s="6">
        <f t="shared" si="4"/>
        <v>3207843</v>
      </c>
      <c r="I161" s="6">
        <f t="shared" si="5"/>
        <v>660015.9102</v>
      </c>
      <c r="J161" s="6">
        <f t="shared" si="6"/>
        <v>321363</v>
      </c>
      <c r="K161" s="6">
        <f t="shared" si="7"/>
        <v>1185.84</v>
      </c>
      <c r="L161" s="6">
        <f t="shared" si="8"/>
        <v>0.12</v>
      </c>
    </row>
    <row r="162">
      <c r="A162" s="4" t="s">
        <v>464</v>
      </c>
      <c r="B162" s="4" t="s">
        <v>465</v>
      </c>
      <c r="C162" s="4" t="s">
        <v>466</v>
      </c>
      <c r="D162" s="5">
        <v>17939.0</v>
      </c>
      <c r="E162" s="6" t="str">
        <f t="shared" si="1"/>
        <v>B</v>
      </c>
      <c r="F162" s="6" t="str">
        <f t="shared" si="2"/>
        <v>Transformative change</v>
      </c>
      <c r="G162" s="6" t="str">
        <f t="shared" si="3"/>
        <v>Medium</v>
      </c>
      <c r="H162" s="6">
        <f t="shared" si="4"/>
        <v>2409147</v>
      </c>
      <c r="I162" s="6">
        <f t="shared" si="5"/>
        <v>1735228.334</v>
      </c>
      <c r="J162" s="6">
        <f t="shared" si="6"/>
        <v>89695</v>
      </c>
      <c r="K162" s="6">
        <f t="shared" si="7"/>
        <v>833</v>
      </c>
      <c r="L162" s="6">
        <f t="shared" si="8"/>
        <v>0.2</v>
      </c>
    </row>
    <row r="163">
      <c r="A163" s="4" t="s">
        <v>467</v>
      </c>
      <c r="B163" s="4" t="s">
        <v>468</v>
      </c>
      <c r="C163" s="4" t="s">
        <v>469</v>
      </c>
      <c r="D163" s="5">
        <v>18553.0</v>
      </c>
      <c r="E163" s="6" t="str">
        <f t="shared" si="1"/>
        <v>A</v>
      </c>
      <c r="F163" s="6" t="str">
        <f t="shared" si="2"/>
        <v>High ambition</v>
      </c>
      <c r="G163" s="6" t="str">
        <f t="shared" si="3"/>
        <v>High</v>
      </c>
      <c r="H163" s="6">
        <f t="shared" si="4"/>
        <v>3512444</v>
      </c>
      <c r="I163" s="6">
        <f t="shared" si="5"/>
        <v>3217472.804</v>
      </c>
      <c r="J163" s="6">
        <f t="shared" si="6"/>
        <v>74212</v>
      </c>
      <c r="K163" s="6">
        <f t="shared" si="7"/>
        <v>821</v>
      </c>
      <c r="L163" s="6">
        <f t="shared" si="8"/>
        <v>0.05</v>
      </c>
    </row>
    <row r="164">
      <c r="A164" s="4" t="s">
        <v>470</v>
      </c>
      <c r="B164" s="4" t="s">
        <v>471</v>
      </c>
      <c r="C164" s="4" t="s">
        <v>472</v>
      </c>
      <c r="D164" s="5">
        <v>5689.0</v>
      </c>
      <c r="E164" s="6" t="str">
        <f t="shared" si="1"/>
        <v>E</v>
      </c>
      <c r="F164" s="6" t="str">
        <f t="shared" si="2"/>
        <v>Transformative change</v>
      </c>
      <c r="G164" s="6" t="str">
        <f t="shared" si="3"/>
        <v>High</v>
      </c>
      <c r="H164" s="6">
        <f t="shared" si="4"/>
        <v>3871386</v>
      </c>
      <c r="I164" s="6">
        <f t="shared" si="5"/>
        <v>3115500.067</v>
      </c>
      <c r="J164" s="6">
        <f t="shared" si="6"/>
        <v>34134</v>
      </c>
      <c r="K164" s="6">
        <f t="shared" si="7"/>
        <v>881</v>
      </c>
      <c r="L164" s="6">
        <f t="shared" si="8"/>
        <v>0.12</v>
      </c>
    </row>
    <row r="165">
      <c r="A165" s="4" t="s">
        <v>473</v>
      </c>
      <c r="B165" s="4" t="s">
        <v>474</v>
      </c>
      <c r="C165" s="4" t="s">
        <v>475</v>
      </c>
      <c r="D165" s="5">
        <v>17786.0</v>
      </c>
      <c r="E165" s="6" t="str">
        <f t="shared" si="1"/>
        <v>E</v>
      </c>
      <c r="F165" s="6" t="str">
        <f t="shared" si="2"/>
        <v>Transformative change</v>
      </c>
      <c r="G165" s="6" t="str">
        <f t="shared" si="3"/>
        <v>High</v>
      </c>
      <c r="H165" s="6">
        <f t="shared" si="4"/>
        <v>904442</v>
      </c>
      <c r="I165" s="6">
        <f t="shared" si="5"/>
        <v>555665.532</v>
      </c>
      <c r="J165" s="6">
        <f t="shared" si="6"/>
        <v>231218</v>
      </c>
      <c r="K165" s="6">
        <f t="shared" si="7"/>
        <v>2383.69</v>
      </c>
      <c r="L165" s="6">
        <f t="shared" si="8"/>
        <v>0.01</v>
      </c>
    </row>
    <row r="166">
      <c r="A166" s="4" t="s">
        <v>476</v>
      </c>
      <c r="B166" s="4" t="s">
        <v>477</v>
      </c>
      <c r="C166" s="4" t="s">
        <v>478</v>
      </c>
      <c r="D166" s="5">
        <v>7582.0</v>
      </c>
      <c r="E166" s="6" t="str">
        <f t="shared" si="1"/>
        <v>D</v>
      </c>
      <c r="F166" s="6" t="str">
        <f t="shared" si="2"/>
        <v>High ambition</v>
      </c>
      <c r="G166" s="6" t="str">
        <f t="shared" si="3"/>
        <v>High</v>
      </c>
      <c r="H166" s="6">
        <f t="shared" si="4"/>
        <v>2902219</v>
      </c>
      <c r="I166" s="6">
        <f t="shared" si="5"/>
        <v>2588572.312</v>
      </c>
      <c r="J166" s="6">
        <f t="shared" si="6"/>
        <v>30328</v>
      </c>
      <c r="K166" s="6">
        <f t="shared" si="7"/>
        <v>817</v>
      </c>
      <c r="L166" s="6">
        <f t="shared" si="8"/>
        <v>0.2</v>
      </c>
    </row>
    <row r="167">
      <c r="A167" s="4" t="s">
        <v>479</v>
      </c>
      <c r="B167" s="4" t="s">
        <v>480</v>
      </c>
      <c r="C167" s="4" t="s">
        <v>481</v>
      </c>
      <c r="D167" s="5">
        <v>17095.0</v>
      </c>
      <c r="E167" s="6" t="str">
        <f t="shared" si="1"/>
        <v>B</v>
      </c>
      <c r="F167" s="6" t="str">
        <f t="shared" si="2"/>
        <v>Transformative change</v>
      </c>
      <c r="G167" s="6" t="str">
        <f t="shared" si="3"/>
        <v>Medium</v>
      </c>
      <c r="H167" s="6">
        <f t="shared" si="4"/>
        <v>1116723</v>
      </c>
      <c r="I167" s="6">
        <f t="shared" si="5"/>
        <v>165356.7062</v>
      </c>
      <c r="J167" s="6">
        <f t="shared" si="6"/>
        <v>136760</v>
      </c>
      <c r="K167" s="6">
        <f t="shared" si="7"/>
        <v>968</v>
      </c>
      <c r="L167" s="6">
        <f t="shared" si="8"/>
        <v>0.18</v>
      </c>
    </row>
    <row r="168">
      <c r="A168" s="4" t="s">
        <v>482</v>
      </c>
      <c r="B168" s="4" t="s">
        <v>483</v>
      </c>
      <c r="C168" s="4" t="s">
        <v>484</v>
      </c>
      <c r="D168" s="5">
        <v>13864.0</v>
      </c>
      <c r="E168" s="6" t="str">
        <f t="shared" si="1"/>
        <v>B</v>
      </c>
      <c r="F168" s="6" t="str">
        <f t="shared" si="2"/>
        <v>Transformative change</v>
      </c>
      <c r="G168" s="6" t="str">
        <f t="shared" si="3"/>
        <v>Medium</v>
      </c>
      <c r="H168" s="6">
        <f t="shared" si="4"/>
        <v>3261823</v>
      </c>
      <c r="I168" s="6">
        <f t="shared" si="5"/>
        <v>3211457.094</v>
      </c>
      <c r="J168" s="6">
        <f t="shared" si="6"/>
        <v>110912</v>
      </c>
      <c r="K168" s="6">
        <f t="shared" si="7"/>
        <v>1074</v>
      </c>
      <c r="L168" s="6">
        <f t="shared" si="8"/>
        <v>0.27</v>
      </c>
    </row>
    <row r="169">
      <c r="A169" s="4" t="s">
        <v>485</v>
      </c>
      <c r="B169" s="4" t="s">
        <v>486</v>
      </c>
      <c r="C169" s="4" t="s">
        <v>487</v>
      </c>
      <c r="D169" s="5">
        <v>496131.0</v>
      </c>
      <c r="E169" s="6" t="str">
        <f t="shared" si="1"/>
        <v>C</v>
      </c>
      <c r="F169" s="6" t="str">
        <f t="shared" si="2"/>
        <v>Transformative change</v>
      </c>
      <c r="G169" s="6" t="str">
        <f t="shared" si="3"/>
        <v>Low</v>
      </c>
      <c r="H169" s="6">
        <f t="shared" si="4"/>
        <v>3824091</v>
      </c>
      <c r="I169" s="6">
        <f t="shared" si="5"/>
        <v>3426697.343</v>
      </c>
      <c r="J169" s="6">
        <f t="shared" si="6"/>
        <v>6945834</v>
      </c>
      <c r="K169" s="6">
        <f t="shared" si="7"/>
        <v>21980.49</v>
      </c>
      <c r="L169" s="6">
        <f t="shared" si="8"/>
        <v>0.21</v>
      </c>
    </row>
    <row r="170">
      <c r="A170" s="4" t="s">
        <v>488</v>
      </c>
      <c r="B170" s="4" t="s">
        <v>489</v>
      </c>
      <c r="C170" s="4" t="s">
        <v>490</v>
      </c>
      <c r="D170" s="5">
        <v>18265.0</v>
      </c>
      <c r="E170" s="6" t="str">
        <f t="shared" si="1"/>
        <v>A</v>
      </c>
      <c r="F170" s="6" t="str">
        <f t="shared" si="2"/>
        <v>Transformative change</v>
      </c>
      <c r="G170" s="6" t="str">
        <f t="shared" si="3"/>
        <v>High</v>
      </c>
      <c r="H170" s="6">
        <f t="shared" si="4"/>
        <v>1213272</v>
      </c>
      <c r="I170" s="6">
        <f t="shared" si="5"/>
        <v>227990.8276</v>
      </c>
      <c r="J170" s="6">
        <f t="shared" si="6"/>
        <v>255710</v>
      </c>
      <c r="K170" s="6">
        <f t="shared" si="7"/>
        <v>800</v>
      </c>
      <c r="L170" s="6">
        <f t="shared" si="8"/>
        <v>0.24</v>
      </c>
    </row>
    <row r="171">
      <c r="A171" s="4" t="s">
        <v>491</v>
      </c>
      <c r="B171" s="4" t="s">
        <v>492</v>
      </c>
      <c r="C171" s="4" t="s">
        <v>493</v>
      </c>
      <c r="D171" s="5">
        <v>10827.0</v>
      </c>
      <c r="E171" s="6" t="str">
        <f t="shared" si="1"/>
        <v>B</v>
      </c>
      <c r="F171" s="6" t="str">
        <f t="shared" si="2"/>
        <v>Transformative change</v>
      </c>
      <c r="G171" s="6" t="str">
        <f t="shared" si="3"/>
        <v>High</v>
      </c>
      <c r="H171" s="6">
        <f t="shared" si="4"/>
        <v>2491594</v>
      </c>
      <c r="I171" s="6">
        <f t="shared" si="5"/>
        <v>1745937.869</v>
      </c>
      <c r="J171" s="6">
        <f t="shared" si="6"/>
        <v>151578</v>
      </c>
      <c r="K171" s="6">
        <f t="shared" si="7"/>
        <v>900</v>
      </c>
      <c r="L171" s="6">
        <f t="shared" si="8"/>
        <v>0.06</v>
      </c>
    </row>
    <row r="172">
      <c r="A172" s="4" t="s">
        <v>494</v>
      </c>
      <c r="B172" s="4" t="s">
        <v>495</v>
      </c>
      <c r="C172" s="4" t="s">
        <v>496</v>
      </c>
      <c r="D172" s="5">
        <v>6929.0</v>
      </c>
      <c r="E172" s="6" t="str">
        <f t="shared" si="1"/>
        <v>C</v>
      </c>
      <c r="F172" s="6" t="str">
        <f t="shared" si="2"/>
        <v>High ambition</v>
      </c>
      <c r="G172" s="6" t="str">
        <f t="shared" si="3"/>
        <v>Low</v>
      </c>
      <c r="H172" s="6">
        <f t="shared" si="4"/>
        <v>971109</v>
      </c>
      <c r="I172" s="6">
        <f t="shared" si="5"/>
        <v>275824.1423</v>
      </c>
      <c r="J172" s="6">
        <f t="shared" si="6"/>
        <v>27716</v>
      </c>
      <c r="K172" s="6">
        <f t="shared" si="7"/>
        <v>960</v>
      </c>
      <c r="L172" s="6">
        <f t="shared" si="8"/>
        <v>0.29</v>
      </c>
    </row>
    <row r="173">
      <c r="A173" s="4" t="s">
        <v>497</v>
      </c>
      <c r="B173" s="4" t="s">
        <v>498</v>
      </c>
      <c r="C173" s="4" t="s">
        <v>499</v>
      </c>
      <c r="D173" s="5">
        <v>12685.0</v>
      </c>
      <c r="E173" s="6" t="str">
        <f t="shared" si="1"/>
        <v>E</v>
      </c>
      <c r="F173" s="6" t="str">
        <f t="shared" si="2"/>
        <v>Transformative change</v>
      </c>
      <c r="G173" s="6" t="str">
        <f t="shared" si="3"/>
        <v>High</v>
      </c>
      <c r="H173" s="6">
        <f t="shared" si="4"/>
        <v>78337</v>
      </c>
      <c r="I173" s="6">
        <f t="shared" si="5"/>
        <v>16415.63976</v>
      </c>
      <c r="J173" s="6">
        <f t="shared" si="6"/>
        <v>76110</v>
      </c>
      <c r="K173" s="6">
        <f t="shared" si="7"/>
        <v>953</v>
      </c>
      <c r="L173" s="6">
        <f t="shared" si="8"/>
        <v>0.26</v>
      </c>
    </row>
    <row r="174">
      <c r="A174" s="4" t="s">
        <v>500</v>
      </c>
      <c r="B174" s="4" t="s">
        <v>501</v>
      </c>
      <c r="C174" s="4" t="s">
        <v>74</v>
      </c>
      <c r="D174" s="5">
        <v>5961.0</v>
      </c>
      <c r="E174" s="6" t="str">
        <f t="shared" si="1"/>
        <v>F</v>
      </c>
      <c r="F174" s="6" t="str">
        <f t="shared" si="2"/>
        <v>Transformative change</v>
      </c>
      <c r="G174" s="6" t="str">
        <f t="shared" si="3"/>
        <v>High</v>
      </c>
      <c r="H174" s="6">
        <f t="shared" si="4"/>
        <v>3435380</v>
      </c>
      <c r="I174" s="6">
        <f t="shared" si="5"/>
        <v>3318964.148</v>
      </c>
      <c r="J174" s="6">
        <f t="shared" si="6"/>
        <v>29805</v>
      </c>
      <c r="K174" s="6">
        <f t="shared" si="7"/>
        <v>928</v>
      </c>
      <c r="L174" s="6">
        <f t="shared" si="8"/>
        <v>0.18</v>
      </c>
    </row>
    <row r="175">
      <c r="A175" s="4" t="s">
        <v>502</v>
      </c>
      <c r="B175" s="4" t="s">
        <v>457</v>
      </c>
      <c r="C175" s="4" t="s">
        <v>433</v>
      </c>
      <c r="D175" s="5">
        <v>15309.0</v>
      </c>
      <c r="E175" s="6" t="str">
        <f t="shared" si="1"/>
        <v>B</v>
      </c>
      <c r="F175" s="6" t="str">
        <f t="shared" si="2"/>
        <v>Transformative change</v>
      </c>
      <c r="G175" s="6" t="str">
        <f t="shared" si="3"/>
        <v>Low</v>
      </c>
      <c r="H175" s="6">
        <f t="shared" si="4"/>
        <v>2976750</v>
      </c>
      <c r="I175" s="6">
        <f t="shared" si="5"/>
        <v>378798.1343</v>
      </c>
      <c r="J175" s="6">
        <f t="shared" si="6"/>
        <v>168399</v>
      </c>
      <c r="K175" s="6">
        <f t="shared" si="7"/>
        <v>453.91</v>
      </c>
      <c r="L175" s="6">
        <f t="shared" si="8"/>
        <v>0.24</v>
      </c>
    </row>
    <row r="176">
      <c r="A176" s="4" t="s">
        <v>503</v>
      </c>
      <c r="B176" s="4" t="s">
        <v>504</v>
      </c>
      <c r="C176" s="4" t="s">
        <v>505</v>
      </c>
      <c r="D176" s="5">
        <v>536921.0</v>
      </c>
      <c r="E176" s="6" t="str">
        <f t="shared" si="1"/>
        <v>C</v>
      </c>
      <c r="F176" s="6" t="str">
        <f t="shared" si="2"/>
        <v>Transformative change</v>
      </c>
      <c r="G176" s="6" t="str">
        <f t="shared" si="3"/>
        <v>High</v>
      </c>
      <c r="H176" s="6">
        <f t="shared" si="4"/>
        <v>1871139</v>
      </c>
      <c r="I176" s="6">
        <f t="shared" si="5"/>
        <v>436159.6247</v>
      </c>
      <c r="J176" s="6">
        <f t="shared" si="6"/>
        <v>7516894</v>
      </c>
      <c r="K176" s="6">
        <f t="shared" si="7"/>
        <v>21851.44</v>
      </c>
      <c r="L176" s="6">
        <f t="shared" si="8"/>
        <v>0.1</v>
      </c>
    </row>
    <row r="177">
      <c r="A177" s="4" t="s">
        <v>506</v>
      </c>
      <c r="B177" s="4" t="s">
        <v>507</v>
      </c>
      <c r="C177" s="4" t="s">
        <v>508</v>
      </c>
      <c r="D177" s="5">
        <v>16946.0</v>
      </c>
      <c r="E177" s="6" t="str">
        <f t="shared" si="1"/>
        <v>F</v>
      </c>
      <c r="F177" s="6" t="str">
        <f t="shared" si="2"/>
        <v>Transformative change</v>
      </c>
      <c r="G177" s="6" t="str">
        <f t="shared" si="3"/>
        <v>High</v>
      </c>
      <c r="H177" s="6">
        <f t="shared" si="4"/>
        <v>3087320</v>
      </c>
      <c r="I177" s="6">
        <f t="shared" si="5"/>
        <v>2710246.241</v>
      </c>
      <c r="J177" s="6">
        <f t="shared" si="6"/>
        <v>152514</v>
      </c>
      <c r="K177" s="6">
        <f t="shared" si="7"/>
        <v>862</v>
      </c>
      <c r="L177" s="6">
        <f t="shared" si="8"/>
        <v>0.3</v>
      </c>
    </row>
    <row r="178">
      <c r="A178" s="4" t="s">
        <v>509</v>
      </c>
      <c r="B178" s="4" t="s">
        <v>510</v>
      </c>
      <c r="C178" s="4" t="s">
        <v>511</v>
      </c>
      <c r="D178" s="5">
        <v>5096.0</v>
      </c>
      <c r="E178" s="6" t="str">
        <f t="shared" si="1"/>
        <v>A</v>
      </c>
      <c r="F178" s="6" t="str">
        <f t="shared" si="2"/>
        <v>Transformative change</v>
      </c>
      <c r="G178" s="6" t="str">
        <f t="shared" si="3"/>
        <v>Medium</v>
      </c>
      <c r="H178" s="6">
        <f t="shared" si="4"/>
        <v>2353426</v>
      </c>
      <c r="I178" s="6">
        <f t="shared" si="5"/>
        <v>1045799.32</v>
      </c>
      <c r="J178" s="6">
        <f t="shared" si="6"/>
        <v>76440</v>
      </c>
      <c r="K178" s="6">
        <f t="shared" si="7"/>
        <v>848</v>
      </c>
      <c r="L178" s="6">
        <f t="shared" si="8"/>
        <v>0.12</v>
      </c>
    </row>
    <row r="179">
      <c r="A179" s="4" t="s">
        <v>512</v>
      </c>
      <c r="B179" s="4" t="s">
        <v>513</v>
      </c>
      <c r="C179" s="4" t="s">
        <v>153</v>
      </c>
      <c r="D179" s="5">
        <v>7134.0</v>
      </c>
      <c r="E179" s="6" t="str">
        <f t="shared" si="1"/>
        <v>F</v>
      </c>
      <c r="F179" s="6" t="str">
        <f t="shared" si="2"/>
        <v>High ambition</v>
      </c>
      <c r="G179" s="6" t="str">
        <f t="shared" si="3"/>
        <v>Medium</v>
      </c>
      <c r="H179" s="6">
        <f t="shared" si="4"/>
        <v>1488810</v>
      </c>
      <c r="I179" s="6">
        <f t="shared" si="5"/>
        <v>263568.6425</v>
      </c>
      <c r="J179" s="6">
        <f t="shared" si="6"/>
        <v>64206</v>
      </c>
      <c r="K179" s="6">
        <f t="shared" si="7"/>
        <v>898</v>
      </c>
      <c r="L179" s="6">
        <f t="shared" si="8"/>
        <v>0.3</v>
      </c>
    </row>
    <row r="180">
      <c r="A180" s="4" t="s">
        <v>514</v>
      </c>
      <c r="B180" s="4" t="s">
        <v>515</v>
      </c>
      <c r="C180" s="4" t="s">
        <v>516</v>
      </c>
      <c r="D180" s="5">
        <v>18324.0</v>
      </c>
      <c r="E180" s="6" t="str">
        <f t="shared" si="1"/>
        <v>C</v>
      </c>
      <c r="F180" s="6" t="str">
        <f t="shared" si="2"/>
        <v>High ambition</v>
      </c>
      <c r="G180" s="6" t="str">
        <f t="shared" si="3"/>
        <v>Low</v>
      </c>
      <c r="H180" s="6">
        <f t="shared" si="4"/>
        <v>3637710</v>
      </c>
      <c r="I180" s="6">
        <f t="shared" si="5"/>
        <v>1944886.322</v>
      </c>
      <c r="J180" s="6">
        <f t="shared" si="6"/>
        <v>238212</v>
      </c>
      <c r="K180" s="6">
        <f t="shared" si="7"/>
        <v>1015</v>
      </c>
      <c r="L180" s="6">
        <f t="shared" si="8"/>
        <v>0.3</v>
      </c>
    </row>
    <row r="181">
      <c r="A181" s="4" t="s">
        <v>517</v>
      </c>
      <c r="B181" s="4" t="s">
        <v>518</v>
      </c>
      <c r="C181" s="4" t="s">
        <v>74</v>
      </c>
      <c r="D181" s="5">
        <v>15537.0</v>
      </c>
      <c r="E181" s="6" t="str">
        <f t="shared" si="1"/>
        <v>D</v>
      </c>
      <c r="F181" s="6" t="str">
        <f t="shared" si="2"/>
        <v>Transformative change</v>
      </c>
      <c r="G181" s="6" t="str">
        <f t="shared" si="3"/>
        <v>High</v>
      </c>
      <c r="H181" s="6">
        <f t="shared" si="4"/>
        <v>443932</v>
      </c>
      <c r="I181" s="6">
        <f t="shared" si="5"/>
        <v>6426.574356</v>
      </c>
      <c r="J181" s="6">
        <f t="shared" si="6"/>
        <v>155370</v>
      </c>
      <c r="K181" s="6">
        <f t="shared" si="7"/>
        <v>6473.75</v>
      </c>
      <c r="L181" s="6">
        <f t="shared" si="8"/>
        <v>0.04</v>
      </c>
    </row>
    <row r="182">
      <c r="A182" s="4" t="s">
        <v>519</v>
      </c>
      <c r="B182" s="4" t="s">
        <v>520</v>
      </c>
      <c r="C182" s="4" t="s">
        <v>74</v>
      </c>
      <c r="D182" s="5">
        <v>16622.0</v>
      </c>
      <c r="E182" s="6" t="str">
        <f t="shared" si="1"/>
        <v>B</v>
      </c>
      <c r="F182" s="6" t="str">
        <f t="shared" si="2"/>
        <v>Transformative change</v>
      </c>
      <c r="G182" s="6" t="str">
        <f t="shared" si="3"/>
        <v>High</v>
      </c>
      <c r="H182" s="6">
        <f t="shared" si="4"/>
        <v>1795793</v>
      </c>
      <c r="I182" s="6">
        <f t="shared" si="5"/>
        <v>1596422.723</v>
      </c>
      <c r="J182" s="6">
        <f t="shared" si="6"/>
        <v>166220</v>
      </c>
      <c r="K182" s="6">
        <f t="shared" si="7"/>
        <v>812</v>
      </c>
      <c r="L182" s="6">
        <f t="shared" si="8"/>
        <v>0.27</v>
      </c>
    </row>
    <row r="183">
      <c r="A183" s="4" t="s">
        <v>521</v>
      </c>
      <c r="B183" s="4" t="s">
        <v>522</v>
      </c>
      <c r="C183" s="4" t="s">
        <v>74</v>
      </c>
      <c r="D183" s="5">
        <v>554197.0</v>
      </c>
      <c r="E183" s="6" t="str">
        <f t="shared" si="1"/>
        <v>D</v>
      </c>
      <c r="F183" s="6" t="str">
        <f t="shared" si="2"/>
        <v>High ambition</v>
      </c>
      <c r="G183" s="6" t="str">
        <f t="shared" si="3"/>
        <v>High</v>
      </c>
      <c r="H183" s="6">
        <f t="shared" si="4"/>
        <v>1360494</v>
      </c>
      <c r="I183" s="6">
        <f t="shared" si="5"/>
        <v>743629.3401</v>
      </c>
      <c r="J183" s="6">
        <f t="shared" si="6"/>
        <v>2216788</v>
      </c>
      <c r="K183" s="6">
        <f t="shared" si="7"/>
        <v>7015.15</v>
      </c>
      <c r="L183" s="6">
        <f t="shared" si="8"/>
        <v>0.1</v>
      </c>
    </row>
    <row r="184">
      <c r="A184" s="4" t="s">
        <v>523</v>
      </c>
      <c r="B184" s="4" t="s">
        <v>524</v>
      </c>
      <c r="C184" s="4" t="s">
        <v>74</v>
      </c>
      <c r="D184" s="5">
        <v>17345.0</v>
      </c>
      <c r="E184" s="6" t="str">
        <f t="shared" si="1"/>
        <v>G</v>
      </c>
      <c r="F184" s="6" t="str">
        <f t="shared" si="2"/>
        <v>High ambition</v>
      </c>
      <c r="G184" s="6" t="str">
        <f t="shared" si="3"/>
        <v>Low</v>
      </c>
      <c r="H184" s="6">
        <f t="shared" si="4"/>
        <v>1797203</v>
      </c>
      <c r="I184" s="6">
        <f t="shared" si="5"/>
        <v>679301.5802</v>
      </c>
      <c r="J184" s="6">
        <f t="shared" si="6"/>
        <v>225485</v>
      </c>
      <c r="K184" s="6">
        <f t="shared" si="7"/>
        <v>1079</v>
      </c>
      <c r="L184" s="6">
        <f t="shared" si="8"/>
        <v>0.24</v>
      </c>
    </row>
    <row r="185">
      <c r="A185" s="4" t="s">
        <v>392</v>
      </c>
      <c r="B185" s="4" t="s">
        <v>525</v>
      </c>
      <c r="C185" s="4" t="s">
        <v>74</v>
      </c>
      <c r="D185" s="5">
        <v>14221.0</v>
      </c>
      <c r="E185" s="6" t="str">
        <f t="shared" si="1"/>
        <v>C</v>
      </c>
      <c r="F185" s="6" t="str">
        <f t="shared" si="2"/>
        <v>High ambition</v>
      </c>
      <c r="G185" s="6" t="str">
        <f t="shared" si="3"/>
        <v>Medium</v>
      </c>
      <c r="H185" s="6">
        <f t="shared" si="4"/>
        <v>2768013</v>
      </c>
      <c r="I185" s="6">
        <f t="shared" si="5"/>
        <v>1105000.057</v>
      </c>
      <c r="J185" s="6">
        <f t="shared" si="6"/>
        <v>85326</v>
      </c>
      <c r="K185" s="6">
        <f t="shared" si="7"/>
        <v>862</v>
      </c>
      <c r="L185" s="6">
        <f t="shared" si="8"/>
        <v>0.23</v>
      </c>
    </row>
    <row r="186">
      <c r="A186" s="4" t="s">
        <v>526</v>
      </c>
      <c r="B186" s="4" t="s">
        <v>527</v>
      </c>
      <c r="C186" s="4" t="s">
        <v>528</v>
      </c>
      <c r="D186" s="5">
        <v>13575.0</v>
      </c>
      <c r="E186" s="6" t="str">
        <f t="shared" si="1"/>
        <v>G</v>
      </c>
      <c r="F186" s="6" t="str">
        <f t="shared" si="2"/>
        <v>Transformative change</v>
      </c>
      <c r="G186" s="6" t="str">
        <f t="shared" si="3"/>
        <v>Medium</v>
      </c>
      <c r="H186" s="6">
        <f t="shared" si="4"/>
        <v>2376033</v>
      </c>
      <c r="I186" s="6">
        <f t="shared" si="5"/>
        <v>126230.3025</v>
      </c>
      <c r="J186" s="6">
        <f t="shared" si="6"/>
        <v>162900</v>
      </c>
      <c r="K186" s="6">
        <f t="shared" si="7"/>
        <v>1055</v>
      </c>
      <c r="L186" s="6">
        <f t="shared" si="8"/>
        <v>0.11</v>
      </c>
    </row>
    <row r="187">
      <c r="A187" s="4" t="s">
        <v>529</v>
      </c>
      <c r="B187" s="4" t="s">
        <v>530</v>
      </c>
      <c r="C187" s="4" t="s">
        <v>74</v>
      </c>
      <c r="D187" s="5">
        <v>12438.0</v>
      </c>
      <c r="E187" s="6" t="str">
        <f t="shared" si="1"/>
        <v>E</v>
      </c>
      <c r="F187" s="6" t="str">
        <f t="shared" si="2"/>
        <v>Transformative change</v>
      </c>
      <c r="G187" s="6" t="str">
        <f t="shared" si="3"/>
        <v>Low</v>
      </c>
      <c r="H187" s="6">
        <f t="shared" si="4"/>
        <v>289802</v>
      </c>
      <c r="I187" s="6">
        <f t="shared" si="5"/>
        <v>255177.4756</v>
      </c>
      <c r="J187" s="6">
        <f t="shared" si="6"/>
        <v>186570</v>
      </c>
      <c r="K187" s="6">
        <f t="shared" si="7"/>
        <v>1011</v>
      </c>
      <c r="L187" s="6">
        <f t="shared" si="8"/>
        <v>0.21</v>
      </c>
    </row>
    <row r="188">
      <c r="A188" s="4" t="s">
        <v>531</v>
      </c>
      <c r="B188" s="4" t="s">
        <v>532</v>
      </c>
      <c r="C188" s="4" t="s">
        <v>533</v>
      </c>
      <c r="D188" s="5">
        <v>14024.0</v>
      </c>
      <c r="E188" s="6" t="str">
        <f t="shared" si="1"/>
        <v>F</v>
      </c>
      <c r="F188" s="6" t="str">
        <f t="shared" si="2"/>
        <v>Transformative change</v>
      </c>
      <c r="G188" s="6" t="str">
        <f t="shared" si="3"/>
        <v>High</v>
      </c>
      <c r="H188" s="6">
        <f t="shared" si="4"/>
        <v>3683266</v>
      </c>
      <c r="I188" s="6">
        <f t="shared" si="5"/>
        <v>8462.486988</v>
      </c>
      <c r="J188" s="6">
        <f t="shared" si="6"/>
        <v>210360</v>
      </c>
      <c r="K188" s="6">
        <f t="shared" si="7"/>
        <v>1558.22</v>
      </c>
      <c r="L188" s="6">
        <f t="shared" si="8"/>
        <v>0.1</v>
      </c>
    </row>
    <row r="189">
      <c r="A189" s="4" t="s">
        <v>534</v>
      </c>
      <c r="B189" s="4" t="s">
        <v>535</v>
      </c>
      <c r="C189" s="4" t="s">
        <v>536</v>
      </c>
      <c r="D189" s="5">
        <v>10083.0</v>
      </c>
      <c r="E189" s="6" t="str">
        <f t="shared" si="1"/>
        <v>F</v>
      </c>
      <c r="F189" s="6" t="str">
        <f t="shared" si="2"/>
        <v>Transformative change</v>
      </c>
      <c r="G189" s="6" t="str">
        <f t="shared" si="3"/>
        <v>High</v>
      </c>
      <c r="H189" s="6">
        <f t="shared" si="4"/>
        <v>2470520</v>
      </c>
      <c r="I189" s="6">
        <f t="shared" si="5"/>
        <v>1492662.454</v>
      </c>
      <c r="J189" s="6">
        <f t="shared" si="6"/>
        <v>141162</v>
      </c>
      <c r="K189" s="6">
        <f t="shared" si="7"/>
        <v>936</v>
      </c>
      <c r="L189" s="6">
        <f t="shared" si="8"/>
        <v>0.16</v>
      </c>
    </row>
    <row r="190">
      <c r="A190" s="4" t="s">
        <v>537</v>
      </c>
      <c r="B190" s="4" t="s">
        <v>538</v>
      </c>
      <c r="C190" s="4" t="s">
        <v>539</v>
      </c>
      <c r="D190" s="5">
        <v>64856.0</v>
      </c>
      <c r="E190" s="6" t="str">
        <f t="shared" si="1"/>
        <v>F</v>
      </c>
      <c r="F190" s="6" t="str">
        <f t="shared" si="2"/>
        <v>Transformative change</v>
      </c>
      <c r="G190" s="6" t="str">
        <f t="shared" si="3"/>
        <v>High</v>
      </c>
      <c r="H190" s="6">
        <f t="shared" si="4"/>
        <v>104554</v>
      </c>
      <c r="I190" s="6">
        <f t="shared" si="5"/>
        <v>90480.90388</v>
      </c>
      <c r="J190" s="6">
        <f t="shared" si="6"/>
        <v>843128</v>
      </c>
      <c r="K190" s="6">
        <f t="shared" si="7"/>
        <v>4112.82</v>
      </c>
      <c r="L190" s="6">
        <f t="shared" si="8"/>
        <v>0.22</v>
      </c>
    </row>
    <row r="191">
      <c r="A191" s="4" t="s">
        <v>540</v>
      </c>
      <c r="B191" s="4" t="s">
        <v>541</v>
      </c>
      <c r="C191" s="4" t="s">
        <v>542</v>
      </c>
      <c r="D191" s="5">
        <v>81637.0</v>
      </c>
      <c r="E191" s="6" t="str">
        <f t="shared" si="1"/>
        <v>E</v>
      </c>
      <c r="F191" s="6" t="str">
        <f t="shared" si="2"/>
        <v>Transformative change</v>
      </c>
      <c r="G191" s="6" t="str">
        <f t="shared" si="3"/>
        <v>Medium</v>
      </c>
      <c r="H191" s="6">
        <f t="shared" si="4"/>
        <v>1079195</v>
      </c>
      <c r="I191" s="6">
        <f t="shared" si="5"/>
        <v>24300.98814</v>
      </c>
      <c r="J191" s="6">
        <f t="shared" si="6"/>
        <v>408185</v>
      </c>
      <c r="K191" s="6">
        <f t="shared" si="7"/>
        <v>14075.34</v>
      </c>
      <c r="L191" s="6">
        <f t="shared" si="8"/>
        <v>0.08</v>
      </c>
    </row>
    <row r="192">
      <c r="A192" s="4" t="s">
        <v>543</v>
      </c>
      <c r="B192" s="4" t="s">
        <v>544</v>
      </c>
      <c r="C192" s="4" t="s">
        <v>545</v>
      </c>
      <c r="D192" s="5">
        <v>14492.0</v>
      </c>
      <c r="E192" s="6" t="str">
        <f t="shared" si="1"/>
        <v>B</v>
      </c>
      <c r="F192" s="6" t="str">
        <f t="shared" si="2"/>
        <v>Transformative change</v>
      </c>
      <c r="G192" s="6" t="str">
        <f t="shared" si="3"/>
        <v>Low</v>
      </c>
      <c r="H192" s="6">
        <f t="shared" si="4"/>
        <v>3783486</v>
      </c>
      <c r="I192" s="6">
        <f t="shared" si="5"/>
        <v>1930292.506</v>
      </c>
      <c r="J192" s="6">
        <f t="shared" si="6"/>
        <v>101444</v>
      </c>
      <c r="K192" s="6">
        <f t="shared" si="7"/>
        <v>1078</v>
      </c>
      <c r="L192" s="6">
        <f t="shared" si="8"/>
        <v>0.1</v>
      </c>
    </row>
    <row r="193">
      <c r="A193" s="4" t="s">
        <v>546</v>
      </c>
      <c r="B193" s="4" t="s">
        <v>547</v>
      </c>
      <c r="C193" s="4" t="s">
        <v>548</v>
      </c>
      <c r="D193" s="5">
        <v>5153.0</v>
      </c>
      <c r="E193" s="6" t="str">
        <f t="shared" si="1"/>
        <v>G</v>
      </c>
      <c r="F193" s="6" t="str">
        <f t="shared" si="2"/>
        <v>Transformative change</v>
      </c>
      <c r="G193" s="6" t="str">
        <f t="shared" si="3"/>
        <v>High</v>
      </c>
      <c r="H193" s="6">
        <f t="shared" si="4"/>
        <v>827713</v>
      </c>
      <c r="I193" s="6">
        <f t="shared" si="5"/>
        <v>306161.6559</v>
      </c>
      <c r="J193" s="6">
        <f t="shared" si="6"/>
        <v>46377</v>
      </c>
      <c r="K193" s="6">
        <f t="shared" si="7"/>
        <v>808</v>
      </c>
      <c r="L193" s="6">
        <f t="shared" si="8"/>
        <v>0.2</v>
      </c>
    </row>
    <row r="194">
      <c r="A194" s="4" t="s">
        <v>549</v>
      </c>
      <c r="B194" s="4" t="s">
        <v>550</v>
      </c>
      <c r="C194" s="4" t="s">
        <v>551</v>
      </c>
      <c r="D194" s="5">
        <v>12748.0</v>
      </c>
      <c r="E194" s="6" t="str">
        <f t="shared" si="1"/>
        <v>E</v>
      </c>
      <c r="F194" s="6" t="str">
        <f t="shared" si="2"/>
        <v>Transformative change</v>
      </c>
      <c r="G194" s="6" t="str">
        <f t="shared" si="3"/>
        <v>Low</v>
      </c>
      <c r="H194" s="6">
        <f t="shared" si="4"/>
        <v>1830298</v>
      </c>
      <c r="I194" s="6">
        <f t="shared" si="5"/>
        <v>673997.7711</v>
      </c>
      <c r="J194" s="6">
        <f t="shared" si="6"/>
        <v>127480</v>
      </c>
      <c r="K194" s="6">
        <f t="shared" si="7"/>
        <v>724.32</v>
      </c>
      <c r="L194" s="6">
        <f t="shared" si="8"/>
        <v>0.14</v>
      </c>
    </row>
    <row r="195">
      <c r="A195" s="4" t="s">
        <v>552</v>
      </c>
      <c r="B195" s="4" t="s">
        <v>553</v>
      </c>
      <c r="C195" s="4" t="s">
        <v>554</v>
      </c>
      <c r="D195" s="5">
        <v>18401.0</v>
      </c>
      <c r="E195" s="6" t="str">
        <f t="shared" si="1"/>
        <v>F</v>
      </c>
      <c r="F195" s="6" t="str">
        <f t="shared" si="2"/>
        <v>Transformative change</v>
      </c>
      <c r="G195" s="6" t="str">
        <f t="shared" si="3"/>
        <v>Medium</v>
      </c>
      <c r="H195" s="6">
        <f t="shared" si="4"/>
        <v>3564776</v>
      </c>
      <c r="I195" s="6">
        <f t="shared" si="5"/>
        <v>1840472.907</v>
      </c>
      <c r="J195" s="6">
        <f t="shared" si="6"/>
        <v>92005</v>
      </c>
      <c r="K195" s="6">
        <f t="shared" si="7"/>
        <v>966</v>
      </c>
      <c r="L195" s="6">
        <f t="shared" si="8"/>
        <v>0.28</v>
      </c>
    </row>
    <row r="196">
      <c r="A196" s="4" t="s">
        <v>555</v>
      </c>
      <c r="B196" s="4" t="s">
        <v>556</v>
      </c>
      <c r="C196" s="4" t="s">
        <v>74</v>
      </c>
      <c r="D196" s="5">
        <v>8255.0</v>
      </c>
      <c r="E196" s="6" t="str">
        <f t="shared" si="1"/>
        <v>F</v>
      </c>
      <c r="F196" s="6" t="str">
        <f t="shared" si="2"/>
        <v>Transformative change</v>
      </c>
      <c r="G196" s="6" t="str">
        <f t="shared" si="3"/>
        <v>High</v>
      </c>
      <c r="H196" s="6">
        <f t="shared" si="4"/>
        <v>3636077</v>
      </c>
      <c r="I196" s="6">
        <f t="shared" si="5"/>
        <v>3385500.554</v>
      </c>
      <c r="J196" s="6">
        <f t="shared" si="6"/>
        <v>107315</v>
      </c>
      <c r="K196" s="6">
        <f t="shared" si="7"/>
        <v>1039</v>
      </c>
      <c r="L196" s="6">
        <f t="shared" si="8"/>
        <v>0.16</v>
      </c>
    </row>
    <row r="197">
      <c r="A197" s="4" t="s">
        <v>369</v>
      </c>
      <c r="B197" s="4" t="s">
        <v>557</v>
      </c>
      <c r="C197" s="4" t="s">
        <v>558</v>
      </c>
      <c r="D197" s="5">
        <v>234264.0</v>
      </c>
      <c r="E197" s="6" t="str">
        <f t="shared" si="1"/>
        <v>D</v>
      </c>
      <c r="F197" s="6" t="str">
        <f t="shared" si="2"/>
        <v>Transformative change</v>
      </c>
      <c r="G197" s="6" t="str">
        <f t="shared" si="3"/>
        <v>Medium</v>
      </c>
      <c r="H197" s="6">
        <f t="shared" si="4"/>
        <v>405331</v>
      </c>
      <c r="I197" s="6">
        <f t="shared" si="5"/>
        <v>93647.2428</v>
      </c>
      <c r="J197" s="6">
        <f t="shared" si="6"/>
        <v>2342640</v>
      </c>
      <c r="K197" s="6">
        <f t="shared" si="7"/>
        <v>10552.43</v>
      </c>
      <c r="L197" s="6">
        <f t="shared" si="8"/>
        <v>0.13</v>
      </c>
    </row>
    <row r="198">
      <c r="A198" s="4" t="s">
        <v>559</v>
      </c>
      <c r="B198" s="4" t="s">
        <v>560</v>
      </c>
      <c r="C198" s="4" t="s">
        <v>561</v>
      </c>
      <c r="D198" s="5">
        <v>16714.0</v>
      </c>
      <c r="E198" s="6" t="str">
        <f t="shared" si="1"/>
        <v>C</v>
      </c>
      <c r="F198" s="6" t="str">
        <f t="shared" si="2"/>
        <v>Transformative change</v>
      </c>
      <c r="G198" s="6" t="str">
        <f t="shared" si="3"/>
        <v>Medium</v>
      </c>
      <c r="H198" s="6">
        <f t="shared" si="4"/>
        <v>2072417</v>
      </c>
      <c r="I198" s="6">
        <f t="shared" si="5"/>
        <v>1878552.591</v>
      </c>
      <c r="J198" s="6">
        <f t="shared" si="6"/>
        <v>116998</v>
      </c>
      <c r="K198" s="6">
        <f t="shared" si="7"/>
        <v>891</v>
      </c>
      <c r="L198" s="6">
        <f t="shared" si="8"/>
        <v>0.08</v>
      </c>
    </row>
    <row r="199">
      <c r="A199" s="4" t="s">
        <v>562</v>
      </c>
      <c r="B199" s="4" t="s">
        <v>563</v>
      </c>
      <c r="C199" s="4" t="s">
        <v>564</v>
      </c>
      <c r="D199" s="5">
        <v>8985.0</v>
      </c>
      <c r="E199" s="6" t="str">
        <f t="shared" si="1"/>
        <v>E</v>
      </c>
      <c r="F199" s="6" t="str">
        <f t="shared" si="2"/>
        <v>Transformative change</v>
      </c>
      <c r="G199" s="6" t="str">
        <f t="shared" si="3"/>
        <v>Medium</v>
      </c>
      <c r="H199" s="6">
        <f t="shared" si="4"/>
        <v>1495466</v>
      </c>
      <c r="I199" s="6">
        <f t="shared" si="5"/>
        <v>533282.8014</v>
      </c>
      <c r="J199" s="6">
        <f t="shared" si="6"/>
        <v>98835</v>
      </c>
      <c r="K199" s="6">
        <f t="shared" si="7"/>
        <v>1060</v>
      </c>
      <c r="L199" s="6">
        <f t="shared" si="8"/>
        <v>0.04</v>
      </c>
    </row>
    <row r="200">
      <c r="A200" s="4" t="s">
        <v>565</v>
      </c>
      <c r="B200" s="4" t="s">
        <v>566</v>
      </c>
      <c r="C200" s="4" t="s">
        <v>74</v>
      </c>
      <c r="D200" s="5">
        <v>7691.0</v>
      </c>
      <c r="E200" s="6" t="str">
        <f t="shared" si="1"/>
        <v>B</v>
      </c>
      <c r="F200" s="6" t="str">
        <f t="shared" si="2"/>
        <v>Transformative change</v>
      </c>
      <c r="G200" s="6" t="str">
        <f t="shared" si="3"/>
        <v>Low</v>
      </c>
      <c r="H200" s="6">
        <f t="shared" si="4"/>
        <v>1036552</v>
      </c>
      <c r="I200" s="6">
        <f t="shared" si="5"/>
        <v>554300.0215</v>
      </c>
      <c r="J200" s="6">
        <f t="shared" si="6"/>
        <v>30764</v>
      </c>
      <c r="K200" s="6">
        <f t="shared" si="7"/>
        <v>964</v>
      </c>
      <c r="L200" s="6">
        <f t="shared" si="8"/>
        <v>0.22</v>
      </c>
    </row>
    <row r="201">
      <c r="A201" s="4" t="s">
        <v>567</v>
      </c>
      <c r="B201" s="4" t="s">
        <v>568</v>
      </c>
      <c r="C201" s="4" t="s">
        <v>74</v>
      </c>
      <c r="D201" s="5">
        <v>21380.0</v>
      </c>
      <c r="E201" s="6" t="str">
        <f t="shared" si="1"/>
        <v>E</v>
      </c>
      <c r="F201" s="6" t="str">
        <f t="shared" si="2"/>
        <v>Transformative change</v>
      </c>
      <c r="G201" s="6" t="str">
        <f t="shared" si="3"/>
        <v>Medium</v>
      </c>
      <c r="H201" s="6">
        <f t="shared" si="4"/>
        <v>2432774</v>
      </c>
      <c r="I201" s="6">
        <f t="shared" si="5"/>
        <v>955204.5264</v>
      </c>
      <c r="J201" s="6">
        <f t="shared" si="6"/>
        <v>128280</v>
      </c>
      <c r="K201" s="6">
        <f t="shared" si="7"/>
        <v>1008</v>
      </c>
      <c r="L201" s="6">
        <f t="shared" si="8"/>
        <v>0.22</v>
      </c>
    </row>
    <row r="202">
      <c r="A202" s="4" t="s">
        <v>569</v>
      </c>
      <c r="B202" s="4" t="s">
        <v>570</v>
      </c>
      <c r="C202" s="4" t="s">
        <v>571</v>
      </c>
      <c r="D202" s="5">
        <v>6465.0</v>
      </c>
      <c r="E202" s="6" t="str">
        <f t="shared" si="1"/>
        <v>D</v>
      </c>
      <c r="F202" s="6" t="str">
        <f t="shared" si="2"/>
        <v>Transformative change</v>
      </c>
      <c r="G202" s="6" t="str">
        <f t="shared" si="3"/>
        <v>Low</v>
      </c>
      <c r="H202" s="6">
        <f t="shared" si="4"/>
        <v>441956</v>
      </c>
      <c r="I202" s="6">
        <f t="shared" si="5"/>
        <v>249986.8033</v>
      </c>
      <c r="J202" s="6">
        <f t="shared" si="6"/>
        <v>96975</v>
      </c>
      <c r="K202" s="6">
        <f t="shared" si="7"/>
        <v>2486.54</v>
      </c>
      <c r="L202" s="6">
        <f t="shared" si="8"/>
        <v>0.1</v>
      </c>
    </row>
    <row r="203">
      <c r="A203" s="4" t="s">
        <v>572</v>
      </c>
      <c r="B203" s="4" t="s">
        <v>573</v>
      </c>
      <c r="C203" s="4" t="s">
        <v>329</v>
      </c>
      <c r="D203" s="5">
        <v>39445.0</v>
      </c>
      <c r="E203" s="6" t="str">
        <f t="shared" si="1"/>
        <v>B</v>
      </c>
      <c r="F203" s="6" t="str">
        <f t="shared" si="2"/>
        <v>Transformative change</v>
      </c>
      <c r="G203" s="6" t="str">
        <f t="shared" si="3"/>
        <v>High</v>
      </c>
      <c r="H203" s="6">
        <f t="shared" si="4"/>
        <v>202188</v>
      </c>
      <c r="I203" s="6">
        <f t="shared" si="5"/>
        <v>200202.7519</v>
      </c>
      <c r="J203" s="6">
        <f t="shared" si="6"/>
        <v>552230</v>
      </c>
      <c r="K203" s="6">
        <f t="shared" si="7"/>
        <v>5937.96</v>
      </c>
      <c r="L203" s="6">
        <f t="shared" si="8"/>
        <v>0.15</v>
      </c>
    </row>
    <row r="204">
      <c r="A204" s="4" t="s">
        <v>574</v>
      </c>
      <c r="B204" s="4" t="s">
        <v>575</v>
      </c>
      <c r="C204" s="4" t="s">
        <v>576</v>
      </c>
      <c r="D204" s="5">
        <v>774847.0</v>
      </c>
      <c r="E204" s="6" t="str">
        <f t="shared" si="1"/>
        <v>G</v>
      </c>
      <c r="F204" s="6" t="str">
        <f t="shared" si="2"/>
        <v>Transformative change</v>
      </c>
      <c r="G204" s="6" t="str">
        <f t="shared" si="3"/>
        <v>Medium</v>
      </c>
      <c r="H204" s="6">
        <f t="shared" si="4"/>
        <v>3994411</v>
      </c>
      <c r="I204" s="6">
        <f t="shared" si="5"/>
        <v>1576845.027</v>
      </c>
      <c r="J204" s="6">
        <f t="shared" si="6"/>
        <v>9298164</v>
      </c>
      <c r="K204" s="6">
        <f t="shared" si="7"/>
        <v>40251.79</v>
      </c>
      <c r="L204" s="6">
        <f t="shared" si="8"/>
        <v>0.29</v>
      </c>
    </row>
    <row r="205">
      <c r="A205" s="4" t="s">
        <v>577</v>
      </c>
      <c r="B205" s="4" t="s">
        <v>578</v>
      </c>
      <c r="C205" s="4" t="s">
        <v>579</v>
      </c>
      <c r="D205" s="5">
        <v>7949.0</v>
      </c>
      <c r="E205" s="6" t="str">
        <f t="shared" si="1"/>
        <v>C</v>
      </c>
      <c r="F205" s="6" t="str">
        <f t="shared" si="2"/>
        <v>High ambition</v>
      </c>
      <c r="G205" s="6" t="str">
        <f t="shared" si="3"/>
        <v>Medium</v>
      </c>
      <c r="H205" s="6">
        <f t="shared" si="4"/>
        <v>1207282</v>
      </c>
      <c r="I205" s="6">
        <f t="shared" si="5"/>
        <v>1033348.523</v>
      </c>
      <c r="J205" s="6">
        <f t="shared" si="6"/>
        <v>47694</v>
      </c>
      <c r="K205" s="6">
        <f t="shared" si="7"/>
        <v>966</v>
      </c>
      <c r="L205" s="6">
        <f t="shared" si="8"/>
        <v>0.07</v>
      </c>
    </row>
    <row r="206">
      <c r="A206" s="4" t="s">
        <v>580</v>
      </c>
      <c r="B206" s="4" t="s">
        <v>581</v>
      </c>
      <c r="C206" s="4" t="s">
        <v>74</v>
      </c>
      <c r="D206" s="5">
        <v>10245.0</v>
      </c>
      <c r="E206" s="6" t="str">
        <f t="shared" si="1"/>
        <v>E</v>
      </c>
      <c r="F206" s="6" t="str">
        <f t="shared" si="2"/>
        <v>Transformative change</v>
      </c>
      <c r="G206" s="6" t="str">
        <f t="shared" si="3"/>
        <v>High</v>
      </c>
      <c r="H206" s="6">
        <f t="shared" si="4"/>
        <v>253536</v>
      </c>
      <c r="I206" s="6">
        <f t="shared" si="5"/>
        <v>218217.1298</v>
      </c>
      <c r="J206" s="6">
        <f t="shared" si="6"/>
        <v>61470</v>
      </c>
      <c r="K206" s="6">
        <f t="shared" si="7"/>
        <v>1047</v>
      </c>
      <c r="L206" s="6">
        <f t="shared" si="8"/>
        <v>0.14</v>
      </c>
    </row>
    <row r="207">
      <c r="A207" s="4" t="s">
        <v>582</v>
      </c>
      <c r="B207" s="4" t="s">
        <v>583</v>
      </c>
      <c r="C207" s="4" t="s">
        <v>584</v>
      </c>
      <c r="D207" s="5">
        <v>297192.0</v>
      </c>
      <c r="E207" s="6" t="str">
        <f t="shared" si="1"/>
        <v>E</v>
      </c>
      <c r="F207" s="6" t="str">
        <f t="shared" si="2"/>
        <v>Transformative change</v>
      </c>
      <c r="G207" s="6" t="str">
        <f t="shared" si="3"/>
        <v>High</v>
      </c>
      <c r="H207" s="6">
        <f t="shared" si="4"/>
        <v>3577045</v>
      </c>
      <c r="I207" s="6">
        <f t="shared" si="5"/>
        <v>2027330.401</v>
      </c>
      <c r="J207" s="6">
        <f t="shared" si="6"/>
        <v>2080344</v>
      </c>
      <c r="K207" s="6">
        <f t="shared" si="7"/>
        <v>7564.89</v>
      </c>
      <c r="L207" s="6">
        <f t="shared" si="8"/>
        <v>0.06</v>
      </c>
    </row>
    <row r="208">
      <c r="A208" s="4" t="s">
        <v>585</v>
      </c>
      <c r="B208" s="4" t="s">
        <v>586</v>
      </c>
      <c r="C208" s="4" t="s">
        <v>587</v>
      </c>
      <c r="D208" s="5">
        <v>93489.0</v>
      </c>
      <c r="E208" s="6" t="str">
        <f t="shared" si="1"/>
        <v>E</v>
      </c>
      <c r="F208" s="6" t="str">
        <f t="shared" si="2"/>
        <v>Transformative change</v>
      </c>
      <c r="G208" s="6" t="str">
        <f t="shared" si="3"/>
        <v>High</v>
      </c>
      <c r="H208" s="6">
        <f t="shared" si="4"/>
        <v>2119810</v>
      </c>
      <c r="I208" s="6">
        <f t="shared" si="5"/>
        <v>428132.3185</v>
      </c>
      <c r="J208" s="6">
        <f t="shared" si="6"/>
        <v>841401</v>
      </c>
      <c r="K208" s="6">
        <f t="shared" si="7"/>
        <v>8330.7</v>
      </c>
      <c r="L208" s="6">
        <f t="shared" si="8"/>
        <v>0.3</v>
      </c>
    </row>
    <row r="209">
      <c r="A209" s="4" t="s">
        <v>412</v>
      </c>
      <c r="B209" s="4" t="s">
        <v>588</v>
      </c>
      <c r="C209" s="4" t="s">
        <v>589</v>
      </c>
      <c r="D209" s="5">
        <v>8744.0</v>
      </c>
      <c r="E209" s="6" t="str">
        <f t="shared" si="1"/>
        <v>C</v>
      </c>
      <c r="F209" s="6" t="str">
        <f t="shared" si="2"/>
        <v>Transformative change</v>
      </c>
      <c r="G209" s="6" t="str">
        <f t="shared" si="3"/>
        <v>High</v>
      </c>
      <c r="H209" s="6">
        <f t="shared" si="4"/>
        <v>3248115</v>
      </c>
      <c r="I209" s="6">
        <f t="shared" si="5"/>
        <v>2580172.763</v>
      </c>
      <c r="J209" s="6">
        <f t="shared" si="6"/>
        <v>69952</v>
      </c>
      <c r="K209" s="6">
        <f t="shared" si="7"/>
        <v>1035</v>
      </c>
      <c r="L209" s="6">
        <f t="shared" si="8"/>
        <v>0.3</v>
      </c>
    </row>
    <row r="210">
      <c r="A210" s="4" t="s">
        <v>590</v>
      </c>
      <c r="B210" s="4" t="s">
        <v>591</v>
      </c>
      <c r="C210" s="4" t="s">
        <v>592</v>
      </c>
      <c r="D210" s="5">
        <v>732994.0</v>
      </c>
      <c r="E210" s="6" t="str">
        <f t="shared" si="1"/>
        <v>D</v>
      </c>
      <c r="F210" s="6" t="str">
        <f t="shared" si="2"/>
        <v>Transformative change</v>
      </c>
      <c r="G210" s="6" t="str">
        <f t="shared" si="3"/>
        <v>High</v>
      </c>
      <c r="H210" s="6">
        <f t="shared" si="4"/>
        <v>207026</v>
      </c>
      <c r="I210" s="6">
        <f t="shared" si="5"/>
        <v>139597.9418</v>
      </c>
      <c r="J210" s="6">
        <f t="shared" si="6"/>
        <v>10994910</v>
      </c>
      <c r="K210" s="6">
        <f t="shared" si="7"/>
        <v>42126.09</v>
      </c>
      <c r="L210" s="6">
        <f t="shared" si="8"/>
        <v>0.25</v>
      </c>
    </row>
    <row r="211">
      <c r="A211" s="4" t="s">
        <v>593</v>
      </c>
      <c r="B211" s="4" t="s">
        <v>594</v>
      </c>
      <c r="C211" s="4" t="s">
        <v>595</v>
      </c>
      <c r="D211" s="5">
        <v>23160.0</v>
      </c>
      <c r="E211" s="6" t="str">
        <f t="shared" si="1"/>
        <v>D</v>
      </c>
      <c r="F211" s="6" t="str">
        <f t="shared" si="2"/>
        <v>Transformative change</v>
      </c>
      <c r="G211" s="6" t="str">
        <f t="shared" si="3"/>
        <v>High</v>
      </c>
      <c r="H211" s="6">
        <f t="shared" si="4"/>
        <v>2042496</v>
      </c>
      <c r="I211" s="6">
        <f t="shared" si="5"/>
        <v>898729.9134</v>
      </c>
      <c r="J211" s="6">
        <f t="shared" si="6"/>
        <v>115800</v>
      </c>
      <c r="K211" s="6">
        <f t="shared" si="7"/>
        <v>1072</v>
      </c>
      <c r="L211" s="6">
        <f t="shared" si="8"/>
        <v>0.05</v>
      </c>
    </row>
    <row r="212">
      <c r="A212" s="4" t="s">
        <v>596</v>
      </c>
      <c r="B212" s="4" t="s">
        <v>597</v>
      </c>
      <c r="C212" s="4" t="s">
        <v>598</v>
      </c>
      <c r="D212" s="5">
        <v>19494.0</v>
      </c>
      <c r="E212" s="6" t="str">
        <f t="shared" si="1"/>
        <v>F</v>
      </c>
      <c r="F212" s="6" t="str">
        <f t="shared" si="2"/>
        <v>Transformative change</v>
      </c>
      <c r="G212" s="6" t="str">
        <f t="shared" si="3"/>
        <v>Low</v>
      </c>
      <c r="H212" s="6">
        <f t="shared" si="4"/>
        <v>2360252</v>
      </c>
      <c r="I212" s="6">
        <f t="shared" si="5"/>
        <v>774116.33</v>
      </c>
      <c r="J212" s="6">
        <f t="shared" si="6"/>
        <v>116964</v>
      </c>
      <c r="K212" s="6">
        <f t="shared" si="7"/>
        <v>949</v>
      </c>
      <c r="L212" s="6">
        <f t="shared" si="8"/>
        <v>0.14</v>
      </c>
    </row>
    <row r="213">
      <c r="A213" s="4" t="s">
        <v>599</v>
      </c>
      <c r="B213" s="4" t="s">
        <v>600</v>
      </c>
      <c r="C213" s="4" t="s">
        <v>601</v>
      </c>
      <c r="D213" s="5">
        <v>7939.0</v>
      </c>
      <c r="E213" s="6" t="str">
        <f t="shared" si="1"/>
        <v>D</v>
      </c>
      <c r="F213" s="6" t="str">
        <f t="shared" si="2"/>
        <v>Transformative change</v>
      </c>
      <c r="G213" s="6" t="str">
        <f t="shared" si="3"/>
        <v>High</v>
      </c>
      <c r="H213" s="6">
        <f t="shared" si="4"/>
        <v>3880730</v>
      </c>
      <c r="I213" s="6">
        <f t="shared" si="5"/>
        <v>696879.233</v>
      </c>
      <c r="J213" s="6">
        <f t="shared" si="6"/>
        <v>111146</v>
      </c>
      <c r="K213" s="6">
        <f t="shared" si="7"/>
        <v>893</v>
      </c>
      <c r="L213" s="6">
        <f t="shared" si="8"/>
        <v>0.19</v>
      </c>
    </row>
    <row r="214">
      <c r="A214" s="4" t="s">
        <v>602</v>
      </c>
      <c r="B214" s="4" t="s">
        <v>603</v>
      </c>
      <c r="C214" s="4" t="s">
        <v>604</v>
      </c>
      <c r="D214" s="5">
        <v>353591.0</v>
      </c>
      <c r="E214" s="6" t="str">
        <f t="shared" si="1"/>
        <v>D</v>
      </c>
      <c r="F214" s="6" t="str">
        <f t="shared" si="2"/>
        <v>Transformative change</v>
      </c>
      <c r="G214" s="6" t="str">
        <f t="shared" si="3"/>
        <v>High</v>
      </c>
      <c r="H214" s="6">
        <f t="shared" si="4"/>
        <v>2899229</v>
      </c>
      <c r="I214" s="6">
        <f t="shared" si="5"/>
        <v>1291255.705</v>
      </c>
      <c r="J214" s="6">
        <f t="shared" si="6"/>
        <v>3889501</v>
      </c>
      <c r="K214" s="6">
        <f t="shared" si="7"/>
        <v>10656.17</v>
      </c>
      <c r="L214" s="6">
        <f t="shared" si="8"/>
        <v>0.27</v>
      </c>
    </row>
    <row r="215">
      <c r="A215" s="4" t="s">
        <v>605</v>
      </c>
      <c r="B215" s="4" t="s">
        <v>606</v>
      </c>
      <c r="C215" s="4" t="s">
        <v>607</v>
      </c>
      <c r="D215" s="5">
        <v>6870.0</v>
      </c>
      <c r="E215" s="6" t="str">
        <f t="shared" si="1"/>
        <v>A</v>
      </c>
      <c r="F215" s="6" t="str">
        <f t="shared" si="2"/>
        <v>Transformative change</v>
      </c>
      <c r="G215" s="6" t="str">
        <f t="shared" si="3"/>
        <v>High</v>
      </c>
      <c r="H215" s="6">
        <f t="shared" si="4"/>
        <v>1110542</v>
      </c>
      <c r="I215" s="6">
        <f t="shared" si="5"/>
        <v>1020087.231</v>
      </c>
      <c r="J215" s="6">
        <f t="shared" si="6"/>
        <v>61830</v>
      </c>
      <c r="K215" s="6">
        <f t="shared" si="7"/>
        <v>995</v>
      </c>
      <c r="L215" s="6">
        <f t="shared" si="8"/>
        <v>0.12</v>
      </c>
    </row>
    <row r="216">
      <c r="A216" s="4" t="s">
        <v>608</v>
      </c>
      <c r="B216" s="4" t="s">
        <v>609</v>
      </c>
      <c r="C216" s="4" t="s">
        <v>74</v>
      </c>
      <c r="D216" s="5">
        <v>13809.0</v>
      </c>
      <c r="E216" s="6" t="str">
        <f t="shared" si="1"/>
        <v>G</v>
      </c>
      <c r="F216" s="6" t="str">
        <f t="shared" si="2"/>
        <v>Transformative change</v>
      </c>
      <c r="G216" s="6" t="str">
        <f t="shared" si="3"/>
        <v>Medium</v>
      </c>
      <c r="H216" s="6">
        <f t="shared" si="4"/>
        <v>2367259</v>
      </c>
      <c r="I216" s="6">
        <f t="shared" si="5"/>
        <v>328223.615</v>
      </c>
      <c r="J216" s="6">
        <f t="shared" si="6"/>
        <v>151899</v>
      </c>
      <c r="K216" s="6">
        <f t="shared" si="7"/>
        <v>465.95</v>
      </c>
      <c r="L216" s="6">
        <f t="shared" si="8"/>
        <v>0.25</v>
      </c>
    </row>
    <row r="217">
      <c r="A217" s="4" t="s">
        <v>610</v>
      </c>
      <c r="B217" s="4" t="s">
        <v>611</v>
      </c>
      <c r="C217" s="4" t="s">
        <v>612</v>
      </c>
      <c r="D217" s="5">
        <v>53678.0</v>
      </c>
      <c r="E217" s="6" t="str">
        <f t="shared" si="1"/>
        <v>A</v>
      </c>
      <c r="F217" s="6" t="str">
        <f t="shared" si="2"/>
        <v>Transformative change</v>
      </c>
      <c r="G217" s="6" t="str">
        <f t="shared" si="3"/>
        <v>High</v>
      </c>
      <c r="H217" s="6">
        <f t="shared" si="4"/>
        <v>450963</v>
      </c>
      <c r="I217" s="6">
        <f t="shared" si="5"/>
        <v>296455.5156</v>
      </c>
      <c r="J217" s="6">
        <f t="shared" si="6"/>
        <v>322068</v>
      </c>
      <c r="K217" s="6">
        <f t="shared" si="7"/>
        <v>3126.87</v>
      </c>
      <c r="L217" s="6">
        <f t="shared" si="8"/>
        <v>0.09</v>
      </c>
    </row>
    <row r="218">
      <c r="A218" s="4" t="s">
        <v>613</v>
      </c>
      <c r="B218" s="4" t="s">
        <v>614</v>
      </c>
      <c r="C218" s="4" t="s">
        <v>615</v>
      </c>
      <c r="D218" s="5">
        <v>18907.0</v>
      </c>
      <c r="E218" s="6" t="str">
        <f t="shared" si="1"/>
        <v>C</v>
      </c>
      <c r="F218" s="6" t="str">
        <f t="shared" si="2"/>
        <v>Transformative change</v>
      </c>
      <c r="G218" s="6" t="str">
        <f t="shared" si="3"/>
        <v>Medium</v>
      </c>
      <c r="H218" s="6">
        <f t="shared" si="4"/>
        <v>565555</v>
      </c>
      <c r="I218" s="6">
        <f t="shared" si="5"/>
        <v>343616.1143</v>
      </c>
      <c r="J218" s="6">
        <f t="shared" si="6"/>
        <v>170163</v>
      </c>
      <c r="K218" s="6">
        <f t="shared" si="7"/>
        <v>943</v>
      </c>
      <c r="L218" s="6">
        <f t="shared" si="8"/>
        <v>0.12</v>
      </c>
    </row>
    <row r="219">
      <c r="A219" s="4" t="s">
        <v>616</v>
      </c>
      <c r="B219" s="4" t="s">
        <v>617</v>
      </c>
      <c r="C219" s="4" t="s">
        <v>74</v>
      </c>
      <c r="D219" s="5">
        <v>5756.0</v>
      </c>
      <c r="E219" s="6" t="str">
        <f t="shared" si="1"/>
        <v>C</v>
      </c>
      <c r="F219" s="6" t="str">
        <f t="shared" si="2"/>
        <v>Transformative change</v>
      </c>
      <c r="G219" s="6" t="str">
        <f t="shared" si="3"/>
        <v>High</v>
      </c>
      <c r="H219" s="6">
        <f t="shared" si="4"/>
        <v>3411904</v>
      </c>
      <c r="I219" s="6">
        <f t="shared" si="5"/>
        <v>910543.599</v>
      </c>
      <c r="J219" s="6">
        <f t="shared" si="6"/>
        <v>63316</v>
      </c>
      <c r="K219" s="6">
        <f t="shared" si="7"/>
        <v>1043</v>
      </c>
      <c r="L219" s="6">
        <f t="shared" si="8"/>
        <v>0.15</v>
      </c>
    </row>
    <row r="220">
      <c r="A220" s="4" t="s">
        <v>618</v>
      </c>
      <c r="B220" s="4" t="s">
        <v>619</v>
      </c>
      <c r="C220" s="4" t="s">
        <v>620</v>
      </c>
      <c r="D220" s="5">
        <v>14167.0</v>
      </c>
      <c r="E220" s="6" t="str">
        <f t="shared" si="1"/>
        <v>E</v>
      </c>
      <c r="F220" s="6" t="str">
        <f t="shared" si="2"/>
        <v>Transformative change</v>
      </c>
      <c r="G220" s="6" t="str">
        <f t="shared" si="3"/>
        <v>High</v>
      </c>
      <c r="H220" s="6">
        <f t="shared" si="4"/>
        <v>493055</v>
      </c>
      <c r="I220" s="6">
        <f t="shared" si="5"/>
        <v>274898.8617</v>
      </c>
      <c r="J220" s="6">
        <f t="shared" si="6"/>
        <v>127503</v>
      </c>
      <c r="K220" s="6">
        <f t="shared" si="7"/>
        <v>334.65</v>
      </c>
      <c r="L220" s="6">
        <f t="shared" si="8"/>
        <v>0.21</v>
      </c>
    </row>
    <row r="221">
      <c r="A221" s="4" t="s">
        <v>621</v>
      </c>
      <c r="B221" s="4" t="s">
        <v>622</v>
      </c>
      <c r="C221" s="4" t="s">
        <v>623</v>
      </c>
      <c r="D221" s="5">
        <v>16039.0</v>
      </c>
      <c r="E221" s="6" t="str">
        <f t="shared" si="1"/>
        <v>C</v>
      </c>
      <c r="F221" s="6" t="str">
        <f t="shared" si="2"/>
        <v>High ambition</v>
      </c>
      <c r="G221" s="6" t="str">
        <f t="shared" si="3"/>
        <v>Medium</v>
      </c>
      <c r="H221" s="6">
        <f t="shared" si="4"/>
        <v>2569213</v>
      </c>
      <c r="I221" s="6">
        <f t="shared" si="5"/>
        <v>1730986.757</v>
      </c>
      <c r="J221" s="6">
        <f t="shared" si="6"/>
        <v>160390</v>
      </c>
      <c r="K221" s="6">
        <f t="shared" si="7"/>
        <v>1040</v>
      </c>
      <c r="L221" s="6">
        <f t="shared" si="8"/>
        <v>0.16</v>
      </c>
    </row>
    <row r="222">
      <c r="A222" s="4" t="s">
        <v>624</v>
      </c>
      <c r="B222" s="4" t="s">
        <v>625</v>
      </c>
      <c r="C222" s="4" t="s">
        <v>626</v>
      </c>
      <c r="D222" s="5">
        <v>9575.0</v>
      </c>
      <c r="E222" s="6" t="str">
        <f t="shared" si="1"/>
        <v>F</v>
      </c>
      <c r="F222" s="6" t="str">
        <f t="shared" si="2"/>
        <v>Transformative change</v>
      </c>
      <c r="G222" s="6" t="str">
        <f t="shared" si="3"/>
        <v>Medium</v>
      </c>
      <c r="H222" s="6">
        <f t="shared" si="4"/>
        <v>1411711</v>
      </c>
      <c r="I222" s="6">
        <f t="shared" si="5"/>
        <v>392076.2134</v>
      </c>
      <c r="J222" s="6">
        <f t="shared" si="6"/>
        <v>76600</v>
      </c>
      <c r="K222" s="6">
        <f t="shared" si="7"/>
        <v>1022</v>
      </c>
      <c r="L222" s="6">
        <f t="shared" si="8"/>
        <v>0.21</v>
      </c>
    </row>
    <row r="223">
      <c r="A223" s="4" t="s">
        <v>412</v>
      </c>
      <c r="B223" s="4" t="s">
        <v>627</v>
      </c>
      <c r="C223" s="4" t="s">
        <v>628</v>
      </c>
      <c r="D223" s="5">
        <v>91575.0</v>
      </c>
      <c r="E223" s="6" t="str">
        <f t="shared" si="1"/>
        <v>F</v>
      </c>
      <c r="F223" s="6" t="str">
        <f t="shared" si="2"/>
        <v>Transformative change</v>
      </c>
      <c r="G223" s="6" t="str">
        <f t="shared" si="3"/>
        <v>Low</v>
      </c>
      <c r="H223" s="6">
        <f t="shared" si="4"/>
        <v>3595198</v>
      </c>
      <c r="I223" s="6">
        <f t="shared" si="5"/>
        <v>3438374.156</v>
      </c>
      <c r="J223" s="6">
        <f t="shared" si="6"/>
        <v>1007325</v>
      </c>
      <c r="K223" s="6">
        <f t="shared" si="7"/>
        <v>3473.53</v>
      </c>
      <c r="L223" s="6">
        <f t="shared" si="8"/>
        <v>0.26</v>
      </c>
    </row>
    <row r="224">
      <c r="A224" s="4" t="s">
        <v>629</v>
      </c>
      <c r="B224" s="4" t="s">
        <v>630</v>
      </c>
      <c r="C224" s="4" t="s">
        <v>631</v>
      </c>
      <c r="D224" s="5">
        <v>16471.0</v>
      </c>
      <c r="E224" s="6" t="str">
        <f t="shared" si="1"/>
        <v>D</v>
      </c>
      <c r="F224" s="6" t="str">
        <f t="shared" si="2"/>
        <v>Transformative change</v>
      </c>
      <c r="G224" s="6" t="str">
        <f t="shared" si="3"/>
        <v>High</v>
      </c>
      <c r="H224" s="6">
        <f t="shared" si="4"/>
        <v>2817245</v>
      </c>
      <c r="I224" s="6">
        <f t="shared" si="5"/>
        <v>2477494.566</v>
      </c>
      <c r="J224" s="6">
        <f t="shared" si="6"/>
        <v>247065</v>
      </c>
      <c r="K224" s="6">
        <f t="shared" si="7"/>
        <v>954</v>
      </c>
      <c r="L224" s="6">
        <f t="shared" si="8"/>
        <v>0.27</v>
      </c>
    </row>
    <row r="225">
      <c r="A225" s="4" t="s">
        <v>632</v>
      </c>
      <c r="B225" s="4" t="s">
        <v>633</v>
      </c>
      <c r="C225" s="4" t="s">
        <v>634</v>
      </c>
      <c r="D225" s="5">
        <v>11656.0</v>
      </c>
      <c r="E225" s="6" t="str">
        <f t="shared" si="1"/>
        <v>G</v>
      </c>
      <c r="F225" s="6" t="str">
        <f t="shared" si="2"/>
        <v>Transformative change</v>
      </c>
      <c r="G225" s="6" t="str">
        <f t="shared" si="3"/>
        <v>Low</v>
      </c>
      <c r="H225" s="6">
        <f t="shared" si="4"/>
        <v>3744612</v>
      </c>
      <c r="I225" s="6">
        <f t="shared" si="5"/>
        <v>3185640.358</v>
      </c>
      <c r="J225" s="6">
        <f t="shared" si="6"/>
        <v>93248</v>
      </c>
      <c r="K225" s="6">
        <f t="shared" si="7"/>
        <v>804</v>
      </c>
      <c r="L225" s="6">
        <f t="shared" si="8"/>
        <v>0.21</v>
      </c>
    </row>
    <row r="226">
      <c r="A226" s="4" t="s">
        <v>635</v>
      </c>
      <c r="B226" s="4" t="s">
        <v>636</v>
      </c>
      <c r="C226" s="4" t="s">
        <v>637</v>
      </c>
      <c r="D226" s="5">
        <v>5537.0</v>
      </c>
      <c r="E226" s="6" t="str">
        <f t="shared" si="1"/>
        <v>E</v>
      </c>
      <c r="F226" s="6" t="str">
        <f t="shared" si="2"/>
        <v>Transformative change</v>
      </c>
      <c r="G226" s="6" t="str">
        <f t="shared" si="3"/>
        <v>High</v>
      </c>
      <c r="H226" s="6">
        <f t="shared" si="4"/>
        <v>1495371</v>
      </c>
      <c r="I226" s="6">
        <f t="shared" si="5"/>
        <v>290665.721</v>
      </c>
      <c r="J226" s="6">
        <f t="shared" si="6"/>
        <v>27685</v>
      </c>
      <c r="K226" s="6">
        <f t="shared" si="7"/>
        <v>828</v>
      </c>
      <c r="L226" s="6">
        <f t="shared" si="8"/>
        <v>0.21</v>
      </c>
    </row>
    <row r="227">
      <c r="A227" s="4" t="s">
        <v>638</v>
      </c>
      <c r="B227" s="4" t="s">
        <v>639</v>
      </c>
      <c r="C227" s="4" t="s">
        <v>640</v>
      </c>
      <c r="D227" s="5">
        <v>396662.0</v>
      </c>
      <c r="E227" s="6" t="str">
        <f t="shared" si="1"/>
        <v>F</v>
      </c>
      <c r="F227" s="6" t="str">
        <f t="shared" si="2"/>
        <v>Transformative change</v>
      </c>
      <c r="G227" s="6" t="str">
        <f t="shared" si="3"/>
        <v>High</v>
      </c>
      <c r="H227" s="6">
        <f t="shared" si="4"/>
        <v>56118</v>
      </c>
      <c r="I227" s="6">
        <f t="shared" si="5"/>
        <v>9333.688045</v>
      </c>
      <c r="J227" s="6">
        <f t="shared" si="6"/>
        <v>5156606</v>
      </c>
      <c r="K227" s="6">
        <f t="shared" si="7"/>
        <v>22226.75</v>
      </c>
      <c r="L227" s="6">
        <f t="shared" si="8"/>
        <v>0.06</v>
      </c>
    </row>
    <row r="228">
      <c r="A228" s="4" t="s">
        <v>641</v>
      </c>
      <c r="B228" s="4" t="s">
        <v>642</v>
      </c>
      <c r="C228" s="4" t="s">
        <v>576</v>
      </c>
      <c r="D228" s="5">
        <v>5524.0</v>
      </c>
      <c r="E228" s="6" t="str">
        <f t="shared" si="1"/>
        <v>D</v>
      </c>
      <c r="F228" s="6" t="str">
        <f t="shared" si="2"/>
        <v>Transformative change</v>
      </c>
      <c r="G228" s="6" t="str">
        <f t="shared" si="3"/>
        <v>Low</v>
      </c>
      <c r="H228" s="6">
        <f t="shared" si="4"/>
        <v>3443493</v>
      </c>
      <c r="I228" s="6">
        <f t="shared" si="5"/>
        <v>2870674.393</v>
      </c>
      <c r="J228" s="6">
        <f t="shared" si="6"/>
        <v>60764</v>
      </c>
      <c r="K228" s="6">
        <f t="shared" si="7"/>
        <v>914</v>
      </c>
      <c r="L228" s="6">
        <f t="shared" si="8"/>
        <v>0.28</v>
      </c>
    </row>
    <row r="229">
      <c r="A229" s="4" t="s">
        <v>643</v>
      </c>
      <c r="B229" s="4" t="s">
        <v>644</v>
      </c>
      <c r="C229" s="4" t="s">
        <v>645</v>
      </c>
      <c r="D229" s="5">
        <v>8152.0</v>
      </c>
      <c r="E229" s="6" t="str">
        <f t="shared" si="1"/>
        <v>D</v>
      </c>
      <c r="F229" s="6" t="str">
        <f t="shared" si="2"/>
        <v>Transformative change</v>
      </c>
      <c r="G229" s="6" t="str">
        <f t="shared" si="3"/>
        <v>Low</v>
      </c>
      <c r="H229" s="6">
        <f t="shared" si="4"/>
        <v>1529212</v>
      </c>
      <c r="I229" s="6">
        <f t="shared" si="5"/>
        <v>936656.9766</v>
      </c>
      <c r="J229" s="6">
        <f t="shared" si="6"/>
        <v>81520</v>
      </c>
      <c r="K229" s="6">
        <f t="shared" si="7"/>
        <v>809</v>
      </c>
      <c r="L229" s="6">
        <f t="shared" si="8"/>
        <v>0.04</v>
      </c>
    </row>
    <row r="230">
      <c r="A230" s="4" t="s">
        <v>646</v>
      </c>
      <c r="B230" s="4" t="s">
        <v>647</v>
      </c>
      <c r="C230" s="4" t="s">
        <v>74</v>
      </c>
      <c r="D230" s="5">
        <v>14394.0</v>
      </c>
      <c r="E230" s="6" t="str">
        <f t="shared" si="1"/>
        <v>D</v>
      </c>
      <c r="F230" s="6" t="str">
        <f t="shared" si="2"/>
        <v>Transformative change</v>
      </c>
      <c r="G230" s="6" t="str">
        <f t="shared" si="3"/>
        <v>Low</v>
      </c>
      <c r="H230" s="6">
        <f t="shared" si="4"/>
        <v>1157859</v>
      </c>
      <c r="I230" s="6">
        <f t="shared" si="5"/>
        <v>1049238.832</v>
      </c>
      <c r="J230" s="6">
        <f t="shared" si="6"/>
        <v>158334</v>
      </c>
      <c r="K230" s="6">
        <f t="shared" si="7"/>
        <v>986</v>
      </c>
      <c r="L230" s="6">
        <f t="shared" si="8"/>
        <v>0.23</v>
      </c>
    </row>
    <row r="231">
      <c r="A231" s="4" t="s">
        <v>648</v>
      </c>
      <c r="B231" s="4" t="s">
        <v>649</v>
      </c>
      <c r="C231" s="4" t="s">
        <v>650</v>
      </c>
      <c r="D231" s="5">
        <v>15903.0</v>
      </c>
      <c r="E231" s="6" t="str">
        <f t="shared" si="1"/>
        <v>F</v>
      </c>
      <c r="F231" s="6" t="str">
        <f t="shared" si="2"/>
        <v>Transformative change</v>
      </c>
      <c r="G231" s="6" t="str">
        <f t="shared" si="3"/>
        <v>Low</v>
      </c>
      <c r="H231" s="6">
        <f t="shared" si="4"/>
        <v>3696620</v>
      </c>
      <c r="I231" s="6">
        <f t="shared" si="5"/>
        <v>1976912.843</v>
      </c>
      <c r="J231" s="6">
        <f t="shared" si="6"/>
        <v>79515</v>
      </c>
      <c r="K231" s="6">
        <f t="shared" si="7"/>
        <v>860</v>
      </c>
      <c r="L231" s="6">
        <f t="shared" si="8"/>
        <v>0.15</v>
      </c>
    </row>
    <row r="232">
      <c r="A232" s="4" t="s">
        <v>651</v>
      </c>
      <c r="B232" s="4" t="s">
        <v>652</v>
      </c>
      <c r="C232" s="4" t="s">
        <v>653</v>
      </c>
      <c r="D232" s="5">
        <v>319013.0</v>
      </c>
      <c r="E232" s="6" t="str">
        <f t="shared" si="1"/>
        <v>C</v>
      </c>
      <c r="F232" s="6" t="str">
        <f t="shared" si="2"/>
        <v>Transformative change</v>
      </c>
      <c r="G232" s="6" t="str">
        <f t="shared" si="3"/>
        <v>High</v>
      </c>
      <c r="H232" s="6">
        <f t="shared" si="4"/>
        <v>1426203</v>
      </c>
      <c r="I232" s="6">
        <f t="shared" si="5"/>
        <v>1280511.522</v>
      </c>
      <c r="J232" s="6">
        <f t="shared" si="6"/>
        <v>3509143</v>
      </c>
      <c r="K232" s="6">
        <f t="shared" si="7"/>
        <v>14996.34</v>
      </c>
      <c r="L232" s="6">
        <f t="shared" si="8"/>
        <v>0.01</v>
      </c>
    </row>
    <row r="233">
      <c r="A233" s="4" t="s">
        <v>654</v>
      </c>
      <c r="B233" s="4" t="s">
        <v>655</v>
      </c>
      <c r="C233" s="4" t="s">
        <v>656</v>
      </c>
      <c r="D233" s="5">
        <v>50560.0</v>
      </c>
      <c r="E233" s="6" t="str">
        <f t="shared" si="1"/>
        <v>G</v>
      </c>
      <c r="F233" s="6" t="str">
        <f t="shared" si="2"/>
        <v>Transformative change</v>
      </c>
      <c r="G233" s="6" t="str">
        <f t="shared" si="3"/>
        <v>Medium</v>
      </c>
      <c r="H233" s="6">
        <f t="shared" si="4"/>
        <v>2812164</v>
      </c>
      <c r="I233" s="6">
        <f t="shared" si="5"/>
        <v>172493.8831</v>
      </c>
      <c r="J233" s="6">
        <f t="shared" si="6"/>
        <v>303360</v>
      </c>
      <c r="K233" s="6">
        <f t="shared" si="7"/>
        <v>4155.62</v>
      </c>
      <c r="L233" s="6">
        <f t="shared" si="8"/>
        <v>0.17</v>
      </c>
    </row>
    <row r="234">
      <c r="A234" s="4" t="s">
        <v>657</v>
      </c>
      <c r="B234" s="4" t="s">
        <v>658</v>
      </c>
      <c r="C234" s="4" t="s">
        <v>659</v>
      </c>
      <c r="D234" s="5">
        <v>9979.0</v>
      </c>
      <c r="E234" s="6" t="str">
        <f t="shared" si="1"/>
        <v>C</v>
      </c>
      <c r="F234" s="6" t="str">
        <f t="shared" si="2"/>
        <v>Transformative change</v>
      </c>
      <c r="G234" s="6" t="str">
        <f t="shared" si="3"/>
        <v>High</v>
      </c>
      <c r="H234" s="6">
        <f t="shared" si="4"/>
        <v>2645833</v>
      </c>
      <c r="I234" s="6">
        <f t="shared" si="5"/>
        <v>556882.4655</v>
      </c>
      <c r="J234" s="6">
        <f t="shared" si="6"/>
        <v>69853</v>
      </c>
      <c r="K234" s="6">
        <f t="shared" si="7"/>
        <v>800</v>
      </c>
      <c r="L234" s="6">
        <f t="shared" si="8"/>
        <v>0.11</v>
      </c>
    </row>
    <row r="235">
      <c r="A235" s="4" t="s">
        <v>660</v>
      </c>
      <c r="B235" s="4" t="s">
        <v>661</v>
      </c>
      <c r="C235" s="4" t="s">
        <v>662</v>
      </c>
      <c r="D235" s="5">
        <v>5061.0</v>
      </c>
      <c r="E235" s="6" t="str">
        <f t="shared" si="1"/>
        <v>B</v>
      </c>
      <c r="F235" s="6" t="str">
        <f t="shared" si="2"/>
        <v>Transformative change</v>
      </c>
      <c r="G235" s="6" t="str">
        <f t="shared" si="3"/>
        <v>Low</v>
      </c>
      <c r="H235" s="6">
        <f t="shared" si="4"/>
        <v>154093</v>
      </c>
      <c r="I235" s="6">
        <f t="shared" si="5"/>
        <v>24605.58342</v>
      </c>
      <c r="J235" s="6">
        <f t="shared" si="6"/>
        <v>25305</v>
      </c>
      <c r="K235" s="6">
        <f t="shared" si="7"/>
        <v>840</v>
      </c>
      <c r="L235" s="6">
        <f t="shared" si="8"/>
        <v>0.29</v>
      </c>
    </row>
    <row r="236">
      <c r="A236" s="4" t="s">
        <v>663</v>
      </c>
      <c r="B236" s="4" t="s">
        <v>664</v>
      </c>
      <c r="C236" s="4" t="s">
        <v>74</v>
      </c>
      <c r="D236" s="5">
        <v>10676.0</v>
      </c>
      <c r="E236" s="6" t="str">
        <f t="shared" si="1"/>
        <v>D</v>
      </c>
      <c r="F236" s="6" t="str">
        <f t="shared" si="2"/>
        <v>High ambition</v>
      </c>
      <c r="G236" s="6" t="str">
        <f t="shared" si="3"/>
        <v>Low</v>
      </c>
      <c r="H236" s="6">
        <f t="shared" si="4"/>
        <v>2847203</v>
      </c>
      <c r="I236" s="6">
        <f t="shared" si="5"/>
        <v>2451911.998</v>
      </c>
      <c r="J236" s="6">
        <f t="shared" si="6"/>
        <v>128112</v>
      </c>
      <c r="K236" s="6">
        <f t="shared" si="7"/>
        <v>865</v>
      </c>
      <c r="L236" s="6">
        <f t="shared" si="8"/>
        <v>0.03</v>
      </c>
    </row>
    <row r="237">
      <c r="A237" s="4" t="s">
        <v>665</v>
      </c>
      <c r="B237" s="4" t="s">
        <v>666</v>
      </c>
      <c r="C237" s="4" t="s">
        <v>667</v>
      </c>
      <c r="D237" s="5">
        <v>7791.0</v>
      </c>
      <c r="E237" s="6" t="str">
        <f t="shared" si="1"/>
        <v>C</v>
      </c>
      <c r="F237" s="6" t="str">
        <f t="shared" si="2"/>
        <v>Transformative change</v>
      </c>
      <c r="G237" s="6" t="str">
        <f t="shared" si="3"/>
        <v>High</v>
      </c>
      <c r="H237" s="6">
        <f t="shared" si="4"/>
        <v>2383893</v>
      </c>
      <c r="I237" s="6">
        <f t="shared" si="5"/>
        <v>246758.2688</v>
      </c>
      <c r="J237" s="6">
        <f t="shared" si="6"/>
        <v>54537</v>
      </c>
      <c r="K237" s="6">
        <f t="shared" si="7"/>
        <v>1044</v>
      </c>
      <c r="L237" s="6">
        <f t="shared" si="8"/>
        <v>0.22</v>
      </c>
    </row>
    <row r="238">
      <c r="A238" s="4" t="s">
        <v>668</v>
      </c>
      <c r="B238" s="4" t="s">
        <v>669</v>
      </c>
      <c r="C238" s="4" t="s">
        <v>670</v>
      </c>
      <c r="D238" s="5">
        <v>18951.0</v>
      </c>
      <c r="E238" s="6" t="str">
        <f t="shared" si="1"/>
        <v>G</v>
      </c>
      <c r="F238" s="6" t="str">
        <f t="shared" si="2"/>
        <v>Transformative change</v>
      </c>
      <c r="G238" s="6" t="str">
        <f t="shared" si="3"/>
        <v>High</v>
      </c>
      <c r="H238" s="6">
        <f t="shared" si="4"/>
        <v>802954</v>
      </c>
      <c r="I238" s="6">
        <f t="shared" si="5"/>
        <v>675808.077</v>
      </c>
      <c r="J238" s="6">
        <f t="shared" si="6"/>
        <v>265314</v>
      </c>
      <c r="K238" s="6">
        <f t="shared" si="7"/>
        <v>890.32</v>
      </c>
      <c r="L238" s="6">
        <f t="shared" si="8"/>
        <v>0.16</v>
      </c>
    </row>
    <row r="239">
      <c r="A239" s="4" t="s">
        <v>671</v>
      </c>
      <c r="B239" s="4" t="s">
        <v>672</v>
      </c>
      <c r="C239" s="4" t="s">
        <v>673</v>
      </c>
      <c r="D239" s="5">
        <v>11694.0</v>
      </c>
      <c r="E239" s="6" t="str">
        <f t="shared" si="1"/>
        <v>E</v>
      </c>
      <c r="F239" s="6" t="str">
        <f t="shared" si="2"/>
        <v>Transformative change</v>
      </c>
      <c r="G239" s="6" t="str">
        <f t="shared" si="3"/>
        <v>High</v>
      </c>
      <c r="H239" s="6">
        <f t="shared" si="4"/>
        <v>140546</v>
      </c>
      <c r="I239" s="6">
        <f t="shared" si="5"/>
        <v>119419.6608</v>
      </c>
      <c r="J239" s="6">
        <f t="shared" si="6"/>
        <v>116940</v>
      </c>
      <c r="K239" s="6">
        <f t="shared" si="7"/>
        <v>396.41</v>
      </c>
      <c r="L239" s="6">
        <f t="shared" si="8"/>
        <v>0.08</v>
      </c>
    </row>
    <row r="240">
      <c r="A240" s="4" t="s">
        <v>151</v>
      </c>
      <c r="B240" s="4" t="s">
        <v>674</v>
      </c>
      <c r="C240" s="4" t="s">
        <v>675</v>
      </c>
      <c r="D240" s="5">
        <v>12505.0</v>
      </c>
      <c r="E240" s="6" t="str">
        <f t="shared" si="1"/>
        <v>F</v>
      </c>
      <c r="F240" s="6" t="str">
        <f t="shared" si="2"/>
        <v>Transformative change</v>
      </c>
      <c r="G240" s="6" t="str">
        <f t="shared" si="3"/>
        <v>Low</v>
      </c>
      <c r="H240" s="6">
        <f t="shared" si="4"/>
        <v>122416</v>
      </c>
      <c r="I240" s="6">
        <f t="shared" si="5"/>
        <v>78086.78276</v>
      </c>
      <c r="J240" s="6">
        <f t="shared" si="6"/>
        <v>62525</v>
      </c>
      <c r="K240" s="6">
        <f t="shared" si="7"/>
        <v>800</v>
      </c>
      <c r="L240" s="6">
        <f t="shared" si="8"/>
        <v>0.06</v>
      </c>
    </row>
    <row r="241">
      <c r="A241" s="4" t="s">
        <v>676</v>
      </c>
      <c r="B241" s="4" t="s">
        <v>677</v>
      </c>
      <c r="C241" s="4" t="s">
        <v>678</v>
      </c>
      <c r="D241" s="5">
        <v>25098.0</v>
      </c>
      <c r="E241" s="6" t="str">
        <f t="shared" si="1"/>
        <v>E</v>
      </c>
      <c r="F241" s="6" t="str">
        <f t="shared" si="2"/>
        <v>High ambition</v>
      </c>
      <c r="G241" s="6" t="str">
        <f t="shared" si="3"/>
        <v>Medium</v>
      </c>
      <c r="H241" s="6">
        <f t="shared" si="4"/>
        <v>2090283</v>
      </c>
      <c r="I241" s="6">
        <f t="shared" si="5"/>
        <v>1725216.073</v>
      </c>
      <c r="J241" s="6">
        <f t="shared" si="6"/>
        <v>225882</v>
      </c>
      <c r="K241" s="6">
        <f t="shared" si="7"/>
        <v>2538</v>
      </c>
      <c r="L241" s="6">
        <f t="shared" si="8"/>
        <v>0.01</v>
      </c>
    </row>
    <row r="242">
      <c r="A242" s="4" t="s">
        <v>679</v>
      </c>
      <c r="B242" s="4" t="s">
        <v>680</v>
      </c>
      <c r="C242" s="4" t="s">
        <v>681</v>
      </c>
      <c r="D242" s="5">
        <v>16234.0</v>
      </c>
      <c r="E242" s="6" t="str">
        <f t="shared" si="1"/>
        <v>E</v>
      </c>
      <c r="F242" s="6" t="str">
        <f t="shared" si="2"/>
        <v>Transformative change</v>
      </c>
      <c r="G242" s="6" t="str">
        <f t="shared" si="3"/>
        <v>High</v>
      </c>
      <c r="H242" s="6">
        <f t="shared" si="4"/>
        <v>2471580</v>
      </c>
      <c r="I242" s="6">
        <f t="shared" si="5"/>
        <v>1012653.835</v>
      </c>
      <c r="J242" s="6">
        <f t="shared" si="6"/>
        <v>178574</v>
      </c>
      <c r="K242" s="6">
        <f t="shared" si="7"/>
        <v>846.32</v>
      </c>
      <c r="L242" s="6">
        <f t="shared" si="8"/>
        <v>0.03</v>
      </c>
    </row>
    <row r="243">
      <c r="A243" s="4" t="s">
        <v>682</v>
      </c>
      <c r="B243" s="4" t="s">
        <v>683</v>
      </c>
      <c r="C243" s="4" t="s">
        <v>684</v>
      </c>
      <c r="D243" s="5">
        <v>13532.0</v>
      </c>
      <c r="E243" s="6" t="str">
        <f t="shared" si="1"/>
        <v>D</v>
      </c>
      <c r="F243" s="6" t="str">
        <f t="shared" si="2"/>
        <v>Transformative change</v>
      </c>
      <c r="G243" s="6" t="str">
        <f t="shared" si="3"/>
        <v>Medium</v>
      </c>
      <c r="H243" s="6">
        <f t="shared" si="4"/>
        <v>3651784</v>
      </c>
      <c r="I243" s="6">
        <f t="shared" si="5"/>
        <v>2283294.903</v>
      </c>
      <c r="J243" s="6">
        <f t="shared" si="6"/>
        <v>148852</v>
      </c>
      <c r="K243" s="6">
        <f t="shared" si="7"/>
        <v>1005</v>
      </c>
      <c r="L243" s="6">
        <f t="shared" si="8"/>
        <v>0.27</v>
      </c>
    </row>
    <row r="244">
      <c r="A244" s="4" t="s">
        <v>685</v>
      </c>
      <c r="B244" s="4" t="s">
        <v>686</v>
      </c>
      <c r="C244" s="4" t="s">
        <v>687</v>
      </c>
      <c r="D244" s="5">
        <v>15731.0</v>
      </c>
      <c r="E244" s="6" t="str">
        <f t="shared" si="1"/>
        <v>C</v>
      </c>
      <c r="F244" s="6" t="str">
        <f t="shared" si="2"/>
        <v>Transformative change</v>
      </c>
      <c r="G244" s="6" t="str">
        <f t="shared" si="3"/>
        <v>Medium</v>
      </c>
      <c r="H244" s="6">
        <f t="shared" si="4"/>
        <v>3778547</v>
      </c>
      <c r="I244" s="6">
        <f t="shared" si="5"/>
        <v>1250085.865</v>
      </c>
      <c r="J244" s="6">
        <f t="shared" si="6"/>
        <v>141579</v>
      </c>
      <c r="K244" s="6">
        <f t="shared" si="7"/>
        <v>979</v>
      </c>
      <c r="L244" s="6">
        <f t="shared" si="8"/>
        <v>0.08</v>
      </c>
    </row>
    <row r="245">
      <c r="A245" s="4" t="s">
        <v>688</v>
      </c>
      <c r="B245" s="4" t="s">
        <v>689</v>
      </c>
      <c r="C245" s="4" t="s">
        <v>690</v>
      </c>
      <c r="D245" s="5">
        <v>15013.0</v>
      </c>
      <c r="E245" s="6" t="str">
        <f t="shared" si="1"/>
        <v>F</v>
      </c>
      <c r="F245" s="6" t="str">
        <f t="shared" si="2"/>
        <v>Transformative change</v>
      </c>
      <c r="G245" s="6" t="str">
        <f t="shared" si="3"/>
        <v>High</v>
      </c>
      <c r="H245" s="6">
        <f t="shared" si="4"/>
        <v>3256856</v>
      </c>
      <c r="I245" s="6">
        <f t="shared" si="5"/>
        <v>388171.7618</v>
      </c>
      <c r="J245" s="6">
        <f t="shared" si="6"/>
        <v>90078</v>
      </c>
      <c r="K245" s="6">
        <f t="shared" si="7"/>
        <v>955</v>
      </c>
      <c r="L245" s="6">
        <f t="shared" si="8"/>
        <v>0.19</v>
      </c>
    </row>
    <row r="246">
      <c r="A246" s="4" t="s">
        <v>691</v>
      </c>
      <c r="B246" s="4" t="s">
        <v>692</v>
      </c>
      <c r="C246" s="4" t="s">
        <v>74</v>
      </c>
      <c r="D246" s="5">
        <v>5535.0</v>
      </c>
      <c r="E246" s="6" t="str">
        <f t="shared" si="1"/>
        <v>F</v>
      </c>
      <c r="F246" s="6" t="str">
        <f t="shared" si="2"/>
        <v>High ambition</v>
      </c>
      <c r="G246" s="6" t="str">
        <f t="shared" si="3"/>
        <v>Medium</v>
      </c>
      <c r="H246" s="6">
        <f t="shared" si="4"/>
        <v>3324433</v>
      </c>
      <c r="I246" s="6">
        <f t="shared" si="5"/>
        <v>1957212.506</v>
      </c>
      <c r="J246" s="6">
        <f t="shared" si="6"/>
        <v>49815</v>
      </c>
      <c r="K246" s="6">
        <f t="shared" si="7"/>
        <v>135</v>
      </c>
      <c r="L246" s="6">
        <f t="shared" si="8"/>
        <v>0.05</v>
      </c>
    </row>
    <row r="247">
      <c r="A247" s="4" t="s">
        <v>693</v>
      </c>
      <c r="B247" s="4" t="s">
        <v>694</v>
      </c>
      <c r="C247" s="4" t="s">
        <v>74</v>
      </c>
      <c r="D247" s="5">
        <v>9769.0</v>
      </c>
      <c r="E247" s="6" t="str">
        <f t="shared" si="1"/>
        <v>B</v>
      </c>
      <c r="F247" s="6" t="str">
        <f t="shared" si="2"/>
        <v>Transformative change</v>
      </c>
      <c r="G247" s="6" t="str">
        <f t="shared" si="3"/>
        <v>Medium</v>
      </c>
      <c r="H247" s="6">
        <f t="shared" si="4"/>
        <v>806586</v>
      </c>
      <c r="I247" s="6">
        <f t="shared" si="5"/>
        <v>378763.5914</v>
      </c>
      <c r="J247" s="6">
        <f t="shared" si="6"/>
        <v>146535</v>
      </c>
      <c r="K247" s="6">
        <f t="shared" si="7"/>
        <v>1062</v>
      </c>
      <c r="L247" s="6">
        <f t="shared" si="8"/>
        <v>0.15</v>
      </c>
    </row>
    <row r="248">
      <c r="A248" s="4" t="s">
        <v>695</v>
      </c>
      <c r="B248" s="4" t="s">
        <v>696</v>
      </c>
      <c r="C248" s="4" t="s">
        <v>697</v>
      </c>
      <c r="D248" s="5">
        <v>13041.0</v>
      </c>
      <c r="E248" s="6" t="str">
        <f t="shared" si="1"/>
        <v>D</v>
      </c>
      <c r="F248" s="6" t="str">
        <f t="shared" si="2"/>
        <v>Transformative change</v>
      </c>
      <c r="G248" s="6" t="str">
        <f t="shared" si="3"/>
        <v>Medium</v>
      </c>
      <c r="H248" s="6">
        <f t="shared" si="4"/>
        <v>3939757</v>
      </c>
      <c r="I248" s="6">
        <f t="shared" si="5"/>
        <v>2146892.533</v>
      </c>
      <c r="J248" s="6">
        <f t="shared" si="6"/>
        <v>117369</v>
      </c>
      <c r="K248" s="6">
        <f t="shared" si="7"/>
        <v>954</v>
      </c>
      <c r="L248" s="6">
        <f t="shared" si="8"/>
        <v>0.14</v>
      </c>
    </row>
    <row r="249">
      <c r="A249" s="4" t="s">
        <v>698</v>
      </c>
      <c r="B249" s="4" t="s">
        <v>699</v>
      </c>
      <c r="C249" s="4" t="s">
        <v>74</v>
      </c>
      <c r="D249" s="5">
        <v>9418.0</v>
      </c>
      <c r="E249" s="6" t="str">
        <f t="shared" si="1"/>
        <v>B</v>
      </c>
      <c r="F249" s="6" t="str">
        <f t="shared" si="2"/>
        <v>Transformative change</v>
      </c>
      <c r="G249" s="6" t="str">
        <f t="shared" si="3"/>
        <v>Medium</v>
      </c>
      <c r="H249" s="6">
        <f t="shared" si="4"/>
        <v>102948</v>
      </c>
      <c r="I249" s="6">
        <f t="shared" si="5"/>
        <v>57581.44031</v>
      </c>
      <c r="J249" s="6">
        <f t="shared" si="6"/>
        <v>131852</v>
      </c>
      <c r="K249" s="6">
        <f t="shared" si="7"/>
        <v>866</v>
      </c>
      <c r="L249" s="6">
        <f t="shared" si="8"/>
        <v>0.01</v>
      </c>
    </row>
    <row r="250">
      <c r="A250" s="4" t="s">
        <v>700</v>
      </c>
      <c r="B250" s="4" t="s">
        <v>701</v>
      </c>
      <c r="C250" s="4" t="s">
        <v>702</v>
      </c>
      <c r="D250" s="5">
        <v>11128.0</v>
      </c>
      <c r="E250" s="6" t="str">
        <f t="shared" si="1"/>
        <v>E</v>
      </c>
      <c r="F250" s="6" t="str">
        <f t="shared" si="2"/>
        <v>High ambition</v>
      </c>
      <c r="G250" s="6" t="str">
        <f t="shared" si="3"/>
        <v>High</v>
      </c>
      <c r="H250" s="6">
        <f t="shared" si="4"/>
        <v>1326284</v>
      </c>
      <c r="I250" s="6">
        <f t="shared" si="5"/>
        <v>736483.1783</v>
      </c>
      <c r="J250" s="6">
        <f t="shared" si="6"/>
        <v>133536</v>
      </c>
      <c r="K250" s="6">
        <f t="shared" si="7"/>
        <v>929</v>
      </c>
      <c r="L250" s="6">
        <f t="shared" si="8"/>
        <v>0.28</v>
      </c>
    </row>
    <row r="251">
      <c r="A251" s="4" t="s">
        <v>703</v>
      </c>
      <c r="B251" s="4" t="s">
        <v>704</v>
      </c>
      <c r="C251" s="4" t="s">
        <v>74</v>
      </c>
      <c r="D251" s="5">
        <v>12667.0</v>
      </c>
      <c r="E251" s="6" t="str">
        <f t="shared" si="1"/>
        <v>G</v>
      </c>
      <c r="F251" s="6" t="str">
        <f t="shared" si="2"/>
        <v>Transformative change</v>
      </c>
      <c r="G251" s="6" t="str">
        <f t="shared" si="3"/>
        <v>High</v>
      </c>
      <c r="H251" s="6">
        <f t="shared" si="4"/>
        <v>1395892</v>
      </c>
      <c r="I251" s="6">
        <f t="shared" si="5"/>
        <v>460086.2217</v>
      </c>
      <c r="J251" s="6">
        <f t="shared" si="6"/>
        <v>177338</v>
      </c>
      <c r="K251" s="6">
        <f t="shared" si="7"/>
        <v>869</v>
      </c>
      <c r="L251" s="6">
        <f t="shared" si="8"/>
        <v>0.11</v>
      </c>
    </row>
    <row r="252">
      <c r="A252" s="4" t="s">
        <v>705</v>
      </c>
      <c r="B252" s="4" t="s">
        <v>706</v>
      </c>
      <c r="C252" s="4" t="s">
        <v>74</v>
      </c>
      <c r="D252" s="5">
        <v>145699.0</v>
      </c>
      <c r="E252" s="6" t="str">
        <f t="shared" si="1"/>
        <v>F</v>
      </c>
      <c r="F252" s="6" t="str">
        <f t="shared" si="2"/>
        <v>Transformative change</v>
      </c>
      <c r="G252" s="6" t="str">
        <f t="shared" si="3"/>
        <v>Low</v>
      </c>
      <c r="H252" s="6">
        <f t="shared" si="4"/>
        <v>124348</v>
      </c>
      <c r="I252" s="6">
        <f t="shared" si="5"/>
        <v>118202.2842</v>
      </c>
      <c r="J252" s="6">
        <f t="shared" si="6"/>
        <v>874194</v>
      </c>
      <c r="K252" s="6">
        <f t="shared" si="7"/>
        <v>10284.64</v>
      </c>
      <c r="L252" s="6">
        <f t="shared" si="8"/>
        <v>0.2</v>
      </c>
    </row>
    <row r="253">
      <c r="A253" s="4" t="s">
        <v>707</v>
      </c>
      <c r="B253" s="4" t="s">
        <v>708</v>
      </c>
      <c r="C253" s="4" t="s">
        <v>709</v>
      </c>
      <c r="D253" s="5">
        <v>12684.0</v>
      </c>
      <c r="E253" s="6" t="str">
        <f t="shared" si="1"/>
        <v>E</v>
      </c>
      <c r="F253" s="6" t="str">
        <f t="shared" si="2"/>
        <v>High ambition</v>
      </c>
      <c r="G253" s="6" t="str">
        <f t="shared" si="3"/>
        <v>Low</v>
      </c>
      <c r="H253" s="6">
        <f t="shared" si="4"/>
        <v>1865893</v>
      </c>
      <c r="I253" s="6">
        <f t="shared" si="5"/>
        <v>985254.4591</v>
      </c>
      <c r="J253" s="6">
        <f t="shared" si="6"/>
        <v>139524</v>
      </c>
      <c r="K253" s="6">
        <f t="shared" si="7"/>
        <v>1060</v>
      </c>
      <c r="L253" s="6">
        <f t="shared" si="8"/>
        <v>0.15</v>
      </c>
    </row>
    <row r="254">
      <c r="A254" s="4" t="s">
        <v>710</v>
      </c>
      <c r="B254" s="4" t="s">
        <v>711</v>
      </c>
      <c r="C254" s="4" t="s">
        <v>712</v>
      </c>
      <c r="D254" s="5">
        <v>11734.0</v>
      </c>
      <c r="E254" s="6" t="str">
        <f t="shared" si="1"/>
        <v>A</v>
      </c>
      <c r="F254" s="6" t="str">
        <f t="shared" si="2"/>
        <v>Transformative change</v>
      </c>
      <c r="G254" s="6" t="str">
        <f t="shared" si="3"/>
        <v>High</v>
      </c>
      <c r="H254" s="6">
        <f t="shared" si="4"/>
        <v>3265636</v>
      </c>
      <c r="I254" s="6">
        <f t="shared" si="5"/>
        <v>2210889.442</v>
      </c>
      <c r="J254" s="6">
        <f t="shared" si="6"/>
        <v>129074</v>
      </c>
      <c r="K254" s="6">
        <f t="shared" si="7"/>
        <v>947</v>
      </c>
      <c r="L254" s="6">
        <f t="shared" si="8"/>
        <v>0.22</v>
      </c>
    </row>
    <row r="255">
      <c r="A255" s="4" t="s">
        <v>713</v>
      </c>
      <c r="B255" s="4" t="s">
        <v>714</v>
      </c>
      <c r="C255" s="4" t="s">
        <v>715</v>
      </c>
      <c r="D255" s="5">
        <v>18553.0</v>
      </c>
      <c r="E255" s="6" t="str">
        <f t="shared" si="1"/>
        <v>E</v>
      </c>
      <c r="F255" s="6" t="str">
        <f t="shared" si="2"/>
        <v>High ambition</v>
      </c>
      <c r="G255" s="6" t="str">
        <f t="shared" si="3"/>
        <v>Low</v>
      </c>
      <c r="H255" s="6">
        <f t="shared" si="4"/>
        <v>2061975</v>
      </c>
      <c r="I255" s="6">
        <f t="shared" si="5"/>
        <v>756536.0274</v>
      </c>
      <c r="J255" s="6">
        <f t="shared" si="6"/>
        <v>166977</v>
      </c>
      <c r="K255" s="6">
        <f t="shared" si="7"/>
        <v>3552.7</v>
      </c>
      <c r="L255" s="6">
        <f t="shared" si="8"/>
        <v>0.3</v>
      </c>
    </row>
    <row r="256">
      <c r="A256" s="4" t="s">
        <v>716</v>
      </c>
      <c r="B256" s="4" t="s">
        <v>717</v>
      </c>
      <c r="C256" s="4" t="s">
        <v>718</v>
      </c>
      <c r="D256" s="5">
        <v>13627.0</v>
      </c>
      <c r="E256" s="6" t="str">
        <f t="shared" si="1"/>
        <v>D</v>
      </c>
      <c r="F256" s="6" t="str">
        <f t="shared" si="2"/>
        <v>High ambition</v>
      </c>
      <c r="G256" s="6" t="str">
        <f t="shared" si="3"/>
        <v>Medium</v>
      </c>
      <c r="H256" s="6">
        <f t="shared" si="4"/>
        <v>351441</v>
      </c>
      <c r="I256" s="6">
        <f t="shared" si="5"/>
        <v>34158.89939</v>
      </c>
      <c r="J256" s="6">
        <f t="shared" si="6"/>
        <v>149897</v>
      </c>
      <c r="K256" s="6">
        <f t="shared" si="7"/>
        <v>847</v>
      </c>
      <c r="L256" s="6">
        <f t="shared" si="8"/>
        <v>0.14</v>
      </c>
    </row>
    <row r="257">
      <c r="A257" s="4" t="s">
        <v>719</v>
      </c>
      <c r="B257" s="4" t="s">
        <v>720</v>
      </c>
      <c r="C257" s="4" t="s">
        <v>74</v>
      </c>
      <c r="D257" s="5">
        <v>976075.0</v>
      </c>
      <c r="E257" s="6" t="str">
        <f t="shared" si="1"/>
        <v>C</v>
      </c>
      <c r="F257" s="6" t="str">
        <f t="shared" si="2"/>
        <v>High ambition</v>
      </c>
      <c r="G257" s="6" t="str">
        <f t="shared" si="3"/>
        <v>Medium</v>
      </c>
      <c r="H257" s="6">
        <f t="shared" si="4"/>
        <v>475198</v>
      </c>
      <c r="I257" s="6">
        <f t="shared" si="5"/>
        <v>281083.8415</v>
      </c>
      <c r="J257" s="6">
        <f t="shared" si="6"/>
        <v>14641125</v>
      </c>
      <c r="K257" s="6">
        <f t="shared" si="7"/>
        <v>59516.77</v>
      </c>
      <c r="L257" s="6">
        <f t="shared" si="8"/>
        <v>0.13</v>
      </c>
    </row>
    <row r="258">
      <c r="A258" s="4" t="s">
        <v>721</v>
      </c>
      <c r="B258" s="4" t="s">
        <v>722</v>
      </c>
      <c r="C258" s="4" t="s">
        <v>723</v>
      </c>
      <c r="D258" s="5">
        <v>17107.0</v>
      </c>
      <c r="E258" s="6" t="str">
        <f t="shared" si="1"/>
        <v>E</v>
      </c>
      <c r="F258" s="6" t="str">
        <f t="shared" si="2"/>
        <v>High ambition</v>
      </c>
      <c r="G258" s="6" t="str">
        <f t="shared" si="3"/>
        <v>Medium</v>
      </c>
      <c r="H258" s="6">
        <f t="shared" si="4"/>
        <v>596396</v>
      </c>
      <c r="I258" s="6">
        <f t="shared" si="5"/>
        <v>268968.7212</v>
      </c>
      <c r="J258" s="6">
        <f t="shared" si="6"/>
        <v>153963</v>
      </c>
      <c r="K258" s="6">
        <f t="shared" si="7"/>
        <v>1099</v>
      </c>
      <c r="L258" s="6">
        <f t="shared" si="8"/>
        <v>0.29</v>
      </c>
    </row>
    <row r="259">
      <c r="A259" s="4" t="s">
        <v>724</v>
      </c>
      <c r="B259" s="4" t="s">
        <v>725</v>
      </c>
      <c r="C259" s="4" t="s">
        <v>726</v>
      </c>
      <c r="D259" s="5">
        <v>72609.0</v>
      </c>
      <c r="E259" s="6" t="str">
        <f t="shared" si="1"/>
        <v>G</v>
      </c>
      <c r="F259" s="6" t="str">
        <f t="shared" si="2"/>
        <v>Transformative change</v>
      </c>
      <c r="G259" s="6" t="str">
        <f t="shared" si="3"/>
        <v>Low</v>
      </c>
      <c r="H259" s="6">
        <f t="shared" si="4"/>
        <v>1987623</v>
      </c>
      <c r="I259" s="6">
        <f t="shared" si="5"/>
        <v>911852.4298</v>
      </c>
      <c r="J259" s="6">
        <f t="shared" si="6"/>
        <v>580872</v>
      </c>
      <c r="K259" s="6">
        <f t="shared" si="7"/>
        <v>2727.1</v>
      </c>
      <c r="L259" s="6">
        <f t="shared" si="8"/>
        <v>0.07</v>
      </c>
    </row>
    <row r="260">
      <c r="A260" s="4" t="s">
        <v>727</v>
      </c>
      <c r="B260" s="4" t="s">
        <v>728</v>
      </c>
      <c r="C260" s="4" t="s">
        <v>74</v>
      </c>
      <c r="D260" s="5">
        <v>8075.0</v>
      </c>
      <c r="E260" s="6" t="str">
        <f t="shared" si="1"/>
        <v>F</v>
      </c>
      <c r="F260" s="6" t="str">
        <f t="shared" si="2"/>
        <v>Transformative change</v>
      </c>
      <c r="G260" s="6" t="str">
        <f t="shared" si="3"/>
        <v>High</v>
      </c>
      <c r="H260" s="6">
        <f t="shared" si="4"/>
        <v>1437654</v>
      </c>
      <c r="I260" s="6">
        <f t="shared" si="5"/>
        <v>685314.0159</v>
      </c>
      <c r="J260" s="6">
        <f t="shared" si="6"/>
        <v>48450</v>
      </c>
      <c r="K260" s="6">
        <f t="shared" si="7"/>
        <v>1058</v>
      </c>
      <c r="L260" s="6">
        <f t="shared" si="8"/>
        <v>0.06</v>
      </c>
    </row>
    <row r="261">
      <c r="A261" s="4" t="s">
        <v>488</v>
      </c>
      <c r="B261" s="4" t="s">
        <v>729</v>
      </c>
      <c r="C261" s="4" t="s">
        <v>730</v>
      </c>
      <c r="D261" s="5">
        <v>11759.0</v>
      </c>
      <c r="E261" s="6" t="str">
        <f t="shared" si="1"/>
        <v>A</v>
      </c>
      <c r="F261" s="6" t="str">
        <f t="shared" si="2"/>
        <v>High ambition</v>
      </c>
      <c r="G261" s="6" t="str">
        <f t="shared" si="3"/>
        <v>Medium</v>
      </c>
      <c r="H261" s="6">
        <f t="shared" si="4"/>
        <v>2576730</v>
      </c>
      <c r="I261" s="6">
        <f t="shared" si="5"/>
        <v>324304.315</v>
      </c>
      <c r="J261" s="6">
        <f t="shared" si="6"/>
        <v>176385</v>
      </c>
      <c r="K261" s="6">
        <f t="shared" si="7"/>
        <v>595.9</v>
      </c>
      <c r="L261" s="6">
        <f t="shared" si="8"/>
        <v>0.11</v>
      </c>
    </row>
    <row r="262">
      <c r="A262" s="4" t="s">
        <v>731</v>
      </c>
      <c r="B262" s="4" t="s">
        <v>732</v>
      </c>
      <c r="C262" s="4" t="s">
        <v>733</v>
      </c>
      <c r="D262" s="5">
        <v>11928.0</v>
      </c>
      <c r="E262" s="6" t="str">
        <f t="shared" si="1"/>
        <v>A</v>
      </c>
      <c r="F262" s="6" t="str">
        <f t="shared" si="2"/>
        <v>High ambition</v>
      </c>
      <c r="G262" s="6" t="str">
        <f t="shared" si="3"/>
        <v>High</v>
      </c>
      <c r="H262" s="6">
        <f t="shared" si="4"/>
        <v>1709562</v>
      </c>
      <c r="I262" s="6">
        <f t="shared" si="5"/>
        <v>1183504.683</v>
      </c>
      <c r="J262" s="6">
        <f t="shared" si="6"/>
        <v>59640</v>
      </c>
      <c r="K262" s="6">
        <f t="shared" si="7"/>
        <v>1094</v>
      </c>
      <c r="L262" s="6">
        <f t="shared" si="8"/>
        <v>0.29</v>
      </c>
    </row>
    <row r="263">
      <c r="A263" s="4" t="s">
        <v>734</v>
      </c>
      <c r="B263" s="4" t="s">
        <v>735</v>
      </c>
      <c r="C263" s="4" t="s">
        <v>736</v>
      </c>
      <c r="D263" s="5">
        <v>19877.0</v>
      </c>
      <c r="E263" s="6" t="str">
        <f t="shared" si="1"/>
        <v>G</v>
      </c>
      <c r="F263" s="6" t="str">
        <f t="shared" si="2"/>
        <v>Transformative change</v>
      </c>
      <c r="G263" s="6" t="str">
        <f t="shared" si="3"/>
        <v>High</v>
      </c>
      <c r="H263" s="6">
        <f t="shared" si="4"/>
        <v>3735321</v>
      </c>
      <c r="I263" s="6">
        <f t="shared" si="5"/>
        <v>3545301.127</v>
      </c>
      <c r="J263" s="6">
        <f t="shared" si="6"/>
        <v>278278</v>
      </c>
      <c r="K263" s="6">
        <f t="shared" si="7"/>
        <v>882</v>
      </c>
      <c r="L263" s="6">
        <f t="shared" si="8"/>
        <v>0.23</v>
      </c>
    </row>
    <row r="264">
      <c r="A264" s="4" t="s">
        <v>737</v>
      </c>
      <c r="B264" s="4" t="s">
        <v>738</v>
      </c>
      <c r="C264" s="4" t="s">
        <v>739</v>
      </c>
      <c r="D264" s="5">
        <v>14485.0</v>
      </c>
      <c r="E264" s="6" t="str">
        <f t="shared" si="1"/>
        <v>C</v>
      </c>
      <c r="F264" s="6" t="str">
        <f t="shared" si="2"/>
        <v>Transformative change</v>
      </c>
      <c r="G264" s="6" t="str">
        <f t="shared" si="3"/>
        <v>Low</v>
      </c>
      <c r="H264" s="6">
        <f t="shared" si="4"/>
        <v>1963782</v>
      </c>
      <c r="I264" s="6">
        <f t="shared" si="5"/>
        <v>1643502.612</v>
      </c>
      <c r="J264" s="6">
        <f t="shared" si="6"/>
        <v>144850</v>
      </c>
      <c r="K264" s="6">
        <f t="shared" si="7"/>
        <v>1557.53</v>
      </c>
      <c r="L264" s="6">
        <f t="shared" si="8"/>
        <v>0.28</v>
      </c>
    </row>
    <row r="265">
      <c r="A265" s="4" t="s">
        <v>740</v>
      </c>
      <c r="B265" s="4" t="s">
        <v>741</v>
      </c>
      <c r="C265" s="4" t="s">
        <v>742</v>
      </c>
      <c r="D265" s="5">
        <v>27341.0</v>
      </c>
      <c r="E265" s="6" t="str">
        <f t="shared" si="1"/>
        <v>A</v>
      </c>
      <c r="F265" s="6" t="str">
        <f t="shared" si="2"/>
        <v>Transformative change</v>
      </c>
      <c r="G265" s="6" t="str">
        <f t="shared" si="3"/>
        <v>High</v>
      </c>
      <c r="H265" s="6">
        <f t="shared" si="4"/>
        <v>3146885</v>
      </c>
      <c r="I265" s="6">
        <f t="shared" si="5"/>
        <v>607594.3214</v>
      </c>
      <c r="J265" s="6">
        <f t="shared" si="6"/>
        <v>191387</v>
      </c>
      <c r="K265" s="6">
        <f t="shared" si="7"/>
        <v>990</v>
      </c>
      <c r="L265" s="6">
        <f t="shared" si="8"/>
        <v>0.09</v>
      </c>
    </row>
    <row r="266">
      <c r="A266" s="4" t="s">
        <v>743</v>
      </c>
      <c r="B266" s="4" t="s">
        <v>744</v>
      </c>
      <c r="C266" s="4" t="s">
        <v>745</v>
      </c>
      <c r="D266" s="5">
        <v>8393.0</v>
      </c>
      <c r="E266" s="6" t="str">
        <f t="shared" si="1"/>
        <v>D</v>
      </c>
      <c r="F266" s="6" t="str">
        <f t="shared" si="2"/>
        <v>Transformative change</v>
      </c>
      <c r="G266" s="6" t="str">
        <f t="shared" si="3"/>
        <v>High</v>
      </c>
      <c r="H266" s="6">
        <f t="shared" si="4"/>
        <v>1834898</v>
      </c>
      <c r="I266" s="6">
        <f t="shared" si="5"/>
        <v>1784275.261</v>
      </c>
      <c r="J266" s="6">
        <f t="shared" si="6"/>
        <v>41965</v>
      </c>
      <c r="K266" s="6">
        <f t="shared" si="7"/>
        <v>954</v>
      </c>
      <c r="L266" s="6">
        <f t="shared" si="8"/>
        <v>0.08</v>
      </c>
    </row>
    <row r="267">
      <c r="A267" s="4" t="s">
        <v>746</v>
      </c>
      <c r="B267" s="4" t="s">
        <v>747</v>
      </c>
      <c r="C267" s="4" t="s">
        <v>748</v>
      </c>
      <c r="D267" s="5">
        <v>65528.0</v>
      </c>
      <c r="E267" s="6" t="str">
        <f t="shared" si="1"/>
        <v>E</v>
      </c>
      <c r="F267" s="6" t="str">
        <f t="shared" si="2"/>
        <v>Transformative change</v>
      </c>
      <c r="G267" s="6" t="str">
        <f t="shared" si="3"/>
        <v>High</v>
      </c>
      <c r="H267" s="6">
        <f t="shared" si="4"/>
        <v>3196429</v>
      </c>
      <c r="I267" s="6">
        <f t="shared" si="5"/>
        <v>2076218.988</v>
      </c>
      <c r="J267" s="6">
        <f t="shared" si="6"/>
        <v>327640</v>
      </c>
      <c r="K267" s="6">
        <f t="shared" si="7"/>
        <v>1161.84</v>
      </c>
      <c r="L267" s="6">
        <f t="shared" si="8"/>
        <v>0.12</v>
      </c>
    </row>
    <row r="268">
      <c r="A268" s="4" t="s">
        <v>749</v>
      </c>
      <c r="B268" s="4" t="s">
        <v>750</v>
      </c>
      <c r="C268" s="4" t="s">
        <v>751</v>
      </c>
      <c r="D268" s="5">
        <v>6183.0</v>
      </c>
      <c r="E268" s="6" t="str">
        <f t="shared" si="1"/>
        <v>F</v>
      </c>
      <c r="F268" s="6" t="str">
        <f t="shared" si="2"/>
        <v>Transformative change</v>
      </c>
      <c r="G268" s="6" t="str">
        <f t="shared" si="3"/>
        <v>Medium</v>
      </c>
      <c r="H268" s="6">
        <f t="shared" si="4"/>
        <v>391478</v>
      </c>
      <c r="I268" s="6">
        <f t="shared" si="5"/>
        <v>291703.6672</v>
      </c>
      <c r="J268" s="6">
        <f t="shared" si="6"/>
        <v>24732</v>
      </c>
      <c r="K268" s="6">
        <f t="shared" si="7"/>
        <v>1003</v>
      </c>
      <c r="L268" s="6">
        <f t="shared" si="8"/>
        <v>0.28</v>
      </c>
    </row>
    <row r="269">
      <c r="A269" s="4" t="s">
        <v>752</v>
      </c>
      <c r="B269" s="4" t="s">
        <v>753</v>
      </c>
      <c r="C269" s="4" t="s">
        <v>754</v>
      </c>
      <c r="D269" s="5">
        <v>10830.0</v>
      </c>
      <c r="E269" s="6" t="str">
        <f t="shared" si="1"/>
        <v>D</v>
      </c>
      <c r="F269" s="6" t="str">
        <f t="shared" si="2"/>
        <v>Transformative change</v>
      </c>
      <c r="G269" s="6" t="str">
        <f t="shared" si="3"/>
        <v>Medium</v>
      </c>
      <c r="H269" s="6">
        <f t="shared" si="4"/>
        <v>3656780</v>
      </c>
      <c r="I269" s="6">
        <f t="shared" si="5"/>
        <v>2439158.622</v>
      </c>
      <c r="J269" s="6">
        <f t="shared" si="6"/>
        <v>86640</v>
      </c>
      <c r="K269" s="6">
        <f t="shared" si="7"/>
        <v>1059</v>
      </c>
      <c r="L269" s="6">
        <f t="shared" si="8"/>
        <v>0.2</v>
      </c>
    </row>
    <row r="270">
      <c r="A270" s="4" t="s">
        <v>21</v>
      </c>
      <c r="B270" s="4" t="s">
        <v>755</v>
      </c>
      <c r="C270" s="4" t="s">
        <v>756</v>
      </c>
      <c r="D270" s="5">
        <v>15751.0</v>
      </c>
      <c r="E270" s="6" t="str">
        <f t="shared" si="1"/>
        <v>F</v>
      </c>
      <c r="F270" s="6" t="str">
        <f t="shared" si="2"/>
        <v>Transformative change</v>
      </c>
      <c r="G270" s="6" t="str">
        <f t="shared" si="3"/>
        <v>High</v>
      </c>
      <c r="H270" s="6">
        <f t="shared" si="4"/>
        <v>1452616</v>
      </c>
      <c r="I270" s="6">
        <f t="shared" si="5"/>
        <v>447109.9034</v>
      </c>
      <c r="J270" s="6">
        <f t="shared" si="6"/>
        <v>236265</v>
      </c>
      <c r="K270" s="6">
        <f t="shared" si="7"/>
        <v>633.42</v>
      </c>
      <c r="L270" s="6">
        <f t="shared" si="8"/>
        <v>0.23</v>
      </c>
    </row>
    <row r="271">
      <c r="A271" s="4" t="s">
        <v>757</v>
      </c>
      <c r="B271" s="4" t="s">
        <v>758</v>
      </c>
      <c r="C271" s="4" t="s">
        <v>759</v>
      </c>
      <c r="D271" s="5">
        <v>58382.0</v>
      </c>
      <c r="E271" s="6" t="str">
        <f t="shared" si="1"/>
        <v>B</v>
      </c>
      <c r="F271" s="6" t="str">
        <f t="shared" si="2"/>
        <v>Transformative change</v>
      </c>
      <c r="G271" s="6" t="str">
        <f t="shared" si="3"/>
        <v>Low</v>
      </c>
      <c r="H271" s="6">
        <f t="shared" si="4"/>
        <v>330359</v>
      </c>
      <c r="I271" s="6">
        <f t="shared" si="5"/>
        <v>29786.29075</v>
      </c>
      <c r="J271" s="6">
        <f t="shared" si="6"/>
        <v>700584</v>
      </c>
      <c r="K271" s="6">
        <f t="shared" si="7"/>
        <v>2024.81</v>
      </c>
      <c r="L271" s="6">
        <f t="shared" si="8"/>
        <v>0.29</v>
      </c>
    </row>
    <row r="272">
      <c r="A272" s="4" t="s">
        <v>760</v>
      </c>
      <c r="B272" s="4" t="s">
        <v>761</v>
      </c>
      <c r="C272" s="4" t="s">
        <v>74</v>
      </c>
      <c r="D272" s="5">
        <v>7716.0</v>
      </c>
      <c r="E272" s="6" t="str">
        <f t="shared" si="1"/>
        <v>C</v>
      </c>
      <c r="F272" s="6" t="str">
        <f t="shared" si="2"/>
        <v>High ambition</v>
      </c>
      <c r="G272" s="6" t="str">
        <f t="shared" si="3"/>
        <v>Medium</v>
      </c>
      <c r="H272" s="6">
        <f t="shared" si="4"/>
        <v>2089932</v>
      </c>
      <c r="I272" s="6">
        <f t="shared" si="5"/>
        <v>839240.477</v>
      </c>
      <c r="J272" s="6">
        <f t="shared" si="6"/>
        <v>100308</v>
      </c>
      <c r="K272" s="6">
        <f t="shared" si="7"/>
        <v>1039</v>
      </c>
      <c r="L272" s="6">
        <f t="shared" si="8"/>
        <v>0.17</v>
      </c>
    </row>
    <row r="273">
      <c r="A273" s="4" t="s">
        <v>762</v>
      </c>
      <c r="B273" s="4" t="s">
        <v>763</v>
      </c>
      <c r="C273" s="4" t="s">
        <v>764</v>
      </c>
      <c r="D273" s="5">
        <v>18591.0</v>
      </c>
      <c r="E273" s="6" t="str">
        <f t="shared" si="1"/>
        <v>B</v>
      </c>
      <c r="F273" s="6" t="str">
        <f t="shared" si="2"/>
        <v>Transformative change</v>
      </c>
      <c r="G273" s="6" t="str">
        <f t="shared" si="3"/>
        <v>Medium</v>
      </c>
      <c r="H273" s="6">
        <f t="shared" si="4"/>
        <v>3506421</v>
      </c>
      <c r="I273" s="6">
        <f t="shared" si="5"/>
        <v>2136786.456</v>
      </c>
      <c r="J273" s="6">
        <f t="shared" si="6"/>
        <v>130137</v>
      </c>
      <c r="K273" s="6">
        <f t="shared" si="7"/>
        <v>948</v>
      </c>
      <c r="L273" s="6">
        <f t="shared" si="8"/>
        <v>0.08</v>
      </c>
    </row>
    <row r="274">
      <c r="A274" s="4" t="s">
        <v>765</v>
      </c>
      <c r="B274" s="4" t="s">
        <v>766</v>
      </c>
      <c r="C274" s="4" t="s">
        <v>767</v>
      </c>
      <c r="D274" s="5">
        <v>11990.0</v>
      </c>
      <c r="E274" s="6" t="str">
        <f t="shared" si="1"/>
        <v>F</v>
      </c>
      <c r="F274" s="6" t="str">
        <f t="shared" si="2"/>
        <v>Transformative change</v>
      </c>
      <c r="G274" s="6" t="str">
        <f t="shared" si="3"/>
        <v>High</v>
      </c>
      <c r="H274" s="6">
        <f t="shared" si="4"/>
        <v>1935053</v>
      </c>
      <c r="I274" s="6">
        <f t="shared" si="5"/>
        <v>190149.5287</v>
      </c>
      <c r="J274" s="6">
        <f t="shared" si="6"/>
        <v>143880</v>
      </c>
      <c r="K274" s="6">
        <f t="shared" si="7"/>
        <v>861</v>
      </c>
      <c r="L274" s="6">
        <f t="shared" si="8"/>
        <v>0.08</v>
      </c>
    </row>
    <row r="275">
      <c r="A275" s="4" t="s">
        <v>768</v>
      </c>
      <c r="B275" s="4" t="s">
        <v>769</v>
      </c>
      <c r="C275" s="4" t="s">
        <v>770</v>
      </c>
      <c r="D275" s="5">
        <v>16921.0</v>
      </c>
      <c r="E275" s="6" t="str">
        <f t="shared" si="1"/>
        <v>A</v>
      </c>
      <c r="F275" s="6" t="str">
        <f t="shared" si="2"/>
        <v>Transformative change</v>
      </c>
      <c r="G275" s="6" t="str">
        <f t="shared" si="3"/>
        <v>Low</v>
      </c>
      <c r="H275" s="6">
        <f t="shared" si="4"/>
        <v>2973761</v>
      </c>
      <c r="I275" s="6">
        <f t="shared" si="5"/>
        <v>61622.32833</v>
      </c>
      <c r="J275" s="6">
        <f t="shared" si="6"/>
        <v>118447</v>
      </c>
      <c r="K275" s="6">
        <f t="shared" si="7"/>
        <v>1086.67</v>
      </c>
      <c r="L275" s="6">
        <f t="shared" si="8"/>
        <v>0.2</v>
      </c>
    </row>
    <row r="276">
      <c r="A276" s="4" t="s">
        <v>771</v>
      </c>
      <c r="B276" s="4" t="s">
        <v>772</v>
      </c>
      <c r="C276" s="4" t="s">
        <v>773</v>
      </c>
      <c r="D276" s="5">
        <v>15639.0</v>
      </c>
      <c r="E276" s="6" t="str">
        <f t="shared" si="1"/>
        <v>D</v>
      </c>
      <c r="F276" s="6" t="str">
        <f t="shared" si="2"/>
        <v>Transformative change</v>
      </c>
      <c r="G276" s="6" t="str">
        <f t="shared" si="3"/>
        <v>High</v>
      </c>
      <c r="H276" s="6">
        <f t="shared" si="4"/>
        <v>3592551</v>
      </c>
      <c r="I276" s="6">
        <f t="shared" si="5"/>
        <v>2524741.961</v>
      </c>
      <c r="J276" s="6">
        <f t="shared" si="6"/>
        <v>203307</v>
      </c>
      <c r="K276" s="6">
        <f t="shared" si="7"/>
        <v>942</v>
      </c>
      <c r="L276" s="6">
        <f t="shared" si="8"/>
        <v>0.3</v>
      </c>
    </row>
    <row r="277">
      <c r="A277" s="4" t="s">
        <v>774</v>
      </c>
      <c r="B277" s="4" t="s">
        <v>775</v>
      </c>
      <c r="C277" s="4" t="s">
        <v>74</v>
      </c>
      <c r="D277" s="5">
        <v>16162.0</v>
      </c>
      <c r="E277" s="6" t="str">
        <f t="shared" si="1"/>
        <v>D</v>
      </c>
      <c r="F277" s="6" t="str">
        <f t="shared" si="2"/>
        <v>Transformative change</v>
      </c>
      <c r="G277" s="6" t="str">
        <f t="shared" si="3"/>
        <v>Low</v>
      </c>
      <c r="H277" s="6">
        <f t="shared" si="4"/>
        <v>368893</v>
      </c>
      <c r="I277" s="6">
        <f t="shared" si="5"/>
        <v>330416.4826</v>
      </c>
      <c r="J277" s="6">
        <f t="shared" si="6"/>
        <v>242430</v>
      </c>
      <c r="K277" s="6">
        <f t="shared" si="7"/>
        <v>784.56</v>
      </c>
      <c r="L277" s="6">
        <f t="shared" si="8"/>
        <v>0.04</v>
      </c>
    </row>
    <row r="278">
      <c r="A278" s="4" t="s">
        <v>776</v>
      </c>
      <c r="B278" s="4" t="s">
        <v>777</v>
      </c>
      <c r="C278" s="4" t="s">
        <v>778</v>
      </c>
      <c r="D278" s="5">
        <v>18228.0</v>
      </c>
      <c r="E278" s="6" t="str">
        <f t="shared" si="1"/>
        <v>C</v>
      </c>
      <c r="F278" s="6" t="str">
        <f t="shared" si="2"/>
        <v>Transformative change</v>
      </c>
      <c r="G278" s="6" t="str">
        <f t="shared" si="3"/>
        <v>High</v>
      </c>
      <c r="H278" s="6">
        <f t="shared" si="4"/>
        <v>2178356</v>
      </c>
      <c r="I278" s="6">
        <f t="shared" si="5"/>
        <v>687308.5624</v>
      </c>
      <c r="J278" s="6">
        <f t="shared" si="6"/>
        <v>200508</v>
      </c>
      <c r="K278" s="6">
        <f t="shared" si="7"/>
        <v>1004</v>
      </c>
      <c r="L278" s="6">
        <f t="shared" si="8"/>
        <v>0.27</v>
      </c>
    </row>
    <row r="279">
      <c r="A279" s="4" t="s">
        <v>779</v>
      </c>
      <c r="B279" s="4" t="s">
        <v>780</v>
      </c>
      <c r="C279" s="4" t="s">
        <v>781</v>
      </c>
      <c r="D279" s="5">
        <v>19517.0</v>
      </c>
      <c r="E279" s="6" t="str">
        <f t="shared" si="1"/>
        <v>B</v>
      </c>
      <c r="F279" s="6" t="str">
        <f t="shared" si="2"/>
        <v>Transformative change</v>
      </c>
      <c r="G279" s="6" t="str">
        <f t="shared" si="3"/>
        <v>High</v>
      </c>
      <c r="H279" s="6">
        <f t="shared" si="4"/>
        <v>3919697</v>
      </c>
      <c r="I279" s="6">
        <f t="shared" si="5"/>
        <v>633055.3929</v>
      </c>
      <c r="J279" s="6">
        <f t="shared" si="6"/>
        <v>292755</v>
      </c>
      <c r="K279" s="6">
        <f t="shared" si="7"/>
        <v>2201.17</v>
      </c>
      <c r="L279" s="6">
        <f t="shared" si="8"/>
        <v>0.07</v>
      </c>
    </row>
    <row r="280">
      <c r="A280" s="4" t="s">
        <v>782</v>
      </c>
      <c r="B280" s="4" t="s">
        <v>783</v>
      </c>
      <c r="C280" s="4" t="s">
        <v>784</v>
      </c>
      <c r="D280" s="5">
        <v>11738.0</v>
      </c>
      <c r="E280" s="6" t="str">
        <f t="shared" si="1"/>
        <v>G</v>
      </c>
      <c r="F280" s="6" t="str">
        <f t="shared" si="2"/>
        <v>High ambition</v>
      </c>
      <c r="G280" s="6" t="str">
        <f t="shared" si="3"/>
        <v>High</v>
      </c>
      <c r="H280" s="6">
        <f t="shared" si="4"/>
        <v>1603638</v>
      </c>
      <c r="I280" s="6">
        <f t="shared" si="5"/>
        <v>890332.3971</v>
      </c>
      <c r="J280" s="6">
        <f t="shared" si="6"/>
        <v>93904</v>
      </c>
      <c r="K280" s="6">
        <f t="shared" si="7"/>
        <v>1079</v>
      </c>
      <c r="L280" s="6">
        <f t="shared" si="8"/>
        <v>0.06</v>
      </c>
    </row>
    <row r="281">
      <c r="A281" s="4" t="s">
        <v>785</v>
      </c>
      <c r="B281" s="4" t="s">
        <v>786</v>
      </c>
      <c r="C281" s="4" t="s">
        <v>238</v>
      </c>
      <c r="D281" s="5">
        <v>11866.0</v>
      </c>
      <c r="E281" s="6" t="str">
        <f t="shared" si="1"/>
        <v>D</v>
      </c>
      <c r="F281" s="6" t="str">
        <f t="shared" si="2"/>
        <v>High ambition</v>
      </c>
      <c r="G281" s="6" t="str">
        <f t="shared" si="3"/>
        <v>High</v>
      </c>
      <c r="H281" s="6">
        <f t="shared" si="4"/>
        <v>3404533</v>
      </c>
      <c r="I281" s="6">
        <f t="shared" si="5"/>
        <v>310642.6901</v>
      </c>
      <c r="J281" s="6">
        <f t="shared" si="6"/>
        <v>83062</v>
      </c>
      <c r="K281" s="6">
        <f t="shared" si="7"/>
        <v>1074</v>
      </c>
      <c r="L281" s="6">
        <f t="shared" si="8"/>
        <v>0.2</v>
      </c>
    </row>
    <row r="282">
      <c r="A282" s="4" t="s">
        <v>787</v>
      </c>
      <c r="B282" s="4" t="s">
        <v>788</v>
      </c>
      <c r="C282" s="4" t="s">
        <v>789</v>
      </c>
      <c r="D282" s="5">
        <v>8573.0</v>
      </c>
      <c r="E282" s="6" t="str">
        <f t="shared" si="1"/>
        <v>F</v>
      </c>
      <c r="F282" s="6" t="str">
        <f t="shared" si="2"/>
        <v>High ambition</v>
      </c>
      <c r="G282" s="6" t="str">
        <f t="shared" si="3"/>
        <v>Medium</v>
      </c>
      <c r="H282" s="6">
        <f t="shared" si="4"/>
        <v>184154</v>
      </c>
      <c r="I282" s="6">
        <f t="shared" si="5"/>
        <v>173398.8656</v>
      </c>
      <c r="J282" s="6">
        <f t="shared" si="6"/>
        <v>60011</v>
      </c>
      <c r="K282" s="6">
        <f t="shared" si="7"/>
        <v>1092</v>
      </c>
      <c r="L282" s="6">
        <f t="shared" si="8"/>
        <v>0.19</v>
      </c>
    </row>
    <row r="283">
      <c r="A283" s="4" t="s">
        <v>790</v>
      </c>
      <c r="B283" s="4" t="s">
        <v>791</v>
      </c>
      <c r="C283" s="4" t="s">
        <v>792</v>
      </c>
      <c r="D283" s="5">
        <v>16760.0</v>
      </c>
      <c r="E283" s="6" t="str">
        <f t="shared" si="1"/>
        <v>G</v>
      </c>
      <c r="F283" s="6" t="str">
        <f t="shared" si="2"/>
        <v>Transformative change</v>
      </c>
      <c r="G283" s="6" t="str">
        <f t="shared" si="3"/>
        <v>Low</v>
      </c>
      <c r="H283" s="6">
        <f t="shared" si="4"/>
        <v>2546823</v>
      </c>
      <c r="I283" s="6">
        <f t="shared" si="5"/>
        <v>520402.5824</v>
      </c>
      <c r="J283" s="6">
        <f t="shared" si="6"/>
        <v>67040</v>
      </c>
      <c r="K283" s="6">
        <f t="shared" si="7"/>
        <v>980</v>
      </c>
      <c r="L283" s="6">
        <f t="shared" si="8"/>
        <v>0.2</v>
      </c>
    </row>
    <row r="284">
      <c r="A284" s="4" t="s">
        <v>793</v>
      </c>
      <c r="B284" s="4" t="s">
        <v>794</v>
      </c>
      <c r="C284" s="4" t="s">
        <v>795</v>
      </c>
      <c r="D284" s="5">
        <v>252534.0</v>
      </c>
      <c r="E284" s="6" t="str">
        <f t="shared" si="1"/>
        <v>G</v>
      </c>
      <c r="F284" s="6" t="str">
        <f t="shared" si="2"/>
        <v>High ambition</v>
      </c>
      <c r="G284" s="6" t="str">
        <f t="shared" si="3"/>
        <v>Low</v>
      </c>
      <c r="H284" s="6">
        <f t="shared" si="4"/>
        <v>2995072</v>
      </c>
      <c r="I284" s="6">
        <f t="shared" si="5"/>
        <v>1313670.888</v>
      </c>
      <c r="J284" s="6">
        <f t="shared" si="6"/>
        <v>2525340</v>
      </c>
      <c r="K284" s="6">
        <f t="shared" si="7"/>
        <v>8531.55</v>
      </c>
      <c r="L284" s="6">
        <f t="shared" si="8"/>
        <v>0.3</v>
      </c>
    </row>
    <row r="285">
      <c r="A285" s="4" t="s">
        <v>796</v>
      </c>
      <c r="B285" s="4" t="s">
        <v>797</v>
      </c>
      <c r="C285" s="4" t="s">
        <v>798</v>
      </c>
      <c r="D285" s="5">
        <v>322262.0</v>
      </c>
      <c r="E285" s="6" t="str">
        <f t="shared" si="1"/>
        <v>A</v>
      </c>
      <c r="F285" s="6" t="str">
        <f t="shared" si="2"/>
        <v>Transformative change</v>
      </c>
      <c r="G285" s="6" t="str">
        <f t="shared" si="3"/>
        <v>Medium</v>
      </c>
      <c r="H285" s="6">
        <f t="shared" si="4"/>
        <v>3905109</v>
      </c>
      <c r="I285" s="6">
        <f t="shared" si="5"/>
        <v>2253664.053</v>
      </c>
      <c r="J285" s="6">
        <f t="shared" si="6"/>
        <v>3544882</v>
      </c>
      <c r="K285" s="6">
        <f t="shared" si="7"/>
        <v>22435.96</v>
      </c>
      <c r="L285" s="6">
        <f t="shared" si="8"/>
        <v>0.19</v>
      </c>
    </row>
    <row r="286">
      <c r="A286" s="4" t="s">
        <v>799</v>
      </c>
      <c r="B286" s="4" t="s">
        <v>800</v>
      </c>
      <c r="C286" s="4" t="s">
        <v>801</v>
      </c>
      <c r="D286" s="5">
        <v>9680.0</v>
      </c>
      <c r="E286" s="6" t="str">
        <f t="shared" si="1"/>
        <v>A</v>
      </c>
      <c r="F286" s="6" t="str">
        <f t="shared" si="2"/>
        <v>Transformative change</v>
      </c>
      <c r="G286" s="6" t="str">
        <f t="shared" si="3"/>
        <v>Medium</v>
      </c>
      <c r="H286" s="6">
        <f t="shared" si="4"/>
        <v>3551248</v>
      </c>
      <c r="I286" s="6">
        <f t="shared" si="5"/>
        <v>2334513.812</v>
      </c>
      <c r="J286" s="6">
        <f t="shared" si="6"/>
        <v>135520</v>
      </c>
      <c r="K286" s="6">
        <f t="shared" si="7"/>
        <v>1673.09</v>
      </c>
      <c r="L286" s="6">
        <f t="shared" si="8"/>
        <v>0.13</v>
      </c>
    </row>
    <row r="287">
      <c r="A287" s="4" t="s">
        <v>802</v>
      </c>
      <c r="B287" s="4" t="s">
        <v>803</v>
      </c>
      <c r="C287" s="4" t="s">
        <v>804</v>
      </c>
      <c r="D287" s="5">
        <v>15052.0</v>
      </c>
      <c r="E287" s="6" t="str">
        <f t="shared" si="1"/>
        <v>E</v>
      </c>
      <c r="F287" s="6" t="str">
        <f t="shared" si="2"/>
        <v>Transformative change</v>
      </c>
      <c r="G287" s="6" t="str">
        <f t="shared" si="3"/>
        <v>Medium</v>
      </c>
      <c r="H287" s="6">
        <f t="shared" si="4"/>
        <v>3678568</v>
      </c>
      <c r="I287" s="6">
        <f t="shared" si="5"/>
        <v>233702.7646</v>
      </c>
      <c r="J287" s="6">
        <f t="shared" si="6"/>
        <v>180624</v>
      </c>
      <c r="K287" s="6">
        <f t="shared" si="7"/>
        <v>454.97</v>
      </c>
      <c r="L287" s="6">
        <f t="shared" si="8"/>
        <v>0.03</v>
      </c>
    </row>
    <row r="288">
      <c r="A288" s="4" t="s">
        <v>805</v>
      </c>
      <c r="B288" s="4" t="s">
        <v>806</v>
      </c>
      <c r="C288" s="4" t="s">
        <v>807</v>
      </c>
      <c r="D288" s="5">
        <v>10573.0</v>
      </c>
      <c r="E288" s="6" t="str">
        <f t="shared" si="1"/>
        <v>B</v>
      </c>
      <c r="F288" s="6" t="str">
        <f t="shared" si="2"/>
        <v>High ambition</v>
      </c>
      <c r="G288" s="6" t="str">
        <f t="shared" si="3"/>
        <v>Medium</v>
      </c>
      <c r="H288" s="6">
        <f t="shared" si="4"/>
        <v>152989</v>
      </c>
      <c r="I288" s="6">
        <f t="shared" si="5"/>
        <v>33597.44225</v>
      </c>
      <c r="J288" s="6">
        <f t="shared" si="6"/>
        <v>105730</v>
      </c>
      <c r="K288" s="6">
        <f t="shared" si="7"/>
        <v>815</v>
      </c>
      <c r="L288" s="6">
        <f t="shared" si="8"/>
        <v>0.24</v>
      </c>
    </row>
    <row r="289">
      <c r="A289" s="4" t="s">
        <v>808</v>
      </c>
      <c r="B289" s="4" t="s">
        <v>809</v>
      </c>
      <c r="C289" s="4" t="s">
        <v>74</v>
      </c>
      <c r="D289" s="5">
        <v>58999.0</v>
      </c>
      <c r="E289" s="6" t="str">
        <f t="shared" si="1"/>
        <v>D</v>
      </c>
      <c r="F289" s="6" t="str">
        <f t="shared" si="2"/>
        <v>Transformative change</v>
      </c>
      <c r="G289" s="6" t="str">
        <f t="shared" si="3"/>
        <v>High</v>
      </c>
      <c r="H289" s="6">
        <f t="shared" si="4"/>
        <v>2368006</v>
      </c>
      <c r="I289" s="6">
        <f t="shared" si="5"/>
        <v>2193024.543</v>
      </c>
      <c r="J289" s="6">
        <f t="shared" si="6"/>
        <v>235996</v>
      </c>
      <c r="K289" s="6">
        <f t="shared" si="7"/>
        <v>1100</v>
      </c>
      <c r="L289" s="6">
        <f t="shared" si="8"/>
        <v>0.19</v>
      </c>
    </row>
    <row r="290">
      <c r="A290" s="4" t="s">
        <v>540</v>
      </c>
      <c r="B290" s="4" t="s">
        <v>810</v>
      </c>
      <c r="C290" s="4" t="s">
        <v>74</v>
      </c>
      <c r="D290" s="5">
        <v>42796.0</v>
      </c>
      <c r="E290" s="6" t="str">
        <f t="shared" si="1"/>
        <v>B</v>
      </c>
      <c r="F290" s="6" t="str">
        <f t="shared" si="2"/>
        <v>High ambition</v>
      </c>
      <c r="G290" s="6" t="str">
        <f t="shared" si="3"/>
        <v>Medium</v>
      </c>
      <c r="H290" s="6">
        <f t="shared" si="4"/>
        <v>1357278</v>
      </c>
      <c r="I290" s="6">
        <f t="shared" si="5"/>
        <v>1060083.331</v>
      </c>
      <c r="J290" s="6">
        <f t="shared" si="6"/>
        <v>641940</v>
      </c>
      <c r="K290" s="6">
        <f t="shared" si="7"/>
        <v>6829.15</v>
      </c>
      <c r="L290" s="6">
        <f t="shared" si="8"/>
        <v>0.15</v>
      </c>
    </row>
    <row r="291">
      <c r="A291" s="4" t="s">
        <v>811</v>
      </c>
      <c r="B291" s="4" t="s">
        <v>812</v>
      </c>
      <c r="C291" s="4" t="s">
        <v>74</v>
      </c>
      <c r="D291" s="5">
        <v>10548.0</v>
      </c>
      <c r="E291" s="6" t="str">
        <f t="shared" si="1"/>
        <v>C</v>
      </c>
      <c r="F291" s="6" t="str">
        <f t="shared" si="2"/>
        <v>Transformative change</v>
      </c>
      <c r="G291" s="6" t="str">
        <f t="shared" si="3"/>
        <v>High</v>
      </c>
      <c r="H291" s="6">
        <f t="shared" si="4"/>
        <v>1592315</v>
      </c>
      <c r="I291" s="6">
        <f t="shared" si="5"/>
        <v>600153.7317</v>
      </c>
      <c r="J291" s="6">
        <f t="shared" si="6"/>
        <v>94932</v>
      </c>
      <c r="K291" s="6">
        <f t="shared" si="7"/>
        <v>828</v>
      </c>
      <c r="L291" s="6">
        <f t="shared" si="8"/>
        <v>0.09</v>
      </c>
    </row>
    <row r="292">
      <c r="A292" s="4" t="s">
        <v>813</v>
      </c>
      <c r="B292" s="4" t="s">
        <v>814</v>
      </c>
      <c r="C292" s="4" t="s">
        <v>815</v>
      </c>
      <c r="D292" s="5">
        <v>12565.0</v>
      </c>
      <c r="E292" s="6" t="str">
        <f t="shared" si="1"/>
        <v>G</v>
      </c>
      <c r="F292" s="6" t="str">
        <f t="shared" si="2"/>
        <v>High ambition</v>
      </c>
      <c r="G292" s="6" t="str">
        <f t="shared" si="3"/>
        <v>High</v>
      </c>
      <c r="H292" s="6">
        <f t="shared" si="4"/>
        <v>2754461</v>
      </c>
      <c r="I292" s="6">
        <f t="shared" si="5"/>
        <v>592384.7814</v>
      </c>
      <c r="J292" s="6">
        <f t="shared" si="6"/>
        <v>87955</v>
      </c>
      <c r="K292" s="6">
        <f t="shared" si="7"/>
        <v>895</v>
      </c>
      <c r="L292" s="6">
        <f t="shared" si="8"/>
        <v>0.14</v>
      </c>
    </row>
    <row r="293">
      <c r="A293" s="4" t="s">
        <v>816</v>
      </c>
      <c r="B293" s="4" t="s">
        <v>817</v>
      </c>
      <c r="C293" s="4" t="s">
        <v>818</v>
      </c>
      <c r="D293" s="5">
        <v>16137.0</v>
      </c>
      <c r="E293" s="6" t="str">
        <f t="shared" si="1"/>
        <v>B</v>
      </c>
      <c r="F293" s="6" t="str">
        <f t="shared" si="2"/>
        <v>High ambition</v>
      </c>
      <c r="G293" s="6" t="str">
        <f t="shared" si="3"/>
        <v>High</v>
      </c>
      <c r="H293" s="6">
        <f t="shared" si="4"/>
        <v>920400</v>
      </c>
      <c r="I293" s="6">
        <f t="shared" si="5"/>
        <v>486693.5901</v>
      </c>
      <c r="J293" s="6">
        <f t="shared" si="6"/>
        <v>242055</v>
      </c>
      <c r="K293" s="6">
        <f t="shared" si="7"/>
        <v>1061</v>
      </c>
      <c r="L293" s="6">
        <f t="shared" si="8"/>
        <v>0.29</v>
      </c>
    </row>
    <row r="294">
      <c r="A294" s="4" t="s">
        <v>819</v>
      </c>
      <c r="B294" s="4" t="s">
        <v>820</v>
      </c>
      <c r="C294" s="4" t="s">
        <v>821</v>
      </c>
      <c r="D294" s="5">
        <v>149925.0</v>
      </c>
      <c r="E294" s="6" t="str">
        <f t="shared" si="1"/>
        <v>G</v>
      </c>
      <c r="F294" s="6" t="str">
        <f t="shared" si="2"/>
        <v>High ambition</v>
      </c>
      <c r="G294" s="6" t="str">
        <f t="shared" si="3"/>
        <v>High</v>
      </c>
      <c r="H294" s="6">
        <f t="shared" si="4"/>
        <v>390413</v>
      </c>
      <c r="I294" s="6">
        <f t="shared" si="5"/>
        <v>178233.1525</v>
      </c>
      <c r="J294" s="6">
        <f t="shared" si="6"/>
        <v>1949025</v>
      </c>
      <c r="K294" s="6">
        <f t="shared" si="7"/>
        <v>7643.24</v>
      </c>
      <c r="L294" s="6">
        <f t="shared" si="8"/>
        <v>0.12</v>
      </c>
    </row>
    <row r="295">
      <c r="A295" s="4" t="s">
        <v>822</v>
      </c>
      <c r="B295" s="4" t="s">
        <v>823</v>
      </c>
      <c r="C295" s="4" t="s">
        <v>824</v>
      </c>
      <c r="D295" s="5">
        <v>16405.0</v>
      </c>
      <c r="E295" s="6" t="str">
        <f t="shared" si="1"/>
        <v>G</v>
      </c>
      <c r="F295" s="6" t="str">
        <f t="shared" si="2"/>
        <v>Transformative change</v>
      </c>
      <c r="G295" s="6" t="str">
        <f t="shared" si="3"/>
        <v>High</v>
      </c>
      <c r="H295" s="6">
        <f t="shared" si="4"/>
        <v>658579</v>
      </c>
      <c r="I295" s="6">
        <f t="shared" si="5"/>
        <v>169077.4393</v>
      </c>
      <c r="J295" s="6">
        <f t="shared" si="6"/>
        <v>65620</v>
      </c>
      <c r="K295" s="6">
        <f t="shared" si="7"/>
        <v>1339.18</v>
      </c>
      <c r="L295" s="6">
        <f t="shared" si="8"/>
        <v>0.21</v>
      </c>
    </row>
    <row r="296">
      <c r="A296" s="4" t="s">
        <v>825</v>
      </c>
      <c r="B296" s="4" t="s">
        <v>826</v>
      </c>
      <c r="C296" s="4" t="s">
        <v>827</v>
      </c>
      <c r="D296" s="5">
        <v>5506.0</v>
      </c>
      <c r="E296" s="6" t="str">
        <f t="shared" si="1"/>
        <v>B</v>
      </c>
      <c r="F296" s="6" t="str">
        <f t="shared" si="2"/>
        <v>Transformative change</v>
      </c>
      <c r="G296" s="6" t="str">
        <f t="shared" si="3"/>
        <v>Low</v>
      </c>
      <c r="H296" s="6">
        <f t="shared" si="4"/>
        <v>3214171</v>
      </c>
      <c r="I296" s="6">
        <f t="shared" si="5"/>
        <v>1625176.786</v>
      </c>
      <c r="J296" s="6">
        <f t="shared" si="6"/>
        <v>49554</v>
      </c>
      <c r="K296" s="6">
        <f t="shared" si="7"/>
        <v>1078</v>
      </c>
      <c r="L296" s="6">
        <f t="shared" si="8"/>
        <v>0.06</v>
      </c>
    </row>
    <row r="297">
      <c r="A297" s="4" t="s">
        <v>828</v>
      </c>
      <c r="B297" s="4" t="s">
        <v>829</v>
      </c>
      <c r="C297" s="4" t="s">
        <v>74</v>
      </c>
      <c r="D297" s="5">
        <v>19985.0</v>
      </c>
      <c r="E297" s="6" t="str">
        <f t="shared" si="1"/>
        <v>B</v>
      </c>
      <c r="F297" s="6" t="str">
        <f t="shared" si="2"/>
        <v>Transformative change</v>
      </c>
      <c r="G297" s="6" t="str">
        <f t="shared" si="3"/>
        <v>High</v>
      </c>
      <c r="H297" s="6">
        <f t="shared" si="4"/>
        <v>693441</v>
      </c>
      <c r="I297" s="6">
        <f t="shared" si="5"/>
        <v>325490.6884</v>
      </c>
      <c r="J297" s="6">
        <f t="shared" si="6"/>
        <v>179865</v>
      </c>
      <c r="K297" s="6">
        <f t="shared" si="7"/>
        <v>800</v>
      </c>
      <c r="L297" s="6">
        <f t="shared" si="8"/>
        <v>0.13</v>
      </c>
    </row>
    <row r="298">
      <c r="A298" s="4" t="s">
        <v>830</v>
      </c>
      <c r="B298" s="4" t="s">
        <v>831</v>
      </c>
      <c r="C298" s="4" t="s">
        <v>832</v>
      </c>
      <c r="D298" s="5">
        <v>52856.0</v>
      </c>
      <c r="E298" s="6" t="str">
        <f t="shared" si="1"/>
        <v>D</v>
      </c>
      <c r="F298" s="6" t="str">
        <f t="shared" si="2"/>
        <v>Transformative change</v>
      </c>
      <c r="G298" s="6" t="str">
        <f t="shared" si="3"/>
        <v>High</v>
      </c>
      <c r="H298" s="6">
        <f t="shared" si="4"/>
        <v>2971027</v>
      </c>
      <c r="I298" s="6">
        <f t="shared" si="5"/>
        <v>273492.2606</v>
      </c>
      <c r="J298" s="6">
        <f t="shared" si="6"/>
        <v>687128</v>
      </c>
      <c r="K298" s="6">
        <f t="shared" si="7"/>
        <v>3435.64</v>
      </c>
      <c r="L298" s="6">
        <f t="shared" si="8"/>
        <v>0.06</v>
      </c>
    </row>
    <row r="299">
      <c r="A299" s="4" t="s">
        <v>833</v>
      </c>
      <c r="B299" s="4" t="s">
        <v>834</v>
      </c>
      <c r="C299" s="4" t="s">
        <v>238</v>
      </c>
      <c r="D299" s="5">
        <v>5433.0</v>
      </c>
      <c r="E299" s="6" t="str">
        <f t="shared" si="1"/>
        <v>E</v>
      </c>
      <c r="F299" s="6" t="str">
        <f t="shared" si="2"/>
        <v>Transformative change</v>
      </c>
      <c r="G299" s="6" t="str">
        <f t="shared" si="3"/>
        <v>High</v>
      </c>
      <c r="H299" s="6">
        <f t="shared" si="4"/>
        <v>1330188</v>
      </c>
      <c r="I299" s="6">
        <f t="shared" si="5"/>
        <v>386700.2739</v>
      </c>
      <c r="J299" s="6">
        <f t="shared" si="6"/>
        <v>38031</v>
      </c>
      <c r="K299" s="6">
        <f t="shared" si="7"/>
        <v>978</v>
      </c>
      <c r="L299" s="6">
        <f t="shared" si="8"/>
        <v>0.17</v>
      </c>
    </row>
    <row r="300">
      <c r="A300" s="4" t="s">
        <v>835</v>
      </c>
      <c r="B300" s="4" t="s">
        <v>836</v>
      </c>
      <c r="C300" s="4" t="s">
        <v>837</v>
      </c>
      <c r="D300" s="5">
        <v>7539.0</v>
      </c>
      <c r="E300" s="6" t="str">
        <f t="shared" si="1"/>
        <v>B</v>
      </c>
      <c r="F300" s="6" t="str">
        <f t="shared" si="2"/>
        <v>Transformative change</v>
      </c>
      <c r="G300" s="6" t="str">
        <f t="shared" si="3"/>
        <v>High</v>
      </c>
      <c r="H300" s="6">
        <f t="shared" si="4"/>
        <v>2521102</v>
      </c>
      <c r="I300" s="6">
        <f t="shared" si="5"/>
        <v>1258515.097</v>
      </c>
      <c r="J300" s="6">
        <f t="shared" si="6"/>
        <v>75390</v>
      </c>
      <c r="K300" s="6">
        <f t="shared" si="7"/>
        <v>903</v>
      </c>
      <c r="L300" s="6">
        <f t="shared" si="8"/>
        <v>0.22</v>
      </c>
    </row>
    <row r="301">
      <c r="A301" s="4" t="s">
        <v>838</v>
      </c>
      <c r="B301" s="4" t="s">
        <v>839</v>
      </c>
      <c r="C301" s="4" t="s">
        <v>840</v>
      </c>
      <c r="D301" s="5">
        <v>335638.0</v>
      </c>
      <c r="E301" s="6" t="str">
        <f t="shared" si="1"/>
        <v>G</v>
      </c>
      <c r="F301" s="6" t="str">
        <f t="shared" si="2"/>
        <v>Transformative change</v>
      </c>
      <c r="G301" s="6" t="str">
        <f t="shared" si="3"/>
        <v>High</v>
      </c>
      <c r="H301" s="6">
        <f t="shared" si="4"/>
        <v>186430</v>
      </c>
      <c r="I301" s="6">
        <f t="shared" si="5"/>
        <v>121519.3582</v>
      </c>
      <c r="J301" s="6">
        <f t="shared" si="6"/>
        <v>1678190</v>
      </c>
      <c r="K301" s="6">
        <f t="shared" si="7"/>
        <v>7360.48</v>
      </c>
      <c r="L301" s="6">
        <f t="shared" si="8"/>
        <v>0.12</v>
      </c>
    </row>
    <row r="302">
      <c r="A302" s="4" t="s">
        <v>841</v>
      </c>
      <c r="B302" s="4" t="s">
        <v>842</v>
      </c>
      <c r="C302" s="4" t="s">
        <v>843</v>
      </c>
      <c r="D302" s="5">
        <v>8074.0</v>
      </c>
      <c r="E302" s="6" t="str">
        <f t="shared" si="1"/>
        <v>G</v>
      </c>
      <c r="F302" s="6" t="str">
        <f t="shared" si="2"/>
        <v>Transformative change</v>
      </c>
      <c r="G302" s="6" t="str">
        <f t="shared" si="3"/>
        <v>Low</v>
      </c>
      <c r="H302" s="6">
        <f t="shared" si="4"/>
        <v>1603378</v>
      </c>
      <c r="I302" s="6">
        <f t="shared" si="5"/>
        <v>77865.42051</v>
      </c>
      <c r="J302" s="6">
        <f t="shared" si="6"/>
        <v>72666</v>
      </c>
      <c r="K302" s="6">
        <f t="shared" si="7"/>
        <v>942</v>
      </c>
      <c r="L302" s="6">
        <f t="shared" si="8"/>
        <v>0.12</v>
      </c>
    </row>
    <row r="303">
      <c r="A303" s="4" t="s">
        <v>844</v>
      </c>
      <c r="B303" s="4" t="s">
        <v>845</v>
      </c>
      <c r="C303" s="4" t="s">
        <v>74</v>
      </c>
      <c r="D303" s="5">
        <v>11487.0</v>
      </c>
      <c r="E303" s="6" t="str">
        <f t="shared" si="1"/>
        <v>A</v>
      </c>
      <c r="F303" s="6" t="str">
        <f t="shared" si="2"/>
        <v>Transformative change</v>
      </c>
      <c r="G303" s="6" t="str">
        <f t="shared" si="3"/>
        <v>Low</v>
      </c>
      <c r="H303" s="6">
        <f t="shared" si="4"/>
        <v>2961462</v>
      </c>
      <c r="I303" s="6">
        <f t="shared" si="5"/>
        <v>2348345.712</v>
      </c>
      <c r="J303" s="6">
        <f t="shared" si="6"/>
        <v>172305</v>
      </c>
      <c r="K303" s="6">
        <f t="shared" si="7"/>
        <v>836</v>
      </c>
      <c r="L303" s="6">
        <f t="shared" si="8"/>
        <v>0.07</v>
      </c>
    </row>
    <row r="304">
      <c r="A304" s="4" t="s">
        <v>846</v>
      </c>
      <c r="B304" s="4" t="s">
        <v>847</v>
      </c>
      <c r="C304" s="4" t="s">
        <v>848</v>
      </c>
      <c r="D304" s="5">
        <v>16900.0</v>
      </c>
      <c r="E304" s="6" t="str">
        <f t="shared" si="1"/>
        <v>B</v>
      </c>
      <c r="F304" s="6" t="str">
        <f t="shared" si="2"/>
        <v>Transformative change</v>
      </c>
      <c r="G304" s="6" t="str">
        <f t="shared" si="3"/>
        <v>Medium</v>
      </c>
      <c r="H304" s="6">
        <f t="shared" si="4"/>
        <v>1425208</v>
      </c>
      <c r="I304" s="6">
        <f t="shared" si="5"/>
        <v>1060877.407</v>
      </c>
      <c r="J304" s="6">
        <f t="shared" si="6"/>
        <v>118300</v>
      </c>
      <c r="K304" s="6">
        <f t="shared" si="7"/>
        <v>920</v>
      </c>
      <c r="L304" s="6">
        <f t="shared" si="8"/>
        <v>0.04</v>
      </c>
    </row>
    <row r="305">
      <c r="A305" s="4" t="s">
        <v>849</v>
      </c>
      <c r="B305" s="4" t="s">
        <v>850</v>
      </c>
      <c r="C305" s="4" t="s">
        <v>851</v>
      </c>
      <c r="D305" s="5">
        <v>15728.0</v>
      </c>
      <c r="E305" s="6" t="str">
        <f t="shared" si="1"/>
        <v>B</v>
      </c>
      <c r="F305" s="6" t="str">
        <f t="shared" si="2"/>
        <v>Transformative change</v>
      </c>
      <c r="G305" s="6" t="str">
        <f t="shared" si="3"/>
        <v>Medium</v>
      </c>
      <c r="H305" s="6">
        <f t="shared" si="4"/>
        <v>2541000</v>
      </c>
      <c r="I305" s="6">
        <f t="shared" si="5"/>
        <v>446373.4492</v>
      </c>
      <c r="J305" s="6">
        <f t="shared" si="6"/>
        <v>220192</v>
      </c>
      <c r="K305" s="6">
        <f t="shared" si="7"/>
        <v>834</v>
      </c>
      <c r="L305" s="6">
        <f t="shared" si="8"/>
        <v>0.03</v>
      </c>
    </row>
    <row r="306">
      <c r="A306" s="4" t="s">
        <v>852</v>
      </c>
      <c r="B306" s="4" t="s">
        <v>853</v>
      </c>
      <c r="C306" s="4" t="s">
        <v>854</v>
      </c>
      <c r="D306" s="5">
        <v>5691.0</v>
      </c>
      <c r="E306" s="6" t="str">
        <f t="shared" si="1"/>
        <v>B</v>
      </c>
      <c r="F306" s="6" t="str">
        <f t="shared" si="2"/>
        <v>Transformative change</v>
      </c>
      <c r="G306" s="6" t="str">
        <f t="shared" si="3"/>
        <v>Medium</v>
      </c>
      <c r="H306" s="6">
        <f t="shared" si="4"/>
        <v>2337289</v>
      </c>
      <c r="I306" s="6">
        <f t="shared" si="5"/>
        <v>1351433.784</v>
      </c>
      <c r="J306" s="6">
        <f t="shared" si="6"/>
        <v>51219</v>
      </c>
      <c r="K306" s="6">
        <f t="shared" si="7"/>
        <v>939</v>
      </c>
      <c r="L306" s="6">
        <f t="shared" si="8"/>
        <v>0.15</v>
      </c>
    </row>
    <row r="307">
      <c r="A307" s="4" t="s">
        <v>855</v>
      </c>
      <c r="B307" s="4" t="s">
        <v>856</v>
      </c>
      <c r="C307" s="4" t="s">
        <v>857</v>
      </c>
      <c r="D307" s="5">
        <v>10794.0</v>
      </c>
      <c r="E307" s="6" t="str">
        <f t="shared" si="1"/>
        <v>F</v>
      </c>
      <c r="F307" s="6" t="str">
        <f t="shared" si="2"/>
        <v>High ambition</v>
      </c>
      <c r="G307" s="6" t="str">
        <f t="shared" si="3"/>
        <v>High</v>
      </c>
      <c r="H307" s="6">
        <f t="shared" si="4"/>
        <v>3657393</v>
      </c>
      <c r="I307" s="6">
        <f t="shared" si="5"/>
        <v>1115556.572</v>
      </c>
      <c r="J307" s="6">
        <f t="shared" si="6"/>
        <v>118734</v>
      </c>
      <c r="K307" s="6">
        <f t="shared" si="7"/>
        <v>907</v>
      </c>
      <c r="L307" s="6">
        <f t="shared" si="8"/>
        <v>0.15</v>
      </c>
    </row>
    <row r="308">
      <c r="A308" s="4" t="s">
        <v>858</v>
      </c>
      <c r="B308" s="4" t="s">
        <v>859</v>
      </c>
      <c r="C308" s="4" t="s">
        <v>860</v>
      </c>
      <c r="D308" s="5">
        <v>19393.0</v>
      </c>
      <c r="E308" s="6" t="str">
        <f t="shared" si="1"/>
        <v>G</v>
      </c>
      <c r="F308" s="6" t="str">
        <f t="shared" si="2"/>
        <v>High ambition</v>
      </c>
      <c r="G308" s="6" t="str">
        <f t="shared" si="3"/>
        <v>Low</v>
      </c>
      <c r="H308" s="6">
        <f t="shared" si="4"/>
        <v>534100</v>
      </c>
      <c r="I308" s="6">
        <f t="shared" si="5"/>
        <v>530873.9278</v>
      </c>
      <c r="J308" s="6">
        <f t="shared" si="6"/>
        <v>155144</v>
      </c>
      <c r="K308" s="6">
        <f t="shared" si="7"/>
        <v>1057</v>
      </c>
      <c r="L308" s="6">
        <f t="shared" si="8"/>
        <v>0.17</v>
      </c>
    </row>
    <row r="309">
      <c r="A309" s="4" t="s">
        <v>861</v>
      </c>
      <c r="B309" s="4" t="s">
        <v>862</v>
      </c>
      <c r="C309" s="4" t="s">
        <v>863</v>
      </c>
      <c r="D309" s="5">
        <v>8652.0</v>
      </c>
      <c r="E309" s="6" t="str">
        <f t="shared" si="1"/>
        <v>F</v>
      </c>
      <c r="F309" s="6" t="str">
        <f t="shared" si="2"/>
        <v>Transformative change</v>
      </c>
      <c r="G309" s="6" t="str">
        <f t="shared" si="3"/>
        <v>Medium</v>
      </c>
      <c r="H309" s="6">
        <f t="shared" si="4"/>
        <v>45296</v>
      </c>
      <c r="I309" s="6">
        <f t="shared" si="5"/>
        <v>43580.13315</v>
      </c>
      <c r="J309" s="6">
        <f t="shared" si="6"/>
        <v>51912</v>
      </c>
      <c r="K309" s="6">
        <f t="shared" si="7"/>
        <v>933</v>
      </c>
      <c r="L309" s="6">
        <f t="shared" si="8"/>
        <v>0.18</v>
      </c>
    </row>
    <row r="310">
      <c r="A310" s="4" t="s">
        <v>864</v>
      </c>
      <c r="B310" s="4" t="s">
        <v>865</v>
      </c>
      <c r="C310" s="4" t="s">
        <v>866</v>
      </c>
      <c r="D310" s="5">
        <v>14336.0</v>
      </c>
      <c r="E310" s="6" t="str">
        <f t="shared" si="1"/>
        <v>D</v>
      </c>
      <c r="F310" s="6" t="str">
        <f t="shared" si="2"/>
        <v>Transformative change</v>
      </c>
      <c r="G310" s="6" t="str">
        <f t="shared" si="3"/>
        <v>Medium</v>
      </c>
      <c r="H310" s="6">
        <f t="shared" si="4"/>
        <v>1599825</v>
      </c>
      <c r="I310" s="6">
        <f t="shared" si="5"/>
        <v>20502.76984</v>
      </c>
      <c r="J310" s="6">
        <f t="shared" si="6"/>
        <v>157696</v>
      </c>
      <c r="K310" s="6">
        <f t="shared" si="7"/>
        <v>3285.33</v>
      </c>
      <c r="L310" s="6">
        <f t="shared" si="8"/>
        <v>0.25</v>
      </c>
    </row>
    <row r="311">
      <c r="A311" s="4" t="s">
        <v>867</v>
      </c>
      <c r="B311" s="4" t="s">
        <v>868</v>
      </c>
      <c r="C311" s="4" t="s">
        <v>869</v>
      </c>
      <c r="D311" s="5">
        <v>17548.0</v>
      </c>
      <c r="E311" s="6" t="str">
        <f t="shared" si="1"/>
        <v>G</v>
      </c>
      <c r="F311" s="6" t="str">
        <f t="shared" si="2"/>
        <v>Transformative change</v>
      </c>
      <c r="G311" s="6" t="str">
        <f t="shared" si="3"/>
        <v>High</v>
      </c>
      <c r="H311" s="6">
        <f t="shared" si="4"/>
        <v>1112823</v>
      </c>
      <c r="I311" s="6">
        <f t="shared" si="5"/>
        <v>385845.1782</v>
      </c>
      <c r="J311" s="6">
        <f t="shared" si="6"/>
        <v>175480</v>
      </c>
      <c r="K311" s="6">
        <f t="shared" si="7"/>
        <v>805</v>
      </c>
      <c r="L311" s="6">
        <f t="shared" si="8"/>
        <v>0.15</v>
      </c>
    </row>
    <row r="312">
      <c r="A312" s="4" t="s">
        <v>870</v>
      </c>
      <c r="B312" s="4" t="s">
        <v>871</v>
      </c>
      <c r="C312" s="4" t="s">
        <v>872</v>
      </c>
      <c r="D312" s="5">
        <v>8946.0</v>
      </c>
      <c r="E312" s="6" t="str">
        <f t="shared" si="1"/>
        <v>C</v>
      </c>
      <c r="F312" s="6" t="str">
        <f t="shared" si="2"/>
        <v>Transformative change</v>
      </c>
      <c r="G312" s="6" t="str">
        <f t="shared" si="3"/>
        <v>Medium</v>
      </c>
      <c r="H312" s="6">
        <f t="shared" si="4"/>
        <v>1399722</v>
      </c>
      <c r="I312" s="6">
        <f t="shared" si="5"/>
        <v>725690.742</v>
      </c>
      <c r="J312" s="6">
        <f t="shared" si="6"/>
        <v>80514</v>
      </c>
      <c r="K312" s="6">
        <f t="shared" si="7"/>
        <v>856</v>
      </c>
      <c r="L312" s="6">
        <f t="shared" si="8"/>
        <v>0.11</v>
      </c>
    </row>
    <row r="313">
      <c r="A313" s="4" t="s">
        <v>873</v>
      </c>
      <c r="B313" s="4" t="s">
        <v>874</v>
      </c>
      <c r="C313" s="4" t="s">
        <v>875</v>
      </c>
      <c r="D313" s="5">
        <v>48467.0</v>
      </c>
      <c r="E313" s="6" t="str">
        <f t="shared" si="1"/>
        <v>B</v>
      </c>
      <c r="F313" s="6" t="str">
        <f t="shared" si="2"/>
        <v>Transformative change</v>
      </c>
      <c r="G313" s="6" t="str">
        <f t="shared" si="3"/>
        <v>Medium</v>
      </c>
      <c r="H313" s="6">
        <f t="shared" si="4"/>
        <v>3188156</v>
      </c>
      <c r="I313" s="6">
        <f t="shared" si="5"/>
        <v>2008464.678</v>
      </c>
      <c r="J313" s="6">
        <f t="shared" si="6"/>
        <v>678538</v>
      </c>
      <c r="K313" s="6">
        <f t="shared" si="7"/>
        <v>6168.53</v>
      </c>
      <c r="L313" s="6">
        <f t="shared" si="8"/>
        <v>0.1</v>
      </c>
    </row>
    <row r="314">
      <c r="A314" s="4" t="s">
        <v>876</v>
      </c>
      <c r="B314" s="4" t="s">
        <v>877</v>
      </c>
      <c r="C314" s="4" t="s">
        <v>878</v>
      </c>
      <c r="D314" s="5">
        <v>7293.0</v>
      </c>
      <c r="E314" s="6" t="str">
        <f t="shared" si="1"/>
        <v>F</v>
      </c>
      <c r="F314" s="6" t="str">
        <f t="shared" si="2"/>
        <v>Transformative change</v>
      </c>
      <c r="G314" s="6" t="str">
        <f t="shared" si="3"/>
        <v>Low</v>
      </c>
      <c r="H314" s="6">
        <f t="shared" si="4"/>
        <v>3616979</v>
      </c>
      <c r="I314" s="6">
        <f t="shared" si="5"/>
        <v>732042.0796</v>
      </c>
      <c r="J314" s="6">
        <f t="shared" si="6"/>
        <v>94809</v>
      </c>
      <c r="K314" s="6">
        <f t="shared" si="7"/>
        <v>989</v>
      </c>
      <c r="L314" s="6">
        <f t="shared" si="8"/>
        <v>0.18</v>
      </c>
    </row>
    <row r="315">
      <c r="A315" s="4" t="s">
        <v>879</v>
      </c>
      <c r="B315" s="4" t="s">
        <v>880</v>
      </c>
      <c r="C315" s="4" t="s">
        <v>881</v>
      </c>
      <c r="D315" s="5">
        <v>13356.0</v>
      </c>
      <c r="E315" s="6" t="str">
        <f t="shared" si="1"/>
        <v>C</v>
      </c>
      <c r="F315" s="6" t="str">
        <f t="shared" si="2"/>
        <v>Transformative change</v>
      </c>
      <c r="G315" s="6" t="str">
        <f t="shared" si="3"/>
        <v>High</v>
      </c>
      <c r="H315" s="6">
        <f t="shared" si="4"/>
        <v>2361629</v>
      </c>
      <c r="I315" s="6">
        <f t="shared" si="5"/>
        <v>985571.2686</v>
      </c>
      <c r="J315" s="6">
        <f t="shared" si="6"/>
        <v>146916</v>
      </c>
      <c r="K315" s="6">
        <f t="shared" si="7"/>
        <v>449.28</v>
      </c>
      <c r="L315" s="6">
        <f t="shared" si="8"/>
        <v>0.22</v>
      </c>
    </row>
    <row r="316">
      <c r="A316" s="4" t="s">
        <v>882</v>
      </c>
      <c r="B316" s="4" t="s">
        <v>883</v>
      </c>
      <c r="C316" s="4" t="s">
        <v>884</v>
      </c>
      <c r="D316" s="5">
        <v>9491.0</v>
      </c>
      <c r="E316" s="6" t="str">
        <f t="shared" si="1"/>
        <v>D</v>
      </c>
      <c r="F316" s="6" t="str">
        <f t="shared" si="2"/>
        <v>Transformative change</v>
      </c>
      <c r="G316" s="6" t="str">
        <f t="shared" si="3"/>
        <v>Low</v>
      </c>
      <c r="H316" s="6">
        <f t="shared" si="4"/>
        <v>675030</v>
      </c>
      <c r="I316" s="6">
        <f t="shared" si="5"/>
        <v>451918.88</v>
      </c>
      <c r="J316" s="6">
        <f t="shared" si="6"/>
        <v>37964</v>
      </c>
      <c r="K316" s="6">
        <f t="shared" si="7"/>
        <v>1000</v>
      </c>
      <c r="L316" s="6">
        <f t="shared" si="8"/>
        <v>0.14</v>
      </c>
    </row>
    <row r="317">
      <c r="A317" s="4" t="s">
        <v>885</v>
      </c>
      <c r="B317" s="4" t="s">
        <v>886</v>
      </c>
      <c r="C317" s="4" t="s">
        <v>74</v>
      </c>
      <c r="D317" s="5">
        <v>800980.0</v>
      </c>
      <c r="E317" s="6" t="str">
        <f t="shared" si="1"/>
        <v>F</v>
      </c>
      <c r="F317" s="6" t="str">
        <f t="shared" si="2"/>
        <v>Transformative change</v>
      </c>
      <c r="G317" s="6" t="str">
        <f t="shared" si="3"/>
        <v>Low</v>
      </c>
      <c r="H317" s="6">
        <f t="shared" si="4"/>
        <v>3383285</v>
      </c>
      <c r="I317" s="6">
        <f t="shared" si="5"/>
        <v>2103142.291</v>
      </c>
      <c r="J317" s="6">
        <f t="shared" si="6"/>
        <v>8009800</v>
      </c>
      <c r="K317" s="6">
        <f t="shared" si="7"/>
        <v>67879.66</v>
      </c>
      <c r="L317" s="6">
        <f t="shared" si="8"/>
        <v>0.25</v>
      </c>
    </row>
    <row r="318">
      <c r="A318" s="4" t="s">
        <v>887</v>
      </c>
      <c r="B318" s="4" t="s">
        <v>888</v>
      </c>
      <c r="C318" s="4" t="s">
        <v>74</v>
      </c>
      <c r="D318" s="5">
        <v>8680.0</v>
      </c>
      <c r="E318" s="6" t="str">
        <f t="shared" si="1"/>
        <v>A</v>
      </c>
      <c r="F318" s="6" t="str">
        <f t="shared" si="2"/>
        <v>Transformative change</v>
      </c>
      <c r="G318" s="6" t="str">
        <f t="shared" si="3"/>
        <v>High</v>
      </c>
      <c r="H318" s="6">
        <f t="shared" si="4"/>
        <v>3185344</v>
      </c>
      <c r="I318" s="6">
        <f t="shared" si="5"/>
        <v>648427.2447</v>
      </c>
      <c r="J318" s="6">
        <f t="shared" si="6"/>
        <v>86800</v>
      </c>
      <c r="K318" s="6">
        <f t="shared" si="7"/>
        <v>924</v>
      </c>
      <c r="L318" s="6">
        <f t="shared" si="8"/>
        <v>0.22</v>
      </c>
    </row>
    <row r="319">
      <c r="A319" s="4" t="s">
        <v>889</v>
      </c>
      <c r="B319" s="4" t="s">
        <v>890</v>
      </c>
      <c r="C319" s="4" t="s">
        <v>891</v>
      </c>
      <c r="D319" s="5">
        <v>6998.0</v>
      </c>
      <c r="E319" s="6" t="str">
        <f t="shared" si="1"/>
        <v>F</v>
      </c>
      <c r="F319" s="6" t="str">
        <f t="shared" si="2"/>
        <v>High ambition</v>
      </c>
      <c r="G319" s="6" t="str">
        <f t="shared" si="3"/>
        <v>Medium</v>
      </c>
      <c r="H319" s="6">
        <f t="shared" si="4"/>
        <v>2835894</v>
      </c>
      <c r="I319" s="6">
        <f t="shared" si="5"/>
        <v>698642.3612</v>
      </c>
      <c r="J319" s="6">
        <f t="shared" si="6"/>
        <v>83976</v>
      </c>
      <c r="K319" s="6">
        <f t="shared" si="7"/>
        <v>1001</v>
      </c>
      <c r="L319" s="6">
        <f t="shared" si="8"/>
        <v>0.03</v>
      </c>
    </row>
    <row r="320">
      <c r="A320" s="4" t="s">
        <v>892</v>
      </c>
      <c r="B320" s="4" t="s">
        <v>893</v>
      </c>
      <c r="C320" s="4" t="s">
        <v>394</v>
      </c>
      <c r="D320" s="5">
        <v>14338.0</v>
      </c>
      <c r="E320" s="6" t="str">
        <f t="shared" si="1"/>
        <v>B</v>
      </c>
      <c r="F320" s="6" t="str">
        <f t="shared" si="2"/>
        <v>High ambition</v>
      </c>
      <c r="G320" s="6" t="str">
        <f t="shared" si="3"/>
        <v>Low</v>
      </c>
      <c r="H320" s="6">
        <f t="shared" si="4"/>
        <v>1100675</v>
      </c>
      <c r="I320" s="6">
        <f t="shared" si="5"/>
        <v>763094.6054</v>
      </c>
      <c r="J320" s="6">
        <f t="shared" si="6"/>
        <v>57352</v>
      </c>
      <c r="K320" s="6">
        <f t="shared" si="7"/>
        <v>993</v>
      </c>
      <c r="L320" s="6">
        <f t="shared" si="8"/>
        <v>0.24</v>
      </c>
    </row>
    <row r="321">
      <c r="A321" s="4" t="s">
        <v>894</v>
      </c>
      <c r="B321" s="4" t="s">
        <v>895</v>
      </c>
      <c r="C321" s="4" t="s">
        <v>74</v>
      </c>
      <c r="D321" s="5">
        <v>19596.0</v>
      </c>
      <c r="E321" s="6" t="str">
        <f t="shared" si="1"/>
        <v>E</v>
      </c>
      <c r="F321" s="6" t="str">
        <f t="shared" si="2"/>
        <v>High ambition</v>
      </c>
      <c r="G321" s="6" t="str">
        <f t="shared" si="3"/>
        <v>Low</v>
      </c>
      <c r="H321" s="6">
        <f t="shared" si="4"/>
        <v>43442</v>
      </c>
      <c r="I321" s="6">
        <f t="shared" si="5"/>
        <v>25153.46857</v>
      </c>
      <c r="J321" s="6">
        <f t="shared" si="6"/>
        <v>176364</v>
      </c>
      <c r="K321" s="6">
        <f t="shared" si="7"/>
        <v>1023</v>
      </c>
      <c r="L321" s="6">
        <f t="shared" si="8"/>
        <v>0.3</v>
      </c>
    </row>
    <row r="322">
      <c r="A322" s="4" t="s">
        <v>896</v>
      </c>
      <c r="B322" s="4" t="s">
        <v>897</v>
      </c>
      <c r="C322" s="4" t="s">
        <v>898</v>
      </c>
      <c r="D322" s="5">
        <v>19349.0</v>
      </c>
      <c r="E322" s="6" t="str">
        <f t="shared" si="1"/>
        <v>C</v>
      </c>
      <c r="F322" s="6" t="str">
        <f t="shared" si="2"/>
        <v>High ambition</v>
      </c>
      <c r="G322" s="6" t="str">
        <f t="shared" si="3"/>
        <v>Low</v>
      </c>
      <c r="H322" s="6">
        <f t="shared" si="4"/>
        <v>1113796</v>
      </c>
      <c r="I322" s="6">
        <f t="shared" si="5"/>
        <v>242910.3277</v>
      </c>
      <c r="J322" s="6">
        <f t="shared" si="6"/>
        <v>96745</v>
      </c>
      <c r="K322" s="6">
        <f t="shared" si="7"/>
        <v>802</v>
      </c>
      <c r="L322" s="6">
        <f t="shared" si="8"/>
        <v>0.1</v>
      </c>
    </row>
    <row r="323">
      <c r="A323" s="4" t="s">
        <v>899</v>
      </c>
      <c r="B323" s="4" t="s">
        <v>900</v>
      </c>
      <c r="C323" s="4" t="s">
        <v>901</v>
      </c>
      <c r="D323" s="5">
        <v>215865.0</v>
      </c>
      <c r="E323" s="6" t="str">
        <f t="shared" si="1"/>
        <v>F</v>
      </c>
      <c r="F323" s="6" t="str">
        <f t="shared" si="2"/>
        <v>High ambition</v>
      </c>
      <c r="G323" s="6" t="str">
        <f t="shared" si="3"/>
        <v>Medium</v>
      </c>
      <c r="H323" s="6">
        <f t="shared" si="4"/>
        <v>2055095</v>
      </c>
      <c r="I323" s="6">
        <f t="shared" si="5"/>
        <v>605543.7937</v>
      </c>
      <c r="J323" s="6">
        <f t="shared" si="6"/>
        <v>1942785</v>
      </c>
      <c r="K323" s="6">
        <f t="shared" si="7"/>
        <v>14607.41</v>
      </c>
      <c r="L323" s="6">
        <f t="shared" si="8"/>
        <v>0.12</v>
      </c>
    </row>
    <row r="324">
      <c r="A324" s="4" t="s">
        <v>902</v>
      </c>
      <c r="B324" s="4" t="s">
        <v>903</v>
      </c>
      <c r="C324" s="4" t="s">
        <v>904</v>
      </c>
      <c r="D324" s="5">
        <v>7756.0</v>
      </c>
      <c r="E324" s="6" t="str">
        <f t="shared" si="1"/>
        <v>C</v>
      </c>
      <c r="F324" s="6" t="str">
        <f t="shared" si="2"/>
        <v>Transformative change</v>
      </c>
      <c r="G324" s="6" t="str">
        <f t="shared" si="3"/>
        <v>Medium</v>
      </c>
      <c r="H324" s="6">
        <f t="shared" si="4"/>
        <v>3681682</v>
      </c>
      <c r="I324" s="6">
        <f t="shared" si="5"/>
        <v>2924238.104</v>
      </c>
      <c r="J324" s="6">
        <f t="shared" si="6"/>
        <v>93072</v>
      </c>
      <c r="K324" s="6">
        <f t="shared" si="7"/>
        <v>836</v>
      </c>
      <c r="L324" s="6">
        <f t="shared" si="8"/>
        <v>0.3</v>
      </c>
    </row>
    <row r="325">
      <c r="A325" s="4" t="s">
        <v>905</v>
      </c>
      <c r="B325" s="4" t="s">
        <v>906</v>
      </c>
      <c r="C325" s="4" t="s">
        <v>653</v>
      </c>
      <c r="D325" s="5">
        <v>11168.0</v>
      </c>
      <c r="E325" s="6" t="str">
        <f t="shared" si="1"/>
        <v>C</v>
      </c>
      <c r="F325" s="6" t="str">
        <f t="shared" si="2"/>
        <v>Transformative change</v>
      </c>
      <c r="G325" s="6" t="str">
        <f t="shared" si="3"/>
        <v>Medium</v>
      </c>
      <c r="H325" s="6">
        <f t="shared" si="4"/>
        <v>924618</v>
      </c>
      <c r="I325" s="6">
        <f t="shared" si="5"/>
        <v>896519.4409</v>
      </c>
      <c r="J325" s="6">
        <f t="shared" si="6"/>
        <v>44672</v>
      </c>
      <c r="K325" s="6">
        <f t="shared" si="7"/>
        <v>804</v>
      </c>
      <c r="L325" s="6">
        <f t="shared" si="8"/>
        <v>0.22</v>
      </c>
    </row>
    <row r="326">
      <c r="A326" s="4" t="s">
        <v>907</v>
      </c>
      <c r="B326" s="4" t="s">
        <v>908</v>
      </c>
      <c r="C326" s="4" t="s">
        <v>909</v>
      </c>
      <c r="D326" s="5">
        <v>17413.0</v>
      </c>
      <c r="E326" s="6" t="str">
        <f t="shared" si="1"/>
        <v>D</v>
      </c>
      <c r="F326" s="6" t="str">
        <f t="shared" si="2"/>
        <v>Transformative change</v>
      </c>
      <c r="G326" s="6" t="str">
        <f t="shared" si="3"/>
        <v>Medium</v>
      </c>
      <c r="H326" s="6">
        <f t="shared" si="4"/>
        <v>855176</v>
      </c>
      <c r="I326" s="6">
        <f t="shared" si="5"/>
        <v>668159.0958</v>
      </c>
      <c r="J326" s="6">
        <f t="shared" si="6"/>
        <v>226369</v>
      </c>
      <c r="K326" s="6">
        <f t="shared" si="7"/>
        <v>808</v>
      </c>
      <c r="L326" s="6">
        <f t="shared" si="8"/>
        <v>0.29</v>
      </c>
    </row>
    <row r="327">
      <c r="A327" s="4" t="s">
        <v>910</v>
      </c>
      <c r="B327" s="4" t="s">
        <v>911</v>
      </c>
      <c r="C327" s="4" t="s">
        <v>912</v>
      </c>
      <c r="D327" s="5">
        <v>15262.0</v>
      </c>
      <c r="E327" s="6" t="str">
        <f t="shared" si="1"/>
        <v>F</v>
      </c>
      <c r="F327" s="6" t="str">
        <f t="shared" si="2"/>
        <v>Transformative change</v>
      </c>
      <c r="G327" s="6" t="str">
        <f t="shared" si="3"/>
        <v>Low</v>
      </c>
      <c r="H327" s="6">
        <f t="shared" si="4"/>
        <v>505279</v>
      </c>
      <c r="I327" s="6">
        <f t="shared" si="5"/>
        <v>255333.527</v>
      </c>
      <c r="J327" s="6">
        <f t="shared" si="6"/>
        <v>61048</v>
      </c>
      <c r="K327" s="6">
        <f t="shared" si="7"/>
        <v>1047</v>
      </c>
      <c r="L327" s="6">
        <f t="shared" si="8"/>
        <v>0.13</v>
      </c>
    </row>
    <row r="328">
      <c r="A328" s="4" t="s">
        <v>913</v>
      </c>
      <c r="B328" s="4" t="s">
        <v>914</v>
      </c>
      <c r="C328" s="4" t="s">
        <v>915</v>
      </c>
      <c r="D328" s="5">
        <v>12591.0</v>
      </c>
      <c r="E328" s="6" t="str">
        <f t="shared" si="1"/>
        <v>C</v>
      </c>
      <c r="F328" s="6" t="str">
        <f t="shared" si="2"/>
        <v>Transformative change</v>
      </c>
      <c r="G328" s="6" t="str">
        <f t="shared" si="3"/>
        <v>Medium</v>
      </c>
      <c r="H328" s="6">
        <f t="shared" si="4"/>
        <v>854124</v>
      </c>
      <c r="I328" s="6">
        <f t="shared" si="5"/>
        <v>382930.2694</v>
      </c>
      <c r="J328" s="6">
        <f t="shared" si="6"/>
        <v>188865</v>
      </c>
      <c r="K328" s="6">
        <f t="shared" si="7"/>
        <v>966</v>
      </c>
      <c r="L328" s="6">
        <f t="shared" si="8"/>
        <v>0.2</v>
      </c>
    </row>
    <row r="329">
      <c r="A329" s="4" t="s">
        <v>916</v>
      </c>
      <c r="B329" s="4" t="s">
        <v>917</v>
      </c>
      <c r="C329" s="4" t="s">
        <v>918</v>
      </c>
      <c r="D329" s="5">
        <v>18699.0</v>
      </c>
      <c r="E329" s="6" t="str">
        <f t="shared" si="1"/>
        <v>A</v>
      </c>
      <c r="F329" s="6" t="str">
        <f t="shared" si="2"/>
        <v>High ambition</v>
      </c>
      <c r="G329" s="6" t="str">
        <f t="shared" si="3"/>
        <v>Low</v>
      </c>
      <c r="H329" s="6">
        <f t="shared" si="4"/>
        <v>3660210</v>
      </c>
      <c r="I329" s="6">
        <f t="shared" si="5"/>
        <v>3522623.133</v>
      </c>
      <c r="J329" s="6">
        <f t="shared" si="6"/>
        <v>130893</v>
      </c>
      <c r="K329" s="6">
        <f t="shared" si="7"/>
        <v>895</v>
      </c>
      <c r="L329" s="6">
        <f t="shared" si="8"/>
        <v>0.14</v>
      </c>
    </row>
    <row r="330">
      <c r="A330" s="4" t="s">
        <v>919</v>
      </c>
      <c r="B330" s="4" t="s">
        <v>920</v>
      </c>
      <c r="C330" s="4" t="s">
        <v>921</v>
      </c>
      <c r="D330" s="5">
        <v>15184.0</v>
      </c>
      <c r="E330" s="6" t="str">
        <f t="shared" si="1"/>
        <v>C</v>
      </c>
      <c r="F330" s="6" t="str">
        <f t="shared" si="2"/>
        <v>Transformative change</v>
      </c>
      <c r="G330" s="6" t="str">
        <f t="shared" si="3"/>
        <v>High</v>
      </c>
      <c r="H330" s="6">
        <f t="shared" si="4"/>
        <v>2167968</v>
      </c>
      <c r="I330" s="6">
        <f t="shared" si="5"/>
        <v>434968.9353</v>
      </c>
      <c r="J330" s="6">
        <f t="shared" si="6"/>
        <v>121472</v>
      </c>
      <c r="K330" s="6">
        <f t="shared" si="7"/>
        <v>807</v>
      </c>
      <c r="L330" s="6">
        <f t="shared" si="8"/>
        <v>0.18</v>
      </c>
    </row>
    <row r="331">
      <c r="A331" s="4" t="s">
        <v>922</v>
      </c>
      <c r="B331" s="4" t="s">
        <v>923</v>
      </c>
      <c r="C331" s="4" t="s">
        <v>924</v>
      </c>
      <c r="D331" s="5">
        <v>14547.0</v>
      </c>
      <c r="E331" s="6" t="str">
        <f t="shared" si="1"/>
        <v>B</v>
      </c>
      <c r="F331" s="6" t="str">
        <f t="shared" si="2"/>
        <v>Transformative change</v>
      </c>
      <c r="G331" s="6" t="str">
        <f t="shared" si="3"/>
        <v>Low</v>
      </c>
      <c r="H331" s="6">
        <f t="shared" si="4"/>
        <v>1468241</v>
      </c>
      <c r="I331" s="6">
        <f t="shared" si="5"/>
        <v>447444.1817</v>
      </c>
      <c r="J331" s="6">
        <f t="shared" si="6"/>
        <v>72735</v>
      </c>
      <c r="K331" s="6">
        <f t="shared" si="7"/>
        <v>203.17</v>
      </c>
      <c r="L331" s="6">
        <f t="shared" si="8"/>
        <v>0.19</v>
      </c>
    </row>
    <row r="332">
      <c r="A332" s="4" t="s">
        <v>925</v>
      </c>
      <c r="B332" s="4" t="s">
        <v>926</v>
      </c>
      <c r="C332" s="4" t="s">
        <v>927</v>
      </c>
      <c r="D332" s="5">
        <v>14353.0</v>
      </c>
      <c r="E332" s="6" t="str">
        <f t="shared" si="1"/>
        <v>A</v>
      </c>
      <c r="F332" s="6" t="str">
        <f t="shared" si="2"/>
        <v>Transformative change</v>
      </c>
      <c r="G332" s="6" t="str">
        <f t="shared" si="3"/>
        <v>Low</v>
      </c>
      <c r="H332" s="6">
        <f t="shared" si="4"/>
        <v>2321814</v>
      </c>
      <c r="I332" s="6">
        <f t="shared" si="5"/>
        <v>2244003.068</v>
      </c>
      <c r="J332" s="6">
        <f t="shared" si="6"/>
        <v>100471</v>
      </c>
      <c r="K332" s="6">
        <f t="shared" si="7"/>
        <v>1068</v>
      </c>
      <c r="L332" s="6">
        <f t="shared" si="8"/>
        <v>0.05</v>
      </c>
    </row>
    <row r="333">
      <c r="A333" s="4" t="s">
        <v>928</v>
      </c>
      <c r="B333" s="4" t="s">
        <v>929</v>
      </c>
      <c r="C333" s="4" t="s">
        <v>930</v>
      </c>
      <c r="D333" s="5">
        <v>15291.0</v>
      </c>
      <c r="E333" s="6" t="str">
        <f t="shared" si="1"/>
        <v>A</v>
      </c>
      <c r="F333" s="6" t="str">
        <f t="shared" si="2"/>
        <v>Transformative change</v>
      </c>
      <c r="G333" s="6" t="str">
        <f t="shared" si="3"/>
        <v>High</v>
      </c>
      <c r="H333" s="6">
        <f t="shared" si="4"/>
        <v>2045206</v>
      </c>
      <c r="I333" s="6">
        <f t="shared" si="5"/>
        <v>1132815.133</v>
      </c>
      <c r="J333" s="6">
        <f t="shared" si="6"/>
        <v>122328</v>
      </c>
      <c r="K333" s="6">
        <f t="shared" si="7"/>
        <v>1088</v>
      </c>
      <c r="L333" s="6">
        <f t="shared" si="8"/>
        <v>0.16</v>
      </c>
    </row>
    <row r="334">
      <c r="A334" s="4" t="s">
        <v>439</v>
      </c>
      <c r="B334" s="4" t="s">
        <v>931</v>
      </c>
      <c r="C334" s="4" t="s">
        <v>932</v>
      </c>
      <c r="D334" s="5">
        <v>19407.0</v>
      </c>
      <c r="E334" s="6" t="str">
        <f t="shared" si="1"/>
        <v>B</v>
      </c>
      <c r="F334" s="6" t="str">
        <f t="shared" si="2"/>
        <v>High ambition</v>
      </c>
      <c r="G334" s="6" t="str">
        <f t="shared" si="3"/>
        <v>Low</v>
      </c>
      <c r="H334" s="6">
        <f t="shared" si="4"/>
        <v>3687975</v>
      </c>
      <c r="I334" s="6">
        <f t="shared" si="5"/>
        <v>899919.9433</v>
      </c>
      <c r="J334" s="6">
        <f t="shared" si="6"/>
        <v>97035</v>
      </c>
      <c r="K334" s="6">
        <f t="shared" si="7"/>
        <v>1006</v>
      </c>
      <c r="L334" s="6">
        <f t="shared" si="8"/>
        <v>0.26</v>
      </c>
    </row>
    <row r="335">
      <c r="A335" s="4" t="s">
        <v>933</v>
      </c>
      <c r="B335" s="4" t="s">
        <v>934</v>
      </c>
      <c r="C335" s="4" t="s">
        <v>935</v>
      </c>
      <c r="D335" s="5">
        <v>16676.0</v>
      </c>
      <c r="E335" s="6" t="str">
        <f t="shared" si="1"/>
        <v>F</v>
      </c>
      <c r="F335" s="6" t="str">
        <f t="shared" si="2"/>
        <v>Transformative change</v>
      </c>
      <c r="G335" s="6" t="str">
        <f t="shared" si="3"/>
        <v>Medium</v>
      </c>
      <c r="H335" s="6">
        <f t="shared" si="4"/>
        <v>1960709</v>
      </c>
      <c r="I335" s="6">
        <f t="shared" si="5"/>
        <v>1673449.582</v>
      </c>
      <c r="J335" s="6">
        <f t="shared" si="6"/>
        <v>133408</v>
      </c>
      <c r="K335" s="6">
        <f t="shared" si="7"/>
        <v>1048</v>
      </c>
      <c r="L335" s="6">
        <f t="shared" si="8"/>
        <v>0.01</v>
      </c>
    </row>
    <row r="336">
      <c r="A336" s="4" t="s">
        <v>936</v>
      </c>
      <c r="B336" s="4" t="s">
        <v>937</v>
      </c>
      <c r="C336" s="4" t="s">
        <v>938</v>
      </c>
      <c r="D336" s="5">
        <v>11589.0</v>
      </c>
      <c r="E336" s="6" t="str">
        <f t="shared" si="1"/>
        <v>G</v>
      </c>
      <c r="F336" s="6" t="str">
        <f t="shared" si="2"/>
        <v>Transformative change</v>
      </c>
      <c r="G336" s="6" t="str">
        <f t="shared" si="3"/>
        <v>Medium</v>
      </c>
      <c r="H336" s="6">
        <f t="shared" si="4"/>
        <v>2482970</v>
      </c>
      <c r="I336" s="6">
        <f t="shared" si="5"/>
        <v>765414.0789</v>
      </c>
      <c r="J336" s="6">
        <f t="shared" si="6"/>
        <v>92712</v>
      </c>
      <c r="K336" s="6">
        <f t="shared" si="7"/>
        <v>1072</v>
      </c>
      <c r="L336" s="6">
        <f t="shared" si="8"/>
        <v>0.24</v>
      </c>
    </row>
    <row r="337">
      <c r="A337" s="4" t="s">
        <v>939</v>
      </c>
      <c r="B337" s="4" t="s">
        <v>940</v>
      </c>
      <c r="C337" s="4" t="s">
        <v>726</v>
      </c>
      <c r="D337" s="5">
        <v>80199.0</v>
      </c>
      <c r="E337" s="6" t="str">
        <f t="shared" si="1"/>
        <v>G</v>
      </c>
      <c r="F337" s="6" t="str">
        <f t="shared" si="2"/>
        <v>Transformative change</v>
      </c>
      <c r="G337" s="6" t="str">
        <f t="shared" si="3"/>
        <v>Low</v>
      </c>
      <c r="H337" s="6">
        <f t="shared" si="4"/>
        <v>1230366</v>
      </c>
      <c r="I337" s="6">
        <f t="shared" si="5"/>
        <v>1161448.026</v>
      </c>
      <c r="J337" s="6">
        <f t="shared" si="6"/>
        <v>962388</v>
      </c>
      <c r="K337" s="6">
        <f t="shared" si="7"/>
        <v>3461.83</v>
      </c>
      <c r="L337" s="6">
        <f t="shared" si="8"/>
        <v>0.09</v>
      </c>
    </row>
    <row r="338">
      <c r="A338" s="4" t="s">
        <v>941</v>
      </c>
      <c r="B338" s="4" t="s">
        <v>942</v>
      </c>
      <c r="C338" s="4" t="s">
        <v>943</v>
      </c>
      <c r="D338" s="5">
        <v>13199.0</v>
      </c>
      <c r="E338" s="6" t="str">
        <f t="shared" si="1"/>
        <v>A</v>
      </c>
      <c r="F338" s="6" t="str">
        <f t="shared" si="2"/>
        <v>Transformative change</v>
      </c>
      <c r="G338" s="6" t="str">
        <f t="shared" si="3"/>
        <v>Low</v>
      </c>
      <c r="H338" s="6">
        <f t="shared" si="4"/>
        <v>2530003</v>
      </c>
      <c r="I338" s="6">
        <f t="shared" si="5"/>
        <v>198423.9771</v>
      </c>
      <c r="J338" s="6">
        <f t="shared" si="6"/>
        <v>145189</v>
      </c>
      <c r="K338" s="6">
        <f t="shared" si="7"/>
        <v>875</v>
      </c>
      <c r="L338" s="6">
        <f t="shared" si="8"/>
        <v>0.17</v>
      </c>
    </row>
    <row r="339">
      <c r="A339" s="4" t="s">
        <v>230</v>
      </c>
      <c r="B339" s="4" t="s">
        <v>944</v>
      </c>
      <c r="C339" s="4" t="s">
        <v>945</v>
      </c>
      <c r="D339" s="5">
        <v>11555.0</v>
      </c>
      <c r="E339" s="6" t="str">
        <f t="shared" si="1"/>
        <v>D</v>
      </c>
      <c r="F339" s="6" t="str">
        <f t="shared" si="2"/>
        <v>Transformative change</v>
      </c>
      <c r="G339" s="6" t="str">
        <f t="shared" si="3"/>
        <v>Medium</v>
      </c>
      <c r="H339" s="6">
        <f t="shared" si="4"/>
        <v>503516</v>
      </c>
      <c r="I339" s="6">
        <f t="shared" si="5"/>
        <v>275600.7359</v>
      </c>
      <c r="J339" s="6">
        <f t="shared" si="6"/>
        <v>57775</v>
      </c>
      <c r="K339" s="6">
        <f t="shared" si="7"/>
        <v>852</v>
      </c>
      <c r="L339" s="6">
        <f t="shared" si="8"/>
        <v>0.28</v>
      </c>
    </row>
    <row r="340">
      <c r="A340" s="4" t="s">
        <v>946</v>
      </c>
      <c r="B340" s="4" t="s">
        <v>947</v>
      </c>
      <c r="C340" s="4" t="s">
        <v>948</v>
      </c>
      <c r="D340" s="5">
        <v>16092.0</v>
      </c>
      <c r="E340" s="6" t="str">
        <f t="shared" si="1"/>
        <v>F</v>
      </c>
      <c r="F340" s="6" t="str">
        <f t="shared" si="2"/>
        <v>High ambition</v>
      </c>
      <c r="G340" s="6" t="str">
        <f t="shared" si="3"/>
        <v>Low</v>
      </c>
      <c r="H340" s="6">
        <f t="shared" si="4"/>
        <v>326904</v>
      </c>
      <c r="I340" s="6">
        <f t="shared" si="5"/>
        <v>47468.61221</v>
      </c>
      <c r="J340" s="6">
        <f t="shared" si="6"/>
        <v>160920</v>
      </c>
      <c r="K340" s="6">
        <f t="shared" si="7"/>
        <v>1021</v>
      </c>
      <c r="L340" s="6">
        <f t="shared" si="8"/>
        <v>0.19</v>
      </c>
    </row>
    <row r="341">
      <c r="A341" s="4" t="s">
        <v>949</v>
      </c>
      <c r="B341" s="4" t="s">
        <v>950</v>
      </c>
      <c r="C341" s="4" t="s">
        <v>74</v>
      </c>
      <c r="D341" s="5">
        <v>346771.0</v>
      </c>
      <c r="E341" s="6" t="str">
        <f t="shared" si="1"/>
        <v>F</v>
      </c>
      <c r="F341" s="6" t="str">
        <f t="shared" si="2"/>
        <v>Transformative change</v>
      </c>
      <c r="G341" s="6" t="str">
        <f t="shared" si="3"/>
        <v>Medium</v>
      </c>
      <c r="H341" s="6">
        <f t="shared" si="4"/>
        <v>2226396</v>
      </c>
      <c r="I341" s="6">
        <f t="shared" si="5"/>
        <v>360867.4083</v>
      </c>
      <c r="J341" s="6">
        <f t="shared" si="6"/>
        <v>2427397</v>
      </c>
      <c r="K341" s="6">
        <f t="shared" si="7"/>
        <v>20746.98</v>
      </c>
      <c r="L341" s="6">
        <f t="shared" si="8"/>
        <v>0.22</v>
      </c>
    </row>
    <row r="342">
      <c r="A342" s="4" t="s">
        <v>951</v>
      </c>
      <c r="B342" s="4" t="s">
        <v>952</v>
      </c>
      <c r="C342" s="4" t="s">
        <v>953</v>
      </c>
      <c r="D342" s="5">
        <v>9210.0</v>
      </c>
      <c r="E342" s="6" t="str">
        <f t="shared" si="1"/>
        <v>C</v>
      </c>
      <c r="F342" s="6" t="str">
        <f t="shared" si="2"/>
        <v>Transformative change</v>
      </c>
      <c r="G342" s="6" t="str">
        <f t="shared" si="3"/>
        <v>High</v>
      </c>
      <c r="H342" s="6">
        <f t="shared" si="4"/>
        <v>2799543</v>
      </c>
      <c r="I342" s="6">
        <f t="shared" si="5"/>
        <v>1283167.618</v>
      </c>
      <c r="J342" s="6">
        <f t="shared" si="6"/>
        <v>46050</v>
      </c>
      <c r="K342" s="6">
        <f t="shared" si="7"/>
        <v>860</v>
      </c>
      <c r="L342" s="6">
        <f t="shared" si="8"/>
        <v>0.02</v>
      </c>
    </row>
    <row r="343">
      <c r="A343" s="4" t="s">
        <v>954</v>
      </c>
      <c r="B343" s="4" t="s">
        <v>955</v>
      </c>
      <c r="C343" s="4" t="s">
        <v>956</v>
      </c>
      <c r="D343" s="5">
        <v>13783.0</v>
      </c>
      <c r="E343" s="6" t="str">
        <f t="shared" si="1"/>
        <v>D</v>
      </c>
      <c r="F343" s="6" t="str">
        <f t="shared" si="2"/>
        <v>Transformative change</v>
      </c>
      <c r="G343" s="6" t="str">
        <f t="shared" si="3"/>
        <v>High</v>
      </c>
      <c r="H343" s="6">
        <f t="shared" si="4"/>
        <v>1920787</v>
      </c>
      <c r="I343" s="6">
        <f t="shared" si="5"/>
        <v>1475738.572</v>
      </c>
      <c r="J343" s="6">
        <f t="shared" si="6"/>
        <v>206745</v>
      </c>
      <c r="K343" s="6">
        <f t="shared" si="7"/>
        <v>1117.54</v>
      </c>
      <c r="L343" s="6">
        <f t="shared" si="8"/>
        <v>0.01</v>
      </c>
    </row>
    <row r="344">
      <c r="A344" s="4" t="s">
        <v>957</v>
      </c>
      <c r="B344" s="4" t="s">
        <v>958</v>
      </c>
      <c r="C344" s="4" t="s">
        <v>959</v>
      </c>
      <c r="D344" s="5">
        <v>11900.0</v>
      </c>
      <c r="E344" s="6" t="str">
        <f t="shared" si="1"/>
        <v>A</v>
      </c>
      <c r="F344" s="6" t="str">
        <f t="shared" si="2"/>
        <v>Transformative change</v>
      </c>
      <c r="G344" s="6" t="str">
        <f t="shared" si="3"/>
        <v>Low</v>
      </c>
      <c r="H344" s="6">
        <f t="shared" si="4"/>
        <v>520703</v>
      </c>
      <c r="I344" s="6">
        <f t="shared" si="5"/>
        <v>90777.38093</v>
      </c>
      <c r="J344" s="6">
        <f t="shared" si="6"/>
        <v>166600</v>
      </c>
      <c r="K344" s="6">
        <f t="shared" si="7"/>
        <v>588.69</v>
      </c>
      <c r="L344" s="6">
        <f t="shared" si="8"/>
        <v>0.22</v>
      </c>
    </row>
    <row r="345">
      <c r="A345" s="4" t="s">
        <v>960</v>
      </c>
      <c r="B345" s="4" t="s">
        <v>961</v>
      </c>
      <c r="C345" s="4" t="s">
        <v>670</v>
      </c>
      <c r="D345" s="5">
        <v>27144.0</v>
      </c>
      <c r="E345" s="6" t="str">
        <f t="shared" si="1"/>
        <v>A</v>
      </c>
      <c r="F345" s="6" t="str">
        <f t="shared" si="2"/>
        <v>Transformative change</v>
      </c>
      <c r="G345" s="6" t="str">
        <f t="shared" si="3"/>
        <v>Low</v>
      </c>
      <c r="H345" s="6">
        <f t="shared" si="4"/>
        <v>3238133</v>
      </c>
      <c r="I345" s="6">
        <f t="shared" si="5"/>
        <v>3053521.998</v>
      </c>
      <c r="J345" s="6">
        <f t="shared" si="6"/>
        <v>380016</v>
      </c>
      <c r="K345" s="6">
        <f t="shared" si="7"/>
        <v>912</v>
      </c>
      <c r="L345" s="6">
        <f t="shared" si="8"/>
        <v>0.14</v>
      </c>
    </row>
    <row r="346">
      <c r="A346" s="4" t="s">
        <v>962</v>
      </c>
      <c r="B346" s="4" t="s">
        <v>963</v>
      </c>
      <c r="C346" s="4" t="s">
        <v>726</v>
      </c>
      <c r="D346" s="5">
        <v>13039.0</v>
      </c>
      <c r="E346" s="6" t="str">
        <f t="shared" si="1"/>
        <v>A</v>
      </c>
      <c r="F346" s="6" t="str">
        <f t="shared" si="2"/>
        <v>High ambition</v>
      </c>
      <c r="G346" s="6" t="str">
        <f t="shared" si="3"/>
        <v>Medium</v>
      </c>
      <c r="H346" s="6">
        <f t="shared" si="4"/>
        <v>1334442</v>
      </c>
      <c r="I346" s="6">
        <f t="shared" si="5"/>
        <v>219147.6271</v>
      </c>
      <c r="J346" s="6">
        <f t="shared" si="6"/>
        <v>52156</v>
      </c>
      <c r="K346" s="6">
        <f t="shared" si="7"/>
        <v>857</v>
      </c>
      <c r="L346" s="6">
        <f t="shared" si="8"/>
        <v>0.25</v>
      </c>
    </row>
    <row r="347">
      <c r="A347" s="4" t="s">
        <v>964</v>
      </c>
      <c r="B347" s="4" t="s">
        <v>965</v>
      </c>
      <c r="C347" s="4" t="s">
        <v>966</v>
      </c>
      <c r="D347" s="5">
        <v>72325.0</v>
      </c>
      <c r="E347" s="6" t="str">
        <f t="shared" si="1"/>
        <v>B</v>
      </c>
      <c r="F347" s="6" t="str">
        <f t="shared" si="2"/>
        <v>Transformative change</v>
      </c>
      <c r="G347" s="6" t="str">
        <f t="shared" si="3"/>
        <v>High</v>
      </c>
      <c r="H347" s="6">
        <f t="shared" si="4"/>
        <v>3329116</v>
      </c>
      <c r="I347" s="6">
        <f t="shared" si="5"/>
        <v>2947787.504</v>
      </c>
      <c r="J347" s="6">
        <f t="shared" si="6"/>
        <v>289300</v>
      </c>
      <c r="K347" s="6">
        <f t="shared" si="7"/>
        <v>10332.14</v>
      </c>
      <c r="L347" s="6">
        <f t="shared" si="8"/>
        <v>0.03</v>
      </c>
    </row>
    <row r="348">
      <c r="A348" s="4" t="s">
        <v>967</v>
      </c>
      <c r="B348" s="4" t="s">
        <v>968</v>
      </c>
      <c r="C348" s="4" t="s">
        <v>969</v>
      </c>
      <c r="D348" s="5">
        <v>18729.0</v>
      </c>
      <c r="E348" s="6" t="str">
        <f t="shared" si="1"/>
        <v>F</v>
      </c>
      <c r="F348" s="6" t="str">
        <f t="shared" si="2"/>
        <v>Transformative change</v>
      </c>
      <c r="G348" s="6" t="str">
        <f t="shared" si="3"/>
        <v>High</v>
      </c>
      <c r="H348" s="6">
        <f t="shared" si="4"/>
        <v>3605901</v>
      </c>
      <c r="I348" s="6">
        <f t="shared" si="5"/>
        <v>2457937.115</v>
      </c>
      <c r="J348" s="6">
        <f t="shared" si="6"/>
        <v>93645</v>
      </c>
      <c r="K348" s="6">
        <f t="shared" si="7"/>
        <v>890</v>
      </c>
      <c r="L348" s="6">
        <f t="shared" si="8"/>
        <v>0.13</v>
      </c>
    </row>
    <row r="349">
      <c r="A349" s="4" t="s">
        <v>970</v>
      </c>
      <c r="B349" s="4" t="s">
        <v>971</v>
      </c>
      <c r="C349" s="4" t="s">
        <v>972</v>
      </c>
      <c r="D349" s="5">
        <v>16749.0</v>
      </c>
      <c r="E349" s="6" t="str">
        <f t="shared" si="1"/>
        <v>B</v>
      </c>
      <c r="F349" s="6" t="str">
        <f t="shared" si="2"/>
        <v>Transformative change</v>
      </c>
      <c r="G349" s="6" t="str">
        <f t="shared" si="3"/>
        <v>High</v>
      </c>
      <c r="H349" s="6">
        <f t="shared" si="4"/>
        <v>1988720</v>
      </c>
      <c r="I349" s="6">
        <f t="shared" si="5"/>
        <v>1696154.898</v>
      </c>
      <c r="J349" s="6">
        <f t="shared" si="6"/>
        <v>66996</v>
      </c>
      <c r="K349" s="6">
        <f t="shared" si="7"/>
        <v>1035</v>
      </c>
      <c r="L349" s="6">
        <f t="shared" si="8"/>
        <v>0.03</v>
      </c>
    </row>
    <row r="350">
      <c r="A350" s="4" t="s">
        <v>973</v>
      </c>
      <c r="B350" s="4" t="s">
        <v>974</v>
      </c>
      <c r="C350" s="4" t="s">
        <v>975</v>
      </c>
      <c r="D350" s="5">
        <v>9477.0</v>
      </c>
      <c r="E350" s="6" t="str">
        <f t="shared" si="1"/>
        <v>A</v>
      </c>
      <c r="F350" s="6" t="str">
        <f t="shared" si="2"/>
        <v>Transformative change</v>
      </c>
      <c r="G350" s="6" t="str">
        <f t="shared" si="3"/>
        <v>Low</v>
      </c>
      <c r="H350" s="6">
        <f t="shared" si="4"/>
        <v>2156593</v>
      </c>
      <c r="I350" s="6">
        <f t="shared" si="5"/>
        <v>1490103.542</v>
      </c>
      <c r="J350" s="6">
        <f t="shared" si="6"/>
        <v>142155</v>
      </c>
      <c r="K350" s="6">
        <f t="shared" si="7"/>
        <v>866</v>
      </c>
      <c r="L350" s="6">
        <f t="shared" si="8"/>
        <v>0.16</v>
      </c>
    </row>
    <row r="351">
      <c r="A351" s="4" t="s">
        <v>976</v>
      </c>
      <c r="B351" s="4" t="s">
        <v>977</v>
      </c>
      <c r="C351" s="4" t="s">
        <v>978</v>
      </c>
      <c r="D351" s="5">
        <v>450093.0</v>
      </c>
      <c r="E351" s="6" t="str">
        <f t="shared" si="1"/>
        <v>B</v>
      </c>
      <c r="F351" s="6" t="str">
        <f t="shared" si="2"/>
        <v>Transformative change</v>
      </c>
      <c r="G351" s="6" t="str">
        <f t="shared" si="3"/>
        <v>Medium</v>
      </c>
      <c r="H351" s="6">
        <f t="shared" si="4"/>
        <v>916744</v>
      </c>
      <c r="I351" s="6">
        <f t="shared" si="5"/>
        <v>463948.461</v>
      </c>
      <c r="J351" s="6">
        <f t="shared" si="6"/>
        <v>4500930</v>
      </c>
      <c r="K351" s="6">
        <f t="shared" si="7"/>
        <v>19654.72</v>
      </c>
      <c r="L351" s="6">
        <f t="shared" si="8"/>
        <v>0.29</v>
      </c>
    </row>
    <row r="352">
      <c r="A352" s="4" t="s">
        <v>979</v>
      </c>
      <c r="B352" s="4" t="s">
        <v>980</v>
      </c>
      <c r="C352" s="4" t="s">
        <v>74</v>
      </c>
      <c r="D352" s="5">
        <v>41950.0</v>
      </c>
      <c r="E352" s="6" t="str">
        <f t="shared" si="1"/>
        <v>C</v>
      </c>
      <c r="F352" s="6" t="str">
        <f t="shared" si="2"/>
        <v>Transformative change</v>
      </c>
      <c r="G352" s="6" t="str">
        <f t="shared" si="3"/>
        <v>Low</v>
      </c>
      <c r="H352" s="6">
        <f t="shared" si="4"/>
        <v>1145162</v>
      </c>
      <c r="I352" s="6">
        <f t="shared" si="5"/>
        <v>407167.6375</v>
      </c>
      <c r="J352" s="6">
        <f t="shared" si="6"/>
        <v>419500</v>
      </c>
      <c r="K352" s="6">
        <f t="shared" si="7"/>
        <v>1565.3</v>
      </c>
      <c r="L352" s="6">
        <f t="shared" si="8"/>
        <v>0.28</v>
      </c>
    </row>
    <row r="353">
      <c r="A353" s="4" t="s">
        <v>981</v>
      </c>
      <c r="B353" s="4" t="s">
        <v>982</v>
      </c>
      <c r="C353" s="4" t="s">
        <v>983</v>
      </c>
      <c r="D353" s="5">
        <v>17080.0</v>
      </c>
      <c r="E353" s="6" t="str">
        <f t="shared" si="1"/>
        <v>F</v>
      </c>
      <c r="F353" s="6" t="str">
        <f t="shared" si="2"/>
        <v>Transformative change</v>
      </c>
      <c r="G353" s="6" t="str">
        <f t="shared" si="3"/>
        <v>High</v>
      </c>
      <c r="H353" s="6">
        <f t="shared" si="4"/>
        <v>2993793</v>
      </c>
      <c r="I353" s="6">
        <f t="shared" si="5"/>
        <v>1991916.791</v>
      </c>
      <c r="J353" s="6">
        <f t="shared" si="6"/>
        <v>222040</v>
      </c>
      <c r="K353" s="6">
        <f t="shared" si="7"/>
        <v>979</v>
      </c>
      <c r="L353" s="6">
        <f t="shared" si="8"/>
        <v>0.26</v>
      </c>
    </row>
    <row r="354">
      <c r="A354" s="4" t="s">
        <v>984</v>
      </c>
      <c r="B354" s="4" t="s">
        <v>985</v>
      </c>
      <c r="C354" s="4" t="s">
        <v>986</v>
      </c>
      <c r="D354" s="5">
        <v>11031.0</v>
      </c>
      <c r="E354" s="6" t="str">
        <f t="shared" si="1"/>
        <v>B</v>
      </c>
      <c r="F354" s="6" t="str">
        <f t="shared" si="2"/>
        <v>High ambition</v>
      </c>
      <c r="G354" s="6" t="str">
        <f t="shared" si="3"/>
        <v>Low</v>
      </c>
      <c r="H354" s="6">
        <f t="shared" si="4"/>
        <v>233605</v>
      </c>
      <c r="I354" s="6">
        <f t="shared" si="5"/>
        <v>43534.67886</v>
      </c>
      <c r="J354" s="6">
        <f t="shared" si="6"/>
        <v>88248</v>
      </c>
      <c r="K354" s="6">
        <f t="shared" si="7"/>
        <v>821</v>
      </c>
      <c r="L354" s="6">
        <f t="shared" si="8"/>
        <v>0.24</v>
      </c>
    </row>
    <row r="355">
      <c r="A355" s="4" t="s">
        <v>987</v>
      </c>
      <c r="B355" s="4" t="s">
        <v>988</v>
      </c>
      <c r="C355" s="4" t="s">
        <v>989</v>
      </c>
      <c r="D355" s="5">
        <v>13023.0</v>
      </c>
      <c r="E355" s="6" t="str">
        <f t="shared" si="1"/>
        <v>A</v>
      </c>
      <c r="F355" s="6" t="str">
        <f t="shared" si="2"/>
        <v>Transformative change</v>
      </c>
      <c r="G355" s="6" t="str">
        <f t="shared" si="3"/>
        <v>High</v>
      </c>
      <c r="H355" s="6">
        <f t="shared" si="4"/>
        <v>1672740</v>
      </c>
      <c r="I355" s="6">
        <f t="shared" si="5"/>
        <v>1633505.444</v>
      </c>
      <c r="J355" s="6">
        <f t="shared" si="6"/>
        <v>182322</v>
      </c>
      <c r="K355" s="6">
        <f t="shared" si="7"/>
        <v>1274.98</v>
      </c>
      <c r="L355" s="6">
        <f t="shared" si="8"/>
        <v>0.13</v>
      </c>
    </row>
    <row r="356">
      <c r="A356" s="4" t="s">
        <v>990</v>
      </c>
      <c r="B356" s="4" t="s">
        <v>991</v>
      </c>
      <c r="C356" s="4" t="s">
        <v>74</v>
      </c>
      <c r="D356" s="5">
        <v>16501.0</v>
      </c>
      <c r="E356" s="6" t="str">
        <f t="shared" si="1"/>
        <v>D</v>
      </c>
      <c r="F356" s="6" t="str">
        <f t="shared" si="2"/>
        <v>Transformative change</v>
      </c>
      <c r="G356" s="6" t="str">
        <f t="shared" si="3"/>
        <v>High</v>
      </c>
      <c r="H356" s="6">
        <f t="shared" si="4"/>
        <v>3538965</v>
      </c>
      <c r="I356" s="6">
        <f t="shared" si="5"/>
        <v>1240104.556</v>
      </c>
      <c r="J356" s="6">
        <f t="shared" si="6"/>
        <v>82505</v>
      </c>
      <c r="K356" s="6">
        <f t="shared" si="7"/>
        <v>1069</v>
      </c>
      <c r="L356" s="6">
        <f t="shared" si="8"/>
        <v>0.18</v>
      </c>
    </row>
    <row r="357">
      <c r="A357" s="4" t="s">
        <v>992</v>
      </c>
      <c r="B357" s="4" t="s">
        <v>993</v>
      </c>
      <c r="C357" s="4" t="s">
        <v>994</v>
      </c>
      <c r="D357" s="5">
        <v>32388.0</v>
      </c>
      <c r="E357" s="6" t="str">
        <f t="shared" si="1"/>
        <v>G</v>
      </c>
      <c r="F357" s="6" t="str">
        <f t="shared" si="2"/>
        <v>Transformative change</v>
      </c>
      <c r="G357" s="6" t="str">
        <f t="shared" si="3"/>
        <v>High</v>
      </c>
      <c r="H357" s="6">
        <f t="shared" si="4"/>
        <v>2065651</v>
      </c>
      <c r="I357" s="6">
        <f t="shared" si="5"/>
        <v>2039384.63</v>
      </c>
      <c r="J357" s="6">
        <f t="shared" si="6"/>
        <v>226716</v>
      </c>
      <c r="K357" s="6">
        <f t="shared" si="7"/>
        <v>587.35</v>
      </c>
      <c r="L357" s="6">
        <f t="shared" si="8"/>
        <v>0.11</v>
      </c>
    </row>
    <row r="358">
      <c r="A358" s="4" t="s">
        <v>995</v>
      </c>
      <c r="B358" s="4" t="s">
        <v>996</v>
      </c>
      <c r="C358" s="4" t="s">
        <v>997</v>
      </c>
      <c r="D358" s="5">
        <v>16108.0</v>
      </c>
      <c r="E358" s="6" t="str">
        <f t="shared" si="1"/>
        <v>F</v>
      </c>
      <c r="F358" s="6" t="str">
        <f t="shared" si="2"/>
        <v>Transformative change</v>
      </c>
      <c r="G358" s="6" t="str">
        <f t="shared" si="3"/>
        <v>Low</v>
      </c>
      <c r="H358" s="6">
        <f t="shared" si="4"/>
        <v>1870492</v>
      </c>
      <c r="I358" s="6">
        <f t="shared" si="5"/>
        <v>1196510.569</v>
      </c>
      <c r="J358" s="6">
        <f t="shared" si="6"/>
        <v>96648</v>
      </c>
      <c r="K358" s="6">
        <f t="shared" si="7"/>
        <v>1097</v>
      </c>
      <c r="L358" s="6">
        <f t="shared" si="8"/>
        <v>0.01</v>
      </c>
    </row>
    <row r="359">
      <c r="A359" s="4" t="s">
        <v>998</v>
      </c>
      <c r="B359" s="4" t="s">
        <v>999</v>
      </c>
      <c r="C359" s="4" t="s">
        <v>1000</v>
      </c>
      <c r="D359" s="5">
        <v>16805.0</v>
      </c>
      <c r="E359" s="6" t="str">
        <f t="shared" si="1"/>
        <v>C</v>
      </c>
      <c r="F359" s="6" t="str">
        <f t="shared" si="2"/>
        <v>Transformative change</v>
      </c>
      <c r="G359" s="6" t="str">
        <f t="shared" si="3"/>
        <v>High</v>
      </c>
      <c r="H359" s="6">
        <f t="shared" si="4"/>
        <v>466181</v>
      </c>
      <c r="I359" s="6">
        <f t="shared" si="5"/>
        <v>62139.2565</v>
      </c>
      <c r="J359" s="6">
        <f t="shared" si="6"/>
        <v>252075</v>
      </c>
      <c r="K359" s="6">
        <f t="shared" si="7"/>
        <v>814</v>
      </c>
      <c r="L359" s="6">
        <f t="shared" si="8"/>
        <v>0.02</v>
      </c>
    </row>
    <row r="360">
      <c r="A360" s="4" t="s">
        <v>1001</v>
      </c>
      <c r="B360" s="4" t="s">
        <v>1002</v>
      </c>
      <c r="C360" s="4" t="s">
        <v>74</v>
      </c>
      <c r="D360" s="5">
        <v>11595.0</v>
      </c>
      <c r="E360" s="6" t="str">
        <f t="shared" si="1"/>
        <v>E</v>
      </c>
      <c r="F360" s="6" t="str">
        <f t="shared" si="2"/>
        <v>Transformative change</v>
      </c>
      <c r="G360" s="6" t="str">
        <f t="shared" si="3"/>
        <v>Medium</v>
      </c>
      <c r="H360" s="6">
        <f t="shared" si="4"/>
        <v>1512275</v>
      </c>
      <c r="I360" s="6">
        <f t="shared" si="5"/>
        <v>907301.789</v>
      </c>
      <c r="J360" s="6">
        <f t="shared" si="6"/>
        <v>150735</v>
      </c>
      <c r="K360" s="6">
        <f t="shared" si="7"/>
        <v>828</v>
      </c>
      <c r="L360" s="6">
        <f t="shared" si="8"/>
        <v>0.27</v>
      </c>
    </row>
    <row r="361">
      <c r="A361" s="4" t="s">
        <v>1003</v>
      </c>
      <c r="B361" s="4" t="s">
        <v>1004</v>
      </c>
      <c r="C361" s="4" t="s">
        <v>74</v>
      </c>
      <c r="D361" s="5">
        <v>10888.0</v>
      </c>
      <c r="E361" s="6" t="str">
        <f t="shared" si="1"/>
        <v>G</v>
      </c>
      <c r="F361" s="6" t="str">
        <f t="shared" si="2"/>
        <v>Transformative change</v>
      </c>
      <c r="G361" s="6" t="str">
        <f t="shared" si="3"/>
        <v>Medium</v>
      </c>
      <c r="H361" s="6">
        <f t="shared" si="4"/>
        <v>3487443</v>
      </c>
      <c r="I361" s="6">
        <f t="shared" si="5"/>
        <v>470560.7981</v>
      </c>
      <c r="J361" s="6">
        <f t="shared" si="6"/>
        <v>141544</v>
      </c>
      <c r="K361" s="6">
        <f t="shared" si="7"/>
        <v>1074</v>
      </c>
      <c r="L361" s="6">
        <f t="shared" si="8"/>
        <v>0.01</v>
      </c>
    </row>
    <row r="362">
      <c r="A362" s="4" t="s">
        <v>1005</v>
      </c>
      <c r="B362" s="4" t="s">
        <v>1006</v>
      </c>
      <c r="C362" s="4" t="s">
        <v>653</v>
      </c>
      <c r="D362" s="5">
        <v>40163.0</v>
      </c>
      <c r="E362" s="6" t="str">
        <f t="shared" si="1"/>
        <v>E</v>
      </c>
      <c r="F362" s="6" t="str">
        <f t="shared" si="2"/>
        <v>Transformative change</v>
      </c>
      <c r="G362" s="6" t="str">
        <f t="shared" si="3"/>
        <v>Medium</v>
      </c>
      <c r="H362" s="6">
        <f t="shared" si="4"/>
        <v>2531344</v>
      </c>
      <c r="I362" s="6">
        <f t="shared" si="5"/>
        <v>810063.4963</v>
      </c>
      <c r="J362" s="6">
        <f t="shared" si="6"/>
        <v>281141</v>
      </c>
      <c r="K362" s="6">
        <f t="shared" si="7"/>
        <v>983</v>
      </c>
      <c r="L362" s="6">
        <f t="shared" si="8"/>
        <v>0.14</v>
      </c>
    </row>
    <row r="363">
      <c r="A363" s="4" t="s">
        <v>1007</v>
      </c>
      <c r="B363" s="4" t="s">
        <v>1008</v>
      </c>
      <c r="C363" s="4" t="s">
        <v>1009</v>
      </c>
      <c r="D363" s="5">
        <v>59726.0</v>
      </c>
      <c r="E363" s="6" t="str">
        <f t="shared" si="1"/>
        <v>B</v>
      </c>
      <c r="F363" s="6" t="str">
        <f t="shared" si="2"/>
        <v>Transformative change</v>
      </c>
      <c r="G363" s="6" t="str">
        <f t="shared" si="3"/>
        <v>Low</v>
      </c>
      <c r="H363" s="6">
        <f t="shared" si="4"/>
        <v>1675334</v>
      </c>
      <c r="I363" s="6">
        <f t="shared" si="5"/>
        <v>509043.4262</v>
      </c>
      <c r="J363" s="6">
        <f t="shared" si="6"/>
        <v>298630</v>
      </c>
      <c r="K363" s="6">
        <f t="shared" si="7"/>
        <v>1059</v>
      </c>
      <c r="L363" s="6">
        <f t="shared" si="8"/>
        <v>0.17</v>
      </c>
    </row>
    <row r="364">
      <c r="A364" s="4" t="s">
        <v>1010</v>
      </c>
      <c r="B364" s="4" t="s">
        <v>1011</v>
      </c>
      <c r="C364" s="4" t="s">
        <v>1012</v>
      </c>
      <c r="D364" s="5">
        <v>19009.0</v>
      </c>
      <c r="E364" s="6" t="str">
        <f t="shared" si="1"/>
        <v>G</v>
      </c>
      <c r="F364" s="6" t="str">
        <f t="shared" si="2"/>
        <v>High ambition</v>
      </c>
      <c r="G364" s="6" t="str">
        <f t="shared" si="3"/>
        <v>High</v>
      </c>
      <c r="H364" s="6">
        <f t="shared" si="4"/>
        <v>3831231</v>
      </c>
      <c r="I364" s="6">
        <f t="shared" si="5"/>
        <v>1458895.306</v>
      </c>
      <c r="J364" s="6">
        <f t="shared" si="6"/>
        <v>133063</v>
      </c>
      <c r="K364" s="6">
        <f t="shared" si="7"/>
        <v>878</v>
      </c>
      <c r="L364" s="6">
        <f t="shared" si="8"/>
        <v>0.23</v>
      </c>
    </row>
    <row r="365">
      <c r="A365" s="4" t="s">
        <v>1013</v>
      </c>
      <c r="B365" s="4" t="s">
        <v>1014</v>
      </c>
      <c r="C365" s="4" t="s">
        <v>74</v>
      </c>
      <c r="D365" s="5">
        <v>19681.0</v>
      </c>
      <c r="E365" s="6" t="str">
        <f t="shared" si="1"/>
        <v>G</v>
      </c>
      <c r="F365" s="6" t="str">
        <f t="shared" si="2"/>
        <v>Transformative change</v>
      </c>
      <c r="G365" s="6" t="str">
        <f t="shared" si="3"/>
        <v>High</v>
      </c>
      <c r="H365" s="6">
        <f t="shared" si="4"/>
        <v>2537345</v>
      </c>
      <c r="I365" s="6">
        <f t="shared" si="5"/>
        <v>659260.7782</v>
      </c>
      <c r="J365" s="6">
        <f t="shared" si="6"/>
        <v>275534</v>
      </c>
      <c r="K365" s="6">
        <f t="shared" si="7"/>
        <v>944</v>
      </c>
      <c r="L365" s="6">
        <f t="shared" si="8"/>
        <v>0.01</v>
      </c>
    </row>
    <row r="366">
      <c r="A366" s="4" t="s">
        <v>1015</v>
      </c>
      <c r="B366" s="4" t="s">
        <v>1016</v>
      </c>
      <c r="C366" s="4" t="s">
        <v>1017</v>
      </c>
      <c r="D366" s="5">
        <v>304271.0</v>
      </c>
      <c r="E366" s="6" t="str">
        <f t="shared" si="1"/>
        <v>G</v>
      </c>
      <c r="F366" s="6" t="str">
        <f t="shared" si="2"/>
        <v>Transformative change</v>
      </c>
      <c r="G366" s="6" t="str">
        <f t="shared" si="3"/>
        <v>Low</v>
      </c>
      <c r="H366" s="6">
        <f t="shared" si="4"/>
        <v>1291012</v>
      </c>
      <c r="I366" s="6">
        <f t="shared" si="5"/>
        <v>600109.6227</v>
      </c>
      <c r="J366" s="6">
        <f t="shared" si="6"/>
        <v>4564065</v>
      </c>
      <c r="K366" s="6">
        <f t="shared" si="7"/>
        <v>58513.65</v>
      </c>
      <c r="L366" s="6">
        <f t="shared" si="8"/>
        <v>0.24</v>
      </c>
    </row>
    <row r="367">
      <c r="A367" s="4" t="s">
        <v>1018</v>
      </c>
      <c r="B367" s="4" t="s">
        <v>1019</v>
      </c>
      <c r="C367" s="4" t="s">
        <v>1020</v>
      </c>
      <c r="D367" s="5">
        <v>18474.0</v>
      </c>
      <c r="E367" s="6" t="str">
        <f t="shared" si="1"/>
        <v>G</v>
      </c>
      <c r="F367" s="6" t="str">
        <f t="shared" si="2"/>
        <v>Transformative change</v>
      </c>
      <c r="G367" s="6" t="str">
        <f t="shared" si="3"/>
        <v>Low</v>
      </c>
      <c r="H367" s="6">
        <f t="shared" si="4"/>
        <v>2206829</v>
      </c>
      <c r="I367" s="6">
        <f t="shared" si="5"/>
        <v>1230865.233</v>
      </c>
      <c r="J367" s="6">
        <f t="shared" si="6"/>
        <v>147792</v>
      </c>
      <c r="K367" s="6">
        <f t="shared" si="7"/>
        <v>964</v>
      </c>
      <c r="L367" s="6">
        <f t="shared" si="8"/>
        <v>0.17</v>
      </c>
    </row>
    <row r="368">
      <c r="A368" s="4" t="s">
        <v>1021</v>
      </c>
      <c r="B368" s="4" t="s">
        <v>1022</v>
      </c>
      <c r="C368" s="4" t="s">
        <v>1023</v>
      </c>
      <c r="D368" s="5">
        <v>9325.0</v>
      </c>
      <c r="E368" s="6" t="str">
        <f t="shared" si="1"/>
        <v>C</v>
      </c>
      <c r="F368" s="6" t="str">
        <f t="shared" si="2"/>
        <v>Transformative change</v>
      </c>
      <c r="G368" s="6" t="str">
        <f t="shared" si="3"/>
        <v>Low</v>
      </c>
      <c r="H368" s="6">
        <f t="shared" si="4"/>
        <v>769816</v>
      </c>
      <c r="I368" s="6">
        <f t="shared" si="5"/>
        <v>96889.288</v>
      </c>
      <c r="J368" s="6">
        <f t="shared" si="6"/>
        <v>46625</v>
      </c>
      <c r="K368" s="6">
        <f t="shared" si="7"/>
        <v>998</v>
      </c>
      <c r="L368" s="6">
        <f t="shared" si="8"/>
        <v>0.25</v>
      </c>
    </row>
    <row r="369">
      <c r="A369" s="4" t="s">
        <v>1024</v>
      </c>
      <c r="B369" s="4" t="s">
        <v>1025</v>
      </c>
      <c r="C369" s="4" t="s">
        <v>1026</v>
      </c>
      <c r="D369" s="5">
        <v>26751.0</v>
      </c>
      <c r="E369" s="6" t="str">
        <f t="shared" si="1"/>
        <v>B</v>
      </c>
      <c r="F369" s="6" t="str">
        <f t="shared" si="2"/>
        <v>Transformative change</v>
      </c>
      <c r="G369" s="6" t="str">
        <f t="shared" si="3"/>
        <v>Low</v>
      </c>
      <c r="H369" s="6">
        <f t="shared" si="4"/>
        <v>682739</v>
      </c>
      <c r="I369" s="6">
        <f t="shared" si="5"/>
        <v>494833.5453</v>
      </c>
      <c r="J369" s="6">
        <f t="shared" si="6"/>
        <v>374514</v>
      </c>
      <c r="K369" s="6">
        <f t="shared" si="7"/>
        <v>824</v>
      </c>
      <c r="L369" s="6">
        <f t="shared" si="8"/>
        <v>0.24</v>
      </c>
    </row>
    <row r="370">
      <c r="A370" s="4" t="s">
        <v>1027</v>
      </c>
      <c r="B370" s="4" t="s">
        <v>1028</v>
      </c>
      <c r="C370" s="4" t="s">
        <v>1029</v>
      </c>
      <c r="D370" s="5">
        <v>19645.0</v>
      </c>
      <c r="E370" s="6" t="str">
        <f t="shared" si="1"/>
        <v>E</v>
      </c>
      <c r="F370" s="6" t="str">
        <f t="shared" si="2"/>
        <v>High ambition</v>
      </c>
      <c r="G370" s="6" t="str">
        <f t="shared" si="3"/>
        <v>Low</v>
      </c>
      <c r="H370" s="6">
        <f t="shared" si="4"/>
        <v>436789</v>
      </c>
      <c r="I370" s="6">
        <f t="shared" si="5"/>
        <v>95415.79734</v>
      </c>
      <c r="J370" s="6">
        <f t="shared" si="6"/>
        <v>157160</v>
      </c>
      <c r="K370" s="6">
        <f t="shared" si="7"/>
        <v>479.15</v>
      </c>
      <c r="L370" s="6">
        <f t="shared" si="8"/>
        <v>0.1</v>
      </c>
    </row>
    <row r="371">
      <c r="A371" s="4" t="s">
        <v>1030</v>
      </c>
      <c r="B371" s="4" t="s">
        <v>1031</v>
      </c>
      <c r="C371" s="4" t="s">
        <v>1032</v>
      </c>
      <c r="D371" s="5">
        <v>428394.0</v>
      </c>
      <c r="E371" s="6" t="str">
        <f t="shared" si="1"/>
        <v>G</v>
      </c>
      <c r="F371" s="6" t="str">
        <f t="shared" si="2"/>
        <v>Transformative change</v>
      </c>
      <c r="G371" s="6" t="str">
        <f t="shared" si="3"/>
        <v>High</v>
      </c>
      <c r="H371" s="6">
        <f t="shared" si="4"/>
        <v>3224845</v>
      </c>
      <c r="I371" s="6">
        <f t="shared" si="5"/>
        <v>669424.7804</v>
      </c>
      <c r="J371" s="6">
        <f t="shared" si="6"/>
        <v>2998758</v>
      </c>
      <c r="K371" s="6">
        <f t="shared" si="7"/>
        <v>81047.51</v>
      </c>
      <c r="L371" s="6">
        <f t="shared" si="8"/>
        <v>0.03</v>
      </c>
    </row>
    <row r="372">
      <c r="A372" s="4" t="s">
        <v>1033</v>
      </c>
      <c r="B372" s="4" t="s">
        <v>1034</v>
      </c>
      <c r="C372" s="4" t="s">
        <v>1035</v>
      </c>
      <c r="D372" s="5">
        <v>5570.0</v>
      </c>
      <c r="E372" s="6" t="str">
        <f t="shared" si="1"/>
        <v>D</v>
      </c>
      <c r="F372" s="6" t="str">
        <f t="shared" si="2"/>
        <v>High ambition</v>
      </c>
      <c r="G372" s="6" t="str">
        <f t="shared" si="3"/>
        <v>Low</v>
      </c>
      <c r="H372" s="6">
        <f t="shared" si="4"/>
        <v>3806548</v>
      </c>
      <c r="I372" s="6">
        <f t="shared" si="5"/>
        <v>1857367.986</v>
      </c>
      <c r="J372" s="6">
        <f t="shared" si="6"/>
        <v>50130</v>
      </c>
      <c r="K372" s="6">
        <f t="shared" si="7"/>
        <v>912</v>
      </c>
      <c r="L372" s="6">
        <f t="shared" si="8"/>
        <v>0.13</v>
      </c>
    </row>
    <row r="373">
      <c r="A373" s="4" t="s">
        <v>1036</v>
      </c>
      <c r="B373" s="4" t="s">
        <v>1037</v>
      </c>
      <c r="C373" s="4" t="s">
        <v>1038</v>
      </c>
      <c r="D373" s="5">
        <v>141755.0</v>
      </c>
      <c r="E373" s="6" t="str">
        <f t="shared" si="1"/>
        <v>C</v>
      </c>
      <c r="F373" s="6" t="str">
        <f t="shared" si="2"/>
        <v>Transformative change</v>
      </c>
      <c r="G373" s="6" t="str">
        <f t="shared" si="3"/>
        <v>Medium</v>
      </c>
      <c r="H373" s="6">
        <f t="shared" si="4"/>
        <v>1964397</v>
      </c>
      <c r="I373" s="6">
        <f t="shared" si="5"/>
        <v>1433733.29</v>
      </c>
      <c r="J373" s="6">
        <f t="shared" si="6"/>
        <v>1559305</v>
      </c>
      <c r="K373" s="6">
        <f t="shared" si="7"/>
        <v>24364.14</v>
      </c>
      <c r="L373" s="6">
        <f t="shared" si="8"/>
        <v>0.05</v>
      </c>
    </row>
    <row r="374">
      <c r="A374" s="4" t="s">
        <v>1039</v>
      </c>
      <c r="B374" s="4" t="s">
        <v>1040</v>
      </c>
      <c r="C374" s="4" t="s">
        <v>1041</v>
      </c>
      <c r="D374" s="5">
        <v>13521.0</v>
      </c>
      <c r="E374" s="6" t="str">
        <f t="shared" si="1"/>
        <v>B</v>
      </c>
      <c r="F374" s="6" t="str">
        <f t="shared" si="2"/>
        <v>Transformative change</v>
      </c>
      <c r="G374" s="6" t="str">
        <f t="shared" si="3"/>
        <v>High</v>
      </c>
      <c r="H374" s="6">
        <f t="shared" si="4"/>
        <v>2100084</v>
      </c>
      <c r="I374" s="6">
        <f t="shared" si="5"/>
        <v>1723034.162</v>
      </c>
      <c r="J374" s="6">
        <f t="shared" si="6"/>
        <v>175773</v>
      </c>
      <c r="K374" s="6">
        <f t="shared" si="7"/>
        <v>837.01</v>
      </c>
      <c r="L374" s="6">
        <f t="shared" si="8"/>
        <v>0.07</v>
      </c>
    </row>
    <row r="375">
      <c r="A375" s="4" t="s">
        <v>100</v>
      </c>
      <c r="B375" s="4" t="s">
        <v>1042</v>
      </c>
      <c r="C375" s="4" t="s">
        <v>1043</v>
      </c>
      <c r="D375" s="5">
        <v>464599.0</v>
      </c>
      <c r="E375" s="6" t="str">
        <f t="shared" si="1"/>
        <v>B</v>
      </c>
      <c r="F375" s="6" t="str">
        <f t="shared" si="2"/>
        <v>Transformative change</v>
      </c>
      <c r="G375" s="6" t="str">
        <f t="shared" si="3"/>
        <v>Medium</v>
      </c>
      <c r="H375" s="6">
        <f t="shared" si="4"/>
        <v>3070287</v>
      </c>
      <c r="I375" s="6">
        <f t="shared" si="5"/>
        <v>1719048.323</v>
      </c>
      <c r="J375" s="6">
        <f t="shared" si="6"/>
        <v>4181391</v>
      </c>
      <c r="K375" s="6">
        <f t="shared" si="7"/>
        <v>49192.84</v>
      </c>
      <c r="L375" s="6">
        <f t="shared" si="8"/>
        <v>0.11</v>
      </c>
    </row>
    <row r="376">
      <c r="A376" s="4" t="s">
        <v>1044</v>
      </c>
      <c r="B376" s="4" t="s">
        <v>1045</v>
      </c>
      <c r="C376" s="4" t="s">
        <v>1046</v>
      </c>
      <c r="D376" s="5">
        <v>9542.0</v>
      </c>
      <c r="E376" s="6" t="str">
        <f t="shared" si="1"/>
        <v>G</v>
      </c>
      <c r="F376" s="6" t="str">
        <f t="shared" si="2"/>
        <v>Transformative change</v>
      </c>
      <c r="G376" s="6" t="str">
        <f t="shared" si="3"/>
        <v>Low</v>
      </c>
      <c r="H376" s="6">
        <f t="shared" si="4"/>
        <v>3151150</v>
      </c>
      <c r="I376" s="6">
        <f t="shared" si="5"/>
        <v>2058016.657</v>
      </c>
      <c r="J376" s="6">
        <f t="shared" si="6"/>
        <v>114504</v>
      </c>
      <c r="K376" s="6">
        <f t="shared" si="7"/>
        <v>829</v>
      </c>
      <c r="L376" s="6">
        <f t="shared" si="8"/>
        <v>0.03</v>
      </c>
    </row>
    <row r="377">
      <c r="A377" s="4" t="s">
        <v>1047</v>
      </c>
      <c r="B377" s="4" t="s">
        <v>1048</v>
      </c>
      <c r="C377" s="4" t="s">
        <v>1049</v>
      </c>
      <c r="D377" s="5">
        <v>15563.0</v>
      </c>
      <c r="E377" s="6" t="str">
        <f t="shared" si="1"/>
        <v>G</v>
      </c>
      <c r="F377" s="6" t="str">
        <f t="shared" si="2"/>
        <v>Transformative change</v>
      </c>
      <c r="G377" s="6" t="str">
        <f t="shared" si="3"/>
        <v>High</v>
      </c>
      <c r="H377" s="6">
        <f t="shared" si="4"/>
        <v>2450653</v>
      </c>
      <c r="I377" s="6">
        <f t="shared" si="5"/>
        <v>461622.3593</v>
      </c>
      <c r="J377" s="6">
        <f t="shared" si="6"/>
        <v>171193</v>
      </c>
      <c r="K377" s="6">
        <f t="shared" si="7"/>
        <v>514.09</v>
      </c>
      <c r="L377" s="6">
        <f t="shared" si="8"/>
        <v>0.28</v>
      </c>
    </row>
    <row r="378">
      <c r="A378" s="4" t="s">
        <v>1050</v>
      </c>
      <c r="B378" s="4" t="s">
        <v>1051</v>
      </c>
      <c r="C378" s="4" t="s">
        <v>1052</v>
      </c>
      <c r="D378" s="5">
        <v>16296.0</v>
      </c>
      <c r="E378" s="6" t="str">
        <f t="shared" si="1"/>
        <v>B</v>
      </c>
      <c r="F378" s="6" t="str">
        <f t="shared" si="2"/>
        <v>Transformative change</v>
      </c>
      <c r="G378" s="6" t="str">
        <f t="shared" si="3"/>
        <v>High</v>
      </c>
      <c r="H378" s="6">
        <f t="shared" si="4"/>
        <v>1918105</v>
      </c>
      <c r="I378" s="6">
        <f t="shared" si="5"/>
        <v>84912.39366</v>
      </c>
      <c r="J378" s="6">
        <f t="shared" si="6"/>
        <v>211848</v>
      </c>
      <c r="K378" s="6">
        <f t="shared" si="7"/>
        <v>1016</v>
      </c>
      <c r="L378" s="6">
        <f t="shared" si="8"/>
        <v>0.27</v>
      </c>
    </row>
    <row r="379">
      <c r="A379" s="4" t="s">
        <v>1053</v>
      </c>
      <c r="B379" s="4" t="s">
        <v>692</v>
      </c>
      <c r="C379" s="4" t="s">
        <v>1054</v>
      </c>
      <c r="D379" s="5">
        <v>12170.0</v>
      </c>
      <c r="E379" s="6" t="str">
        <f t="shared" si="1"/>
        <v>C</v>
      </c>
      <c r="F379" s="6" t="str">
        <f t="shared" si="2"/>
        <v>Transformative change</v>
      </c>
      <c r="G379" s="6" t="str">
        <f t="shared" si="3"/>
        <v>Low</v>
      </c>
      <c r="H379" s="6">
        <f t="shared" si="4"/>
        <v>3049968</v>
      </c>
      <c r="I379" s="6">
        <f t="shared" si="5"/>
        <v>2794458.975</v>
      </c>
      <c r="J379" s="6">
        <f t="shared" si="6"/>
        <v>182550</v>
      </c>
      <c r="K379" s="6">
        <f t="shared" si="7"/>
        <v>686.28</v>
      </c>
      <c r="L379" s="6">
        <f t="shared" si="8"/>
        <v>0.12</v>
      </c>
    </row>
    <row r="380">
      <c r="A380" s="4" t="s">
        <v>1055</v>
      </c>
      <c r="B380" s="4" t="s">
        <v>1056</v>
      </c>
      <c r="C380" s="4" t="s">
        <v>1057</v>
      </c>
      <c r="D380" s="5">
        <v>6997.0</v>
      </c>
      <c r="E380" s="6" t="str">
        <f t="shared" si="1"/>
        <v>G</v>
      </c>
      <c r="F380" s="6" t="str">
        <f t="shared" si="2"/>
        <v>Transformative change</v>
      </c>
      <c r="G380" s="6" t="str">
        <f t="shared" si="3"/>
        <v>Medium</v>
      </c>
      <c r="H380" s="6">
        <f t="shared" si="4"/>
        <v>1501236</v>
      </c>
      <c r="I380" s="6">
        <f t="shared" si="5"/>
        <v>1357395.737</v>
      </c>
      <c r="J380" s="6">
        <f t="shared" si="6"/>
        <v>48979</v>
      </c>
      <c r="K380" s="6">
        <f t="shared" si="7"/>
        <v>862</v>
      </c>
      <c r="L380" s="6">
        <f t="shared" si="8"/>
        <v>0.19</v>
      </c>
    </row>
    <row r="381">
      <c r="A381" s="4" t="s">
        <v>1058</v>
      </c>
      <c r="B381" s="4" t="s">
        <v>1059</v>
      </c>
      <c r="C381" s="4" t="s">
        <v>1060</v>
      </c>
      <c r="D381" s="5">
        <v>12751.0</v>
      </c>
      <c r="E381" s="6" t="str">
        <f t="shared" si="1"/>
        <v>C</v>
      </c>
      <c r="F381" s="6" t="str">
        <f t="shared" si="2"/>
        <v>Transformative change</v>
      </c>
      <c r="G381" s="6" t="str">
        <f t="shared" si="3"/>
        <v>Low</v>
      </c>
      <c r="H381" s="6">
        <f t="shared" si="4"/>
        <v>481589</v>
      </c>
      <c r="I381" s="6">
        <f t="shared" si="5"/>
        <v>410701.3656</v>
      </c>
      <c r="J381" s="6">
        <f t="shared" si="6"/>
        <v>191265</v>
      </c>
      <c r="K381" s="6">
        <f t="shared" si="7"/>
        <v>975.84</v>
      </c>
      <c r="L381" s="6">
        <f t="shared" si="8"/>
        <v>0.27</v>
      </c>
    </row>
    <row r="382">
      <c r="A382" s="4" t="s">
        <v>1061</v>
      </c>
      <c r="B382" s="4" t="s">
        <v>780</v>
      </c>
      <c r="C382" s="4" t="s">
        <v>74</v>
      </c>
      <c r="D382" s="5">
        <v>56086.0</v>
      </c>
      <c r="E382" s="6" t="str">
        <f t="shared" si="1"/>
        <v>B</v>
      </c>
      <c r="F382" s="6" t="str">
        <f t="shared" si="2"/>
        <v>Transformative change</v>
      </c>
      <c r="G382" s="6" t="str">
        <f t="shared" si="3"/>
        <v>High</v>
      </c>
      <c r="H382" s="6">
        <f t="shared" si="4"/>
        <v>3485541</v>
      </c>
      <c r="I382" s="6">
        <f t="shared" si="5"/>
        <v>3086577.391</v>
      </c>
      <c r="J382" s="6">
        <f t="shared" si="6"/>
        <v>560860</v>
      </c>
      <c r="K382" s="6">
        <f t="shared" si="7"/>
        <v>1741.8</v>
      </c>
      <c r="L382" s="6">
        <f t="shared" si="8"/>
        <v>0.08</v>
      </c>
    </row>
    <row r="383">
      <c r="A383" s="4" t="s">
        <v>1062</v>
      </c>
      <c r="B383" s="4" t="s">
        <v>1063</v>
      </c>
      <c r="C383" s="4" t="s">
        <v>1064</v>
      </c>
      <c r="D383" s="5">
        <v>937345.0</v>
      </c>
      <c r="E383" s="6" t="str">
        <f t="shared" si="1"/>
        <v>G</v>
      </c>
      <c r="F383" s="6" t="str">
        <f t="shared" si="2"/>
        <v>Transformative change</v>
      </c>
      <c r="G383" s="6" t="str">
        <f t="shared" si="3"/>
        <v>Medium</v>
      </c>
      <c r="H383" s="6">
        <f t="shared" si="4"/>
        <v>2335784</v>
      </c>
      <c r="I383" s="6">
        <f t="shared" si="5"/>
        <v>1924778.226</v>
      </c>
      <c r="J383" s="6">
        <f t="shared" si="6"/>
        <v>8436105</v>
      </c>
      <c r="K383" s="6">
        <f t="shared" si="7"/>
        <v>58180.03</v>
      </c>
      <c r="L383" s="6">
        <f t="shared" si="8"/>
        <v>0.3</v>
      </c>
    </row>
    <row r="384">
      <c r="A384" s="4" t="s">
        <v>1065</v>
      </c>
      <c r="B384" s="4" t="s">
        <v>1066</v>
      </c>
      <c r="C384" s="4" t="s">
        <v>1067</v>
      </c>
      <c r="D384" s="5">
        <v>17411.0</v>
      </c>
      <c r="E384" s="6" t="str">
        <f t="shared" si="1"/>
        <v>E</v>
      </c>
      <c r="F384" s="6" t="str">
        <f t="shared" si="2"/>
        <v>Transformative change</v>
      </c>
      <c r="G384" s="6" t="str">
        <f t="shared" si="3"/>
        <v>High</v>
      </c>
      <c r="H384" s="6">
        <f t="shared" si="4"/>
        <v>1268987</v>
      </c>
      <c r="I384" s="6">
        <f t="shared" si="5"/>
        <v>551112.0221</v>
      </c>
      <c r="J384" s="6">
        <f t="shared" si="6"/>
        <v>156699</v>
      </c>
      <c r="K384" s="6">
        <f t="shared" si="7"/>
        <v>816</v>
      </c>
      <c r="L384" s="6">
        <f t="shared" si="8"/>
        <v>0.06</v>
      </c>
    </row>
    <row r="385">
      <c r="A385" s="4" t="s">
        <v>1068</v>
      </c>
      <c r="B385" s="4" t="s">
        <v>1069</v>
      </c>
      <c r="C385" s="4" t="s">
        <v>74</v>
      </c>
      <c r="D385" s="5">
        <v>16834.0</v>
      </c>
      <c r="E385" s="6" t="str">
        <f t="shared" si="1"/>
        <v>G</v>
      </c>
      <c r="F385" s="6" t="str">
        <f t="shared" si="2"/>
        <v>Transformative change</v>
      </c>
      <c r="G385" s="6" t="str">
        <f t="shared" si="3"/>
        <v>Low</v>
      </c>
      <c r="H385" s="6">
        <f t="shared" si="4"/>
        <v>3943215</v>
      </c>
      <c r="I385" s="6">
        <f t="shared" si="5"/>
        <v>2724207.624</v>
      </c>
      <c r="J385" s="6">
        <f t="shared" si="6"/>
        <v>84170</v>
      </c>
      <c r="K385" s="6">
        <f t="shared" si="7"/>
        <v>339.4</v>
      </c>
      <c r="L385" s="6">
        <f t="shared" si="8"/>
        <v>0.23</v>
      </c>
    </row>
    <row r="386">
      <c r="A386" s="4" t="s">
        <v>1070</v>
      </c>
      <c r="B386" s="4" t="s">
        <v>1071</v>
      </c>
      <c r="C386" s="4" t="s">
        <v>74</v>
      </c>
      <c r="D386" s="5">
        <v>159598.0</v>
      </c>
      <c r="E386" s="6" t="str">
        <f t="shared" si="1"/>
        <v>A</v>
      </c>
      <c r="F386" s="6" t="str">
        <f t="shared" si="2"/>
        <v>Transformative change</v>
      </c>
      <c r="G386" s="6" t="str">
        <f t="shared" si="3"/>
        <v>Low</v>
      </c>
      <c r="H386" s="6">
        <f t="shared" si="4"/>
        <v>2116235</v>
      </c>
      <c r="I386" s="6">
        <f t="shared" si="5"/>
        <v>1059529.001</v>
      </c>
      <c r="J386" s="6">
        <f t="shared" si="6"/>
        <v>1117186</v>
      </c>
      <c r="K386" s="6">
        <f t="shared" si="7"/>
        <v>9548.6</v>
      </c>
      <c r="L386" s="6">
        <f t="shared" si="8"/>
        <v>0.07</v>
      </c>
    </row>
    <row r="387">
      <c r="A387" s="4" t="s">
        <v>1072</v>
      </c>
      <c r="B387" s="4" t="s">
        <v>1073</v>
      </c>
      <c r="C387" s="4" t="s">
        <v>1074</v>
      </c>
      <c r="D387" s="5">
        <v>9603.0</v>
      </c>
      <c r="E387" s="6" t="str">
        <f t="shared" si="1"/>
        <v>D</v>
      </c>
      <c r="F387" s="6" t="str">
        <f t="shared" si="2"/>
        <v>Transformative change</v>
      </c>
      <c r="G387" s="6" t="str">
        <f t="shared" si="3"/>
        <v>Medium</v>
      </c>
      <c r="H387" s="6">
        <f t="shared" si="4"/>
        <v>1773900</v>
      </c>
      <c r="I387" s="6">
        <f t="shared" si="5"/>
        <v>1024843.987</v>
      </c>
      <c r="J387" s="6">
        <f t="shared" si="6"/>
        <v>57618</v>
      </c>
      <c r="K387" s="6">
        <f t="shared" si="7"/>
        <v>1001</v>
      </c>
      <c r="L387" s="6">
        <f t="shared" si="8"/>
        <v>0.05</v>
      </c>
    </row>
    <row r="388">
      <c r="A388" s="4" t="s">
        <v>1075</v>
      </c>
      <c r="B388" s="4" t="s">
        <v>1076</v>
      </c>
      <c r="C388" s="4" t="s">
        <v>74</v>
      </c>
      <c r="D388" s="5">
        <v>7334.0</v>
      </c>
      <c r="E388" s="6" t="str">
        <f t="shared" si="1"/>
        <v>D</v>
      </c>
      <c r="F388" s="6" t="str">
        <f t="shared" si="2"/>
        <v>Transformative change</v>
      </c>
      <c r="G388" s="6" t="str">
        <f t="shared" si="3"/>
        <v>High</v>
      </c>
      <c r="H388" s="6">
        <f t="shared" si="4"/>
        <v>717832</v>
      </c>
      <c r="I388" s="6">
        <f t="shared" si="5"/>
        <v>294488.8463</v>
      </c>
      <c r="J388" s="6">
        <f t="shared" si="6"/>
        <v>51338</v>
      </c>
      <c r="K388" s="6">
        <f t="shared" si="7"/>
        <v>958</v>
      </c>
      <c r="L388" s="6">
        <f t="shared" si="8"/>
        <v>0.19</v>
      </c>
    </row>
    <row r="389">
      <c r="A389" s="4" t="s">
        <v>1077</v>
      </c>
      <c r="B389" s="4" t="s">
        <v>1078</v>
      </c>
      <c r="C389" s="4" t="s">
        <v>1079</v>
      </c>
      <c r="D389" s="5">
        <v>11022.0</v>
      </c>
      <c r="E389" s="6" t="str">
        <f t="shared" si="1"/>
        <v>B</v>
      </c>
      <c r="F389" s="6" t="str">
        <f t="shared" si="2"/>
        <v>Transformative change</v>
      </c>
      <c r="G389" s="6" t="str">
        <f t="shared" si="3"/>
        <v>Medium</v>
      </c>
      <c r="H389" s="6">
        <f t="shared" si="4"/>
        <v>2891641</v>
      </c>
      <c r="I389" s="6">
        <f t="shared" si="5"/>
        <v>1478723.559</v>
      </c>
      <c r="J389" s="6">
        <f t="shared" si="6"/>
        <v>55110</v>
      </c>
      <c r="K389" s="6">
        <f t="shared" si="7"/>
        <v>1035</v>
      </c>
      <c r="L389" s="6">
        <f t="shared" si="8"/>
        <v>0.12</v>
      </c>
    </row>
    <row r="390">
      <c r="A390" s="4" t="s">
        <v>1080</v>
      </c>
      <c r="B390" s="4" t="s">
        <v>931</v>
      </c>
      <c r="C390" s="4" t="s">
        <v>1081</v>
      </c>
      <c r="D390" s="5">
        <v>17705.0</v>
      </c>
      <c r="E390" s="6" t="str">
        <f t="shared" si="1"/>
        <v>A</v>
      </c>
      <c r="F390" s="6" t="str">
        <f t="shared" si="2"/>
        <v>Transformative change</v>
      </c>
      <c r="G390" s="6" t="str">
        <f t="shared" si="3"/>
        <v>Medium</v>
      </c>
      <c r="H390" s="6">
        <f t="shared" si="4"/>
        <v>1274872</v>
      </c>
      <c r="I390" s="6">
        <f t="shared" si="5"/>
        <v>503925.1478</v>
      </c>
      <c r="J390" s="6">
        <f t="shared" si="6"/>
        <v>123935</v>
      </c>
      <c r="K390" s="6">
        <f t="shared" si="7"/>
        <v>958</v>
      </c>
      <c r="L390" s="6">
        <f t="shared" si="8"/>
        <v>0.18</v>
      </c>
    </row>
    <row r="391">
      <c r="A391" s="4" t="s">
        <v>1082</v>
      </c>
      <c r="B391" s="4" t="s">
        <v>1083</v>
      </c>
      <c r="C391" s="4" t="s">
        <v>1084</v>
      </c>
      <c r="D391" s="5">
        <v>63457.0</v>
      </c>
      <c r="E391" s="6" t="str">
        <f t="shared" si="1"/>
        <v>C</v>
      </c>
      <c r="F391" s="6" t="str">
        <f t="shared" si="2"/>
        <v>Transformative change</v>
      </c>
      <c r="G391" s="6" t="str">
        <f t="shared" si="3"/>
        <v>Medium</v>
      </c>
      <c r="H391" s="6">
        <f t="shared" si="4"/>
        <v>763921</v>
      </c>
      <c r="I391" s="6">
        <f t="shared" si="5"/>
        <v>740701.8805</v>
      </c>
      <c r="J391" s="6">
        <f t="shared" si="6"/>
        <v>317285</v>
      </c>
      <c r="K391" s="6">
        <f t="shared" si="7"/>
        <v>956</v>
      </c>
      <c r="L391" s="6">
        <f t="shared" si="8"/>
        <v>0.25</v>
      </c>
    </row>
    <row r="392">
      <c r="A392" s="4" t="s">
        <v>1085</v>
      </c>
      <c r="B392" s="4" t="s">
        <v>1086</v>
      </c>
      <c r="C392" s="4" t="s">
        <v>91</v>
      </c>
      <c r="D392" s="5">
        <v>10291.0</v>
      </c>
      <c r="E392" s="6" t="str">
        <f t="shared" si="1"/>
        <v>A</v>
      </c>
      <c r="F392" s="6" t="str">
        <f t="shared" si="2"/>
        <v>High ambition</v>
      </c>
      <c r="G392" s="6" t="str">
        <f t="shared" si="3"/>
        <v>Low</v>
      </c>
      <c r="H392" s="6">
        <f t="shared" si="4"/>
        <v>2969129</v>
      </c>
      <c r="I392" s="6">
        <f t="shared" si="5"/>
        <v>849406.538</v>
      </c>
      <c r="J392" s="6">
        <f t="shared" si="6"/>
        <v>92619</v>
      </c>
      <c r="K392" s="6">
        <f t="shared" si="7"/>
        <v>1056</v>
      </c>
      <c r="L392" s="6">
        <f t="shared" si="8"/>
        <v>0.28</v>
      </c>
    </row>
    <row r="393">
      <c r="A393" s="4" t="s">
        <v>1087</v>
      </c>
      <c r="B393" s="4" t="s">
        <v>1088</v>
      </c>
      <c r="C393" s="4" t="s">
        <v>1089</v>
      </c>
      <c r="D393" s="5">
        <v>8806.0</v>
      </c>
      <c r="E393" s="6" t="str">
        <f t="shared" si="1"/>
        <v>G</v>
      </c>
      <c r="F393" s="6" t="str">
        <f t="shared" si="2"/>
        <v>Transformative change</v>
      </c>
      <c r="G393" s="6" t="str">
        <f t="shared" si="3"/>
        <v>Low</v>
      </c>
      <c r="H393" s="6">
        <f t="shared" si="4"/>
        <v>2567268</v>
      </c>
      <c r="I393" s="6">
        <f t="shared" si="5"/>
        <v>2157392.919</v>
      </c>
      <c r="J393" s="6">
        <f t="shared" si="6"/>
        <v>88060</v>
      </c>
      <c r="K393" s="6">
        <f t="shared" si="7"/>
        <v>918</v>
      </c>
      <c r="L393" s="6">
        <f t="shared" si="8"/>
        <v>0.05</v>
      </c>
    </row>
    <row r="394">
      <c r="A394" s="4" t="s">
        <v>1090</v>
      </c>
      <c r="B394" s="4" t="s">
        <v>1091</v>
      </c>
      <c r="C394" s="4" t="s">
        <v>1092</v>
      </c>
      <c r="D394" s="5">
        <v>75602.0</v>
      </c>
      <c r="E394" s="6" t="str">
        <f t="shared" si="1"/>
        <v>F</v>
      </c>
      <c r="F394" s="6" t="str">
        <f t="shared" si="2"/>
        <v>Transformative change</v>
      </c>
      <c r="G394" s="6" t="str">
        <f t="shared" si="3"/>
        <v>High</v>
      </c>
      <c r="H394" s="6">
        <f t="shared" si="4"/>
        <v>2278653</v>
      </c>
      <c r="I394" s="6">
        <f t="shared" si="5"/>
        <v>1965731.897</v>
      </c>
      <c r="J394" s="6">
        <f t="shared" si="6"/>
        <v>831622</v>
      </c>
      <c r="K394" s="6">
        <f t="shared" si="7"/>
        <v>2259.84</v>
      </c>
      <c r="L394" s="6">
        <f t="shared" si="8"/>
        <v>0.11</v>
      </c>
    </row>
    <row r="395">
      <c r="A395" s="4" t="s">
        <v>1093</v>
      </c>
      <c r="B395" s="4" t="s">
        <v>1094</v>
      </c>
      <c r="C395" s="4" t="s">
        <v>1095</v>
      </c>
      <c r="D395" s="5">
        <v>5906.0</v>
      </c>
      <c r="E395" s="6" t="str">
        <f t="shared" si="1"/>
        <v>E</v>
      </c>
      <c r="F395" s="6" t="str">
        <f t="shared" si="2"/>
        <v>Transformative change</v>
      </c>
      <c r="G395" s="6" t="str">
        <f t="shared" si="3"/>
        <v>High</v>
      </c>
      <c r="H395" s="6">
        <f t="shared" si="4"/>
        <v>3048085</v>
      </c>
      <c r="I395" s="6">
        <f t="shared" si="5"/>
        <v>886440.072</v>
      </c>
      <c r="J395" s="6">
        <f t="shared" si="6"/>
        <v>76778</v>
      </c>
      <c r="K395" s="6">
        <f t="shared" si="7"/>
        <v>1505.45</v>
      </c>
      <c r="L395" s="6">
        <f t="shared" si="8"/>
        <v>0.02</v>
      </c>
    </row>
    <row r="396">
      <c r="A396" s="4" t="s">
        <v>1096</v>
      </c>
      <c r="B396" s="4" t="s">
        <v>1097</v>
      </c>
      <c r="C396" s="4" t="s">
        <v>74</v>
      </c>
      <c r="D396" s="5">
        <v>16650.0</v>
      </c>
      <c r="E396" s="6" t="str">
        <f t="shared" si="1"/>
        <v>F</v>
      </c>
      <c r="F396" s="6" t="str">
        <f t="shared" si="2"/>
        <v>Transformative change</v>
      </c>
      <c r="G396" s="6" t="str">
        <f t="shared" si="3"/>
        <v>High</v>
      </c>
      <c r="H396" s="6">
        <f t="shared" si="4"/>
        <v>2238842</v>
      </c>
      <c r="I396" s="6">
        <f t="shared" si="5"/>
        <v>820534.1446</v>
      </c>
      <c r="J396" s="6">
        <f t="shared" si="6"/>
        <v>183150</v>
      </c>
      <c r="K396" s="6">
        <f t="shared" si="7"/>
        <v>670.88</v>
      </c>
      <c r="L396" s="6">
        <f t="shared" si="8"/>
        <v>0.29</v>
      </c>
    </row>
    <row r="397">
      <c r="A397" s="4" t="s">
        <v>1098</v>
      </c>
      <c r="B397" s="4" t="s">
        <v>1099</v>
      </c>
      <c r="C397" s="4" t="s">
        <v>1100</v>
      </c>
      <c r="D397" s="5">
        <v>20381.0</v>
      </c>
      <c r="E397" s="6" t="str">
        <f t="shared" si="1"/>
        <v>G</v>
      </c>
      <c r="F397" s="6" t="str">
        <f t="shared" si="2"/>
        <v>Transformative change</v>
      </c>
      <c r="G397" s="6" t="str">
        <f t="shared" si="3"/>
        <v>Medium</v>
      </c>
      <c r="H397" s="6">
        <f t="shared" si="4"/>
        <v>1958957</v>
      </c>
      <c r="I397" s="6">
        <f t="shared" si="5"/>
        <v>91791.68777</v>
      </c>
      <c r="J397" s="6">
        <f t="shared" si="6"/>
        <v>183429</v>
      </c>
      <c r="K397" s="6">
        <f t="shared" si="7"/>
        <v>1026</v>
      </c>
      <c r="L397" s="6">
        <f t="shared" si="8"/>
        <v>0.03</v>
      </c>
    </row>
    <row r="398">
      <c r="A398" s="4" t="s">
        <v>1101</v>
      </c>
      <c r="B398" s="4" t="s">
        <v>421</v>
      </c>
      <c r="C398" s="4" t="s">
        <v>1102</v>
      </c>
      <c r="D398" s="5">
        <v>16866.0</v>
      </c>
      <c r="E398" s="6" t="str">
        <f t="shared" si="1"/>
        <v>A</v>
      </c>
      <c r="F398" s="6" t="str">
        <f t="shared" si="2"/>
        <v>Transformative change</v>
      </c>
      <c r="G398" s="6" t="str">
        <f t="shared" si="3"/>
        <v>Low</v>
      </c>
      <c r="H398" s="6">
        <f t="shared" si="4"/>
        <v>2908976</v>
      </c>
      <c r="I398" s="6">
        <f t="shared" si="5"/>
        <v>1955822.35</v>
      </c>
      <c r="J398" s="6">
        <f t="shared" si="6"/>
        <v>185526</v>
      </c>
      <c r="K398" s="6">
        <f t="shared" si="7"/>
        <v>644.19</v>
      </c>
      <c r="L398" s="6">
        <f t="shared" si="8"/>
        <v>0.11</v>
      </c>
    </row>
    <row r="399">
      <c r="A399" s="4" t="s">
        <v>1103</v>
      </c>
      <c r="B399" s="4" t="s">
        <v>1104</v>
      </c>
      <c r="C399" s="4" t="s">
        <v>74</v>
      </c>
      <c r="D399" s="5">
        <v>11250.0</v>
      </c>
      <c r="E399" s="6" t="str">
        <f t="shared" si="1"/>
        <v>A</v>
      </c>
      <c r="F399" s="6" t="str">
        <f t="shared" si="2"/>
        <v>High ambition</v>
      </c>
      <c r="G399" s="6" t="str">
        <f t="shared" si="3"/>
        <v>Low</v>
      </c>
      <c r="H399" s="6">
        <f t="shared" si="4"/>
        <v>3690426</v>
      </c>
      <c r="I399" s="6">
        <f t="shared" si="5"/>
        <v>2149282.666</v>
      </c>
      <c r="J399" s="6">
        <f t="shared" si="6"/>
        <v>67500</v>
      </c>
      <c r="K399" s="6">
        <f t="shared" si="7"/>
        <v>837</v>
      </c>
      <c r="L399" s="6">
        <f t="shared" si="8"/>
        <v>0.05</v>
      </c>
    </row>
    <row r="400">
      <c r="A400" s="4" t="s">
        <v>1105</v>
      </c>
      <c r="B400" s="4" t="s">
        <v>1106</v>
      </c>
      <c r="C400" s="4" t="s">
        <v>1107</v>
      </c>
      <c r="D400" s="5">
        <v>6928.0</v>
      </c>
      <c r="E400" s="6" t="str">
        <f t="shared" si="1"/>
        <v>C</v>
      </c>
      <c r="F400" s="6" t="str">
        <f t="shared" si="2"/>
        <v>High ambition</v>
      </c>
      <c r="G400" s="6" t="str">
        <f t="shared" si="3"/>
        <v>High</v>
      </c>
      <c r="H400" s="6">
        <f t="shared" si="4"/>
        <v>2744223</v>
      </c>
      <c r="I400" s="6">
        <f t="shared" si="5"/>
        <v>1702451.5</v>
      </c>
      <c r="J400" s="6">
        <f t="shared" si="6"/>
        <v>48496</v>
      </c>
      <c r="K400" s="6">
        <f t="shared" si="7"/>
        <v>883</v>
      </c>
      <c r="L400" s="6">
        <f t="shared" si="8"/>
        <v>0.04</v>
      </c>
    </row>
    <row r="401">
      <c r="A401" s="4" t="s">
        <v>1108</v>
      </c>
      <c r="B401" s="4" t="s">
        <v>1109</v>
      </c>
      <c r="C401" s="4" t="s">
        <v>1110</v>
      </c>
      <c r="D401" s="5">
        <v>81393.0</v>
      </c>
      <c r="E401" s="6" t="str">
        <f t="shared" si="1"/>
        <v>C</v>
      </c>
      <c r="F401" s="6" t="str">
        <f t="shared" si="2"/>
        <v>Transformative change</v>
      </c>
      <c r="G401" s="6" t="str">
        <f t="shared" si="3"/>
        <v>High</v>
      </c>
      <c r="H401" s="6">
        <f t="shared" si="4"/>
        <v>1078218</v>
      </c>
      <c r="I401" s="6">
        <f t="shared" si="5"/>
        <v>775346.1089</v>
      </c>
      <c r="J401" s="6">
        <f t="shared" si="6"/>
        <v>1220895</v>
      </c>
      <c r="K401" s="6">
        <f t="shared" si="7"/>
        <v>5731.9</v>
      </c>
      <c r="L401" s="6">
        <f t="shared" si="8"/>
        <v>0.15</v>
      </c>
    </row>
    <row r="402">
      <c r="A402" s="4" t="s">
        <v>1111</v>
      </c>
      <c r="B402" s="4" t="s">
        <v>1112</v>
      </c>
      <c r="C402" s="4" t="s">
        <v>1113</v>
      </c>
      <c r="D402" s="5">
        <v>29138.0</v>
      </c>
      <c r="E402" s="6" t="str">
        <f t="shared" si="1"/>
        <v>E</v>
      </c>
      <c r="F402" s="6" t="str">
        <f t="shared" si="2"/>
        <v>Transformative change</v>
      </c>
      <c r="G402" s="6" t="str">
        <f t="shared" si="3"/>
        <v>High</v>
      </c>
      <c r="H402" s="6">
        <f t="shared" si="4"/>
        <v>973114</v>
      </c>
      <c r="I402" s="6">
        <f t="shared" si="5"/>
        <v>8178.919306</v>
      </c>
      <c r="J402" s="6">
        <f t="shared" si="6"/>
        <v>320518</v>
      </c>
      <c r="K402" s="6">
        <f t="shared" si="7"/>
        <v>992</v>
      </c>
      <c r="L402" s="6">
        <f t="shared" si="8"/>
        <v>0.17</v>
      </c>
    </row>
    <row r="403">
      <c r="A403" s="4" t="s">
        <v>1114</v>
      </c>
      <c r="B403" s="4" t="s">
        <v>1115</v>
      </c>
      <c r="C403" s="4" t="s">
        <v>1116</v>
      </c>
      <c r="D403" s="5">
        <v>14588.0</v>
      </c>
      <c r="E403" s="6" t="str">
        <f t="shared" si="1"/>
        <v>E</v>
      </c>
      <c r="F403" s="6" t="str">
        <f t="shared" si="2"/>
        <v>Transformative change</v>
      </c>
      <c r="G403" s="6" t="str">
        <f t="shared" si="3"/>
        <v>Medium</v>
      </c>
      <c r="H403" s="6">
        <f t="shared" si="4"/>
        <v>805966</v>
      </c>
      <c r="I403" s="6">
        <f t="shared" si="5"/>
        <v>109755.5314</v>
      </c>
      <c r="J403" s="6">
        <f t="shared" si="6"/>
        <v>160468</v>
      </c>
      <c r="K403" s="6">
        <f t="shared" si="7"/>
        <v>677.08</v>
      </c>
      <c r="L403" s="6">
        <f t="shared" si="8"/>
        <v>0.07</v>
      </c>
    </row>
    <row r="404">
      <c r="A404" s="4" t="s">
        <v>1117</v>
      </c>
      <c r="B404" s="4" t="s">
        <v>1118</v>
      </c>
      <c r="C404" s="4" t="s">
        <v>238</v>
      </c>
      <c r="D404" s="5">
        <v>12118.0</v>
      </c>
      <c r="E404" s="6" t="str">
        <f t="shared" si="1"/>
        <v>B</v>
      </c>
      <c r="F404" s="6" t="str">
        <f t="shared" si="2"/>
        <v>Transformative change</v>
      </c>
      <c r="G404" s="6" t="str">
        <f t="shared" si="3"/>
        <v>Medium</v>
      </c>
      <c r="H404" s="6">
        <f t="shared" si="4"/>
        <v>2960489</v>
      </c>
      <c r="I404" s="6">
        <f t="shared" si="5"/>
        <v>2203238.227</v>
      </c>
      <c r="J404" s="6">
        <f t="shared" si="6"/>
        <v>96944</v>
      </c>
      <c r="K404" s="6">
        <f t="shared" si="7"/>
        <v>887</v>
      </c>
      <c r="L404" s="6">
        <f t="shared" si="8"/>
        <v>0.19</v>
      </c>
    </row>
    <row r="405">
      <c r="A405" s="4" t="s">
        <v>1119</v>
      </c>
      <c r="B405" s="4" t="s">
        <v>1120</v>
      </c>
      <c r="C405" s="4" t="s">
        <v>1121</v>
      </c>
      <c r="D405" s="5">
        <v>237340.0</v>
      </c>
      <c r="E405" s="6" t="str">
        <f t="shared" si="1"/>
        <v>A</v>
      </c>
      <c r="F405" s="6" t="str">
        <f t="shared" si="2"/>
        <v>Transformative change</v>
      </c>
      <c r="G405" s="6" t="str">
        <f t="shared" si="3"/>
        <v>High</v>
      </c>
      <c r="H405" s="6">
        <f t="shared" si="4"/>
        <v>1303381</v>
      </c>
      <c r="I405" s="6">
        <f t="shared" si="5"/>
        <v>378403.2473</v>
      </c>
      <c r="J405" s="6">
        <f t="shared" si="6"/>
        <v>1898720</v>
      </c>
      <c r="K405" s="6">
        <f t="shared" si="7"/>
        <v>17419.45</v>
      </c>
      <c r="L405" s="6">
        <f t="shared" si="8"/>
        <v>0.26</v>
      </c>
    </row>
    <row r="406">
      <c r="A406" s="4" t="s">
        <v>1122</v>
      </c>
      <c r="B406" s="4" t="s">
        <v>1123</v>
      </c>
      <c r="C406" s="4" t="s">
        <v>1124</v>
      </c>
      <c r="D406" s="5">
        <v>10126.0</v>
      </c>
      <c r="E406" s="6" t="str">
        <f t="shared" si="1"/>
        <v>D</v>
      </c>
      <c r="F406" s="6" t="str">
        <f t="shared" si="2"/>
        <v>Transformative change</v>
      </c>
      <c r="G406" s="6" t="str">
        <f t="shared" si="3"/>
        <v>Low</v>
      </c>
      <c r="H406" s="6">
        <f t="shared" si="4"/>
        <v>2815902</v>
      </c>
      <c r="I406" s="6">
        <f t="shared" si="5"/>
        <v>1853188.221</v>
      </c>
      <c r="J406" s="6">
        <f t="shared" si="6"/>
        <v>60756</v>
      </c>
      <c r="K406" s="6">
        <f t="shared" si="7"/>
        <v>241.1</v>
      </c>
      <c r="L406" s="6">
        <f t="shared" si="8"/>
        <v>0.26</v>
      </c>
    </row>
    <row r="407">
      <c r="A407" s="4" t="s">
        <v>1125</v>
      </c>
      <c r="B407" s="4" t="s">
        <v>1126</v>
      </c>
      <c r="C407" s="4" t="s">
        <v>1127</v>
      </c>
      <c r="D407" s="5">
        <v>16726.0</v>
      </c>
      <c r="E407" s="6" t="str">
        <f t="shared" si="1"/>
        <v>C</v>
      </c>
      <c r="F407" s="6" t="str">
        <f t="shared" si="2"/>
        <v>Transformative change</v>
      </c>
      <c r="G407" s="6" t="str">
        <f t="shared" si="3"/>
        <v>High</v>
      </c>
      <c r="H407" s="6">
        <f t="shared" si="4"/>
        <v>359895</v>
      </c>
      <c r="I407" s="6">
        <f t="shared" si="5"/>
        <v>88470.85302</v>
      </c>
      <c r="J407" s="6">
        <f t="shared" si="6"/>
        <v>117082</v>
      </c>
      <c r="K407" s="6">
        <f t="shared" si="7"/>
        <v>840</v>
      </c>
      <c r="L407" s="6">
        <f t="shared" si="8"/>
        <v>0.28</v>
      </c>
    </row>
    <row r="408">
      <c r="A408" s="4" t="s">
        <v>1128</v>
      </c>
      <c r="B408" s="4" t="s">
        <v>1129</v>
      </c>
      <c r="C408" s="4" t="s">
        <v>1130</v>
      </c>
      <c r="D408" s="5">
        <v>8266.0</v>
      </c>
      <c r="E408" s="6" t="str">
        <f t="shared" si="1"/>
        <v>F</v>
      </c>
      <c r="F408" s="6" t="str">
        <f t="shared" si="2"/>
        <v>Transformative change</v>
      </c>
      <c r="G408" s="6" t="str">
        <f t="shared" si="3"/>
        <v>High</v>
      </c>
      <c r="H408" s="6">
        <f t="shared" si="4"/>
        <v>667506</v>
      </c>
      <c r="I408" s="6">
        <f t="shared" si="5"/>
        <v>317483.9291</v>
      </c>
      <c r="J408" s="6">
        <f t="shared" si="6"/>
        <v>41330</v>
      </c>
      <c r="K408" s="6">
        <f t="shared" si="7"/>
        <v>904</v>
      </c>
      <c r="L408" s="6">
        <f t="shared" si="8"/>
        <v>0.11</v>
      </c>
    </row>
    <row r="409">
      <c r="A409" s="4" t="s">
        <v>1131</v>
      </c>
      <c r="B409" s="4" t="s">
        <v>1132</v>
      </c>
      <c r="C409" s="4" t="s">
        <v>1133</v>
      </c>
      <c r="D409" s="5">
        <v>12733.0</v>
      </c>
      <c r="E409" s="6" t="str">
        <f t="shared" si="1"/>
        <v>C</v>
      </c>
      <c r="F409" s="6" t="str">
        <f t="shared" si="2"/>
        <v>Transformative change</v>
      </c>
      <c r="G409" s="6" t="str">
        <f t="shared" si="3"/>
        <v>Medium</v>
      </c>
      <c r="H409" s="6">
        <f t="shared" si="4"/>
        <v>2753783</v>
      </c>
      <c r="I409" s="6">
        <f t="shared" si="5"/>
        <v>2519233.759</v>
      </c>
      <c r="J409" s="6">
        <f t="shared" si="6"/>
        <v>101864</v>
      </c>
      <c r="K409" s="6">
        <f t="shared" si="7"/>
        <v>892</v>
      </c>
      <c r="L409" s="6">
        <f t="shared" si="8"/>
        <v>0.16</v>
      </c>
    </row>
    <row r="410">
      <c r="A410" s="4" t="s">
        <v>1134</v>
      </c>
      <c r="B410" s="4" t="s">
        <v>1135</v>
      </c>
      <c r="C410" s="4" t="s">
        <v>1136</v>
      </c>
      <c r="D410" s="5">
        <v>71022.0</v>
      </c>
      <c r="E410" s="6" t="str">
        <f t="shared" si="1"/>
        <v>E</v>
      </c>
      <c r="F410" s="6" t="str">
        <f t="shared" si="2"/>
        <v>Transformative change</v>
      </c>
      <c r="G410" s="6" t="str">
        <f t="shared" si="3"/>
        <v>Low</v>
      </c>
      <c r="H410" s="6">
        <f t="shared" si="4"/>
        <v>1141404</v>
      </c>
      <c r="I410" s="6">
        <f t="shared" si="5"/>
        <v>513997.4636</v>
      </c>
      <c r="J410" s="6">
        <f t="shared" si="6"/>
        <v>923286</v>
      </c>
      <c r="K410" s="6">
        <f t="shared" si="7"/>
        <v>4085.34</v>
      </c>
      <c r="L410" s="6">
        <f t="shared" si="8"/>
        <v>0.24</v>
      </c>
    </row>
    <row r="411">
      <c r="A411" s="4" t="s">
        <v>1137</v>
      </c>
      <c r="B411" s="4" t="s">
        <v>1138</v>
      </c>
      <c r="C411" s="4" t="s">
        <v>74</v>
      </c>
      <c r="D411" s="5">
        <v>12576.0</v>
      </c>
      <c r="E411" s="6" t="str">
        <f t="shared" si="1"/>
        <v>E</v>
      </c>
      <c r="F411" s="6" t="str">
        <f t="shared" si="2"/>
        <v>Transformative change</v>
      </c>
      <c r="G411" s="6" t="str">
        <f t="shared" si="3"/>
        <v>Medium</v>
      </c>
      <c r="H411" s="6">
        <f t="shared" si="4"/>
        <v>2156741</v>
      </c>
      <c r="I411" s="6">
        <f t="shared" si="5"/>
        <v>448088.9548</v>
      </c>
      <c r="J411" s="6">
        <f t="shared" si="6"/>
        <v>150912</v>
      </c>
      <c r="K411" s="6">
        <f t="shared" si="7"/>
        <v>917</v>
      </c>
      <c r="L411" s="6">
        <f t="shared" si="8"/>
        <v>0.06</v>
      </c>
    </row>
    <row r="412">
      <c r="A412" s="4" t="s">
        <v>1139</v>
      </c>
      <c r="B412" s="4" t="s">
        <v>1140</v>
      </c>
      <c r="C412" s="4" t="s">
        <v>1141</v>
      </c>
      <c r="D412" s="5">
        <v>9477.0</v>
      </c>
      <c r="E412" s="6" t="str">
        <f t="shared" si="1"/>
        <v>B</v>
      </c>
      <c r="F412" s="6" t="str">
        <f t="shared" si="2"/>
        <v>Transformative change</v>
      </c>
      <c r="G412" s="6" t="str">
        <f t="shared" si="3"/>
        <v>Low</v>
      </c>
      <c r="H412" s="6">
        <f t="shared" si="4"/>
        <v>2946465</v>
      </c>
      <c r="I412" s="6">
        <f t="shared" si="5"/>
        <v>462055.2756</v>
      </c>
      <c r="J412" s="6">
        <f t="shared" si="6"/>
        <v>47385</v>
      </c>
      <c r="K412" s="6">
        <f t="shared" si="7"/>
        <v>866</v>
      </c>
      <c r="L412" s="6">
        <f t="shared" si="8"/>
        <v>0.06</v>
      </c>
    </row>
    <row r="413">
      <c r="A413" s="4" t="s">
        <v>1142</v>
      </c>
      <c r="B413" s="4" t="s">
        <v>1143</v>
      </c>
      <c r="C413" s="4" t="s">
        <v>74</v>
      </c>
      <c r="D413" s="5">
        <v>16716.0</v>
      </c>
      <c r="E413" s="6" t="str">
        <f t="shared" si="1"/>
        <v>B</v>
      </c>
      <c r="F413" s="6" t="str">
        <f t="shared" si="2"/>
        <v>Transformative change</v>
      </c>
      <c r="G413" s="6" t="str">
        <f t="shared" si="3"/>
        <v>High</v>
      </c>
      <c r="H413" s="6">
        <f t="shared" si="4"/>
        <v>2653942</v>
      </c>
      <c r="I413" s="6">
        <f t="shared" si="5"/>
        <v>1576229.312</v>
      </c>
      <c r="J413" s="6">
        <f t="shared" si="6"/>
        <v>83580</v>
      </c>
      <c r="K413" s="6">
        <f t="shared" si="7"/>
        <v>814</v>
      </c>
      <c r="L413" s="6">
        <f t="shared" si="8"/>
        <v>0.3</v>
      </c>
    </row>
    <row r="414">
      <c r="A414" s="4" t="s">
        <v>259</v>
      </c>
      <c r="B414" s="4" t="s">
        <v>1144</v>
      </c>
      <c r="C414" s="4" t="s">
        <v>1145</v>
      </c>
      <c r="D414" s="5">
        <v>14804.0</v>
      </c>
      <c r="E414" s="6" t="str">
        <f t="shared" si="1"/>
        <v>D</v>
      </c>
      <c r="F414" s="6" t="str">
        <f t="shared" si="2"/>
        <v>Transformative change</v>
      </c>
      <c r="G414" s="6" t="str">
        <f t="shared" si="3"/>
        <v>Medium</v>
      </c>
      <c r="H414" s="6">
        <f t="shared" si="4"/>
        <v>1344608</v>
      </c>
      <c r="I414" s="6">
        <f t="shared" si="5"/>
        <v>1269235.32</v>
      </c>
      <c r="J414" s="6">
        <f t="shared" si="6"/>
        <v>162844</v>
      </c>
      <c r="K414" s="6">
        <f t="shared" si="7"/>
        <v>983</v>
      </c>
      <c r="L414" s="6">
        <f t="shared" si="8"/>
        <v>0.29</v>
      </c>
    </row>
    <row r="415">
      <c r="A415" s="4" t="s">
        <v>1146</v>
      </c>
      <c r="B415" s="4" t="s">
        <v>1147</v>
      </c>
      <c r="C415" s="4" t="s">
        <v>1148</v>
      </c>
      <c r="D415" s="5">
        <v>15044.0</v>
      </c>
      <c r="E415" s="6" t="str">
        <f t="shared" si="1"/>
        <v>A</v>
      </c>
      <c r="F415" s="6" t="str">
        <f t="shared" si="2"/>
        <v>High ambition</v>
      </c>
      <c r="G415" s="6" t="str">
        <f t="shared" si="3"/>
        <v>High</v>
      </c>
      <c r="H415" s="6">
        <f t="shared" si="4"/>
        <v>2659557</v>
      </c>
      <c r="I415" s="6">
        <f t="shared" si="5"/>
        <v>1521752.211</v>
      </c>
      <c r="J415" s="6">
        <f t="shared" si="6"/>
        <v>210616</v>
      </c>
      <c r="K415" s="6">
        <f t="shared" si="7"/>
        <v>538.66</v>
      </c>
      <c r="L415" s="6">
        <f t="shared" si="8"/>
        <v>0.18</v>
      </c>
    </row>
    <row r="416">
      <c r="A416" s="4" t="s">
        <v>1149</v>
      </c>
      <c r="B416" s="4" t="s">
        <v>1150</v>
      </c>
      <c r="C416" s="4" t="s">
        <v>1151</v>
      </c>
      <c r="D416" s="5">
        <v>11945.0</v>
      </c>
      <c r="E416" s="6" t="str">
        <f t="shared" si="1"/>
        <v>A</v>
      </c>
      <c r="F416" s="6" t="str">
        <f t="shared" si="2"/>
        <v>Transformative change</v>
      </c>
      <c r="G416" s="6" t="str">
        <f t="shared" si="3"/>
        <v>High</v>
      </c>
      <c r="H416" s="6">
        <f t="shared" si="4"/>
        <v>1526562</v>
      </c>
      <c r="I416" s="6">
        <f t="shared" si="5"/>
        <v>836631.6963</v>
      </c>
      <c r="J416" s="6">
        <f t="shared" si="6"/>
        <v>59725</v>
      </c>
      <c r="K416" s="6">
        <f t="shared" si="7"/>
        <v>831</v>
      </c>
      <c r="L416" s="6">
        <f t="shared" si="8"/>
        <v>0.3</v>
      </c>
    </row>
    <row r="417">
      <c r="A417" s="4" t="s">
        <v>1152</v>
      </c>
      <c r="B417" s="4" t="s">
        <v>1153</v>
      </c>
      <c r="C417" s="4" t="s">
        <v>1154</v>
      </c>
      <c r="D417" s="5">
        <v>20385.0</v>
      </c>
      <c r="E417" s="6" t="str">
        <f t="shared" si="1"/>
        <v>G</v>
      </c>
      <c r="F417" s="6" t="str">
        <f t="shared" si="2"/>
        <v>Transformative change</v>
      </c>
      <c r="G417" s="6" t="str">
        <f t="shared" si="3"/>
        <v>High</v>
      </c>
      <c r="H417" s="6">
        <f t="shared" si="4"/>
        <v>2607742</v>
      </c>
      <c r="I417" s="6">
        <f t="shared" si="5"/>
        <v>1439250.772</v>
      </c>
      <c r="J417" s="6">
        <f t="shared" si="6"/>
        <v>81540</v>
      </c>
      <c r="K417" s="6">
        <f t="shared" si="7"/>
        <v>814</v>
      </c>
      <c r="L417" s="6">
        <f t="shared" si="8"/>
        <v>0.13</v>
      </c>
    </row>
    <row r="418">
      <c r="A418" s="4" t="s">
        <v>1155</v>
      </c>
      <c r="B418" s="4" t="s">
        <v>1156</v>
      </c>
      <c r="C418" s="4" t="s">
        <v>1157</v>
      </c>
      <c r="D418" s="5">
        <v>19573.0</v>
      </c>
      <c r="E418" s="6" t="str">
        <f t="shared" si="1"/>
        <v>E</v>
      </c>
      <c r="F418" s="6" t="str">
        <f t="shared" si="2"/>
        <v>Transformative change</v>
      </c>
      <c r="G418" s="6" t="str">
        <f t="shared" si="3"/>
        <v>Medium</v>
      </c>
      <c r="H418" s="6">
        <f t="shared" si="4"/>
        <v>1313091</v>
      </c>
      <c r="I418" s="6">
        <f t="shared" si="5"/>
        <v>481201.3128</v>
      </c>
      <c r="J418" s="6">
        <f t="shared" si="6"/>
        <v>176157</v>
      </c>
      <c r="K418" s="6">
        <f t="shared" si="7"/>
        <v>629.13</v>
      </c>
      <c r="L418" s="6">
        <f t="shared" si="8"/>
        <v>0.27</v>
      </c>
    </row>
    <row r="419">
      <c r="A419" s="4" t="s">
        <v>1158</v>
      </c>
      <c r="B419" s="4" t="s">
        <v>1159</v>
      </c>
      <c r="C419" s="4" t="s">
        <v>1160</v>
      </c>
      <c r="D419" s="5">
        <v>6907.0</v>
      </c>
      <c r="E419" s="6" t="str">
        <f t="shared" si="1"/>
        <v>A</v>
      </c>
      <c r="F419" s="6" t="str">
        <f t="shared" si="2"/>
        <v>Transformative change</v>
      </c>
      <c r="G419" s="6" t="str">
        <f t="shared" si="3"/>
        <v>Medium</v>
      </c>
      <c r="H419" s="6">
        <f t="shared" si="4"/>
        <v>2759100</v>
      </c>
      <c r="I419" s="6">
        <f t="shared" si="5"/>
        <v>1776886.5</v>
      </c>
      <c r="J419" s="6">
        <f t="shared" si="6"/>
        <v>96698</v>
      </c>
      <c r="K419" s="6">
        <f t="shared" si="7"/>
        <v>1585.21</v>
      </c>
      <c r="L419" s="6">
        <f t="shared" si="8"/>
        <v>0.3</v>
      </c>
    </row>
    <row r="420">
      <c r="A420" s="4" t="s">
        <v>1161</v>
      </c>
      <c r="B420" s="4" t="s">
        <v>1162</v>
      </c>
      <c r="C420" s="4" t="s">
        <v>1163</v>
      </c>
      <c r="D420" s="5">
        <v>93180.0</v>
      </c>
      <c r="E420" s="6" t="str">
        <f t="shared" si="1"/>
        <v>D</v>
      </c>
      <c r="F420" s="6" t="str">
        <f t="shared" si="2"/>
        <v>High ambition</v>
      </c>
      <c r="G420" s="6" t="str">
        <f t="shared" si="3"/>
        <v>High</v>
      </c>
      <c r="H420" s="6">
        <f t="shared" si="4"/>
        <v>601680</v>
      </c>
      <c r="I420" s="6">
        <f t="shared" si="5"/>
        <v>536176.4262</v>
      </c>
      <c r="J420" s="6">
        <f t="shared" si="6"/>
        <v>372720</v>
      </c>
      <c r="K420" s="6">
        <f t="shared" si="7"/>
        <v>4187.87</v>
      </c>
      <c r="L420" s="6">
        <f t="shared" si="8"/>
        <v>0.28</v>
      </c>
    </row>
    <row r="421">
      <c r="A421" s="4" t="s">
        <v>1164</v>
      </c>
      <c r="B421" s="4" t="s">
        <v>1165</v>
      </c>
      <c r="C421" s="4" t="s">
        <v>1166</v>
      </c>
      <c r="D421" s="5">
        <v>18192.0</v>
      </c>
      <c r="E421" s="6" t="str">
        <f t="shared" si="1"/>
        <v>E</v>
      </c>
      <c r="F421" s="6" t="str">
        <f t="shared" si="2"/>
        <v>High ambition</v>
      </c>
      <c r="G421" s="6" t="str">
        <f t="shared" si="3"/>
        <v>Low</v>
      </c>
      <c r="H421" s="6">
        <f t="shared" si="4"/>
        <v>1022607</v>
      </c>
      <c r="I421" s="6">
        <f t="shared" si="5"/>
        <v>881581.4131</v>
      </c>
      <c r="J421" s="6">
        <f t="shared" si="6"/>
        <v>272880</v>
      </c>
      <c r="K421" s="6">
        <f t="shared" si="7"/>
        <v>824.41</v>
      </c>
      <c r="L421" s="6">
        <f t="shared" si="8"/>
        <v>0.14</v>
      </c>
    </row>
    <row r="422">
      <c r="A422" s="4" t="s">
        <v>1167</v>
      </c>
      <c r="B422" s="4" t="s">
        <v>1168</v>
      </c>
      <c r="C422" s="4" t="s">
        <v>1169</v>
      </c>
      <c r="D422" s="5">
        <v>12848.0</v>
      </c>
      <c r="E422" s="6" t="str">
        <f t="shared" si="1"/>
        <v>G</v>
      </c>
      <c r="F422" s="6" t="str">
        <f t="shared" si="2"/>
        <v>Transformative change</v>
      </c>
      <c r="G422" s="6" t="str">
        <f t="shared" si="3"/>
        <v>Medium</v>
      </c>
      <c r="H422" s="6">
        <f t="shared" si="4"/>
        <v>3898709</v>
      </c>
      <c r="I422" s="6">
        <f t="shared" si="5"/>
        <v>3128271.057</v>
      </c>
      <c r="J422" s="6">
        <f t="shared" si="6"/>
        <v>51392</v>
      </c>
      <c r="K422" s="6">
        <f t="shared" si="7"/>
        <v>1084</v>
      </c>
      <c r="L422" s="6">
        <f t="shared" si="8"/>
        <v>0.23</v>
      </c>
    </row>
    <row r="423">
      <c r="A423" s="4" t="s">
        <v>1170</v>
      </c>
      <c r="B423" s="4" t="s">
        <v>1171</v>
      </c>
      <c r="C423" s="4" t="s">
        <v>1172</v>
      </c>
      <c r="D423" s="5">
        <v>19603.0</v>
      </c>
      <c r="E423" s="6" t="str">
        <f t="shared" si="1"/>
        <v>C</v>
      </c>
      <c r="F423" s="6" t="str">
        <f t="shared" si="2"/>
        <v>Transformative change</v>
      </c>
      <c r="G423" s="6" t="str">
        <f t="shared" si="3"/>
        <v>High</v>
      </c>
      <c r="H423" s="6">
        <f t="shared" si="4"/>
        <v>693009</v>
      </c>
      <c r="I423" s="6">
        <f t="shared" si="5"/>
        <v>162078.9034</v>
      </c>
      <c r="J423" s="6">
        <f t="shared" si="6"/>
        <v>235236</v>
      </c>
      <c r="K423" s="6">
        <f t="shared" si="7"/>
        <v>1809.51</v>
      </c>
      <c r="L423" s="6">
        <f t="shared" si="8"/>
        <v>0.09</v>
      </c>
    </row>
    <row r="424">
      <c r="A424" s="4" t="s">
        <v>1173</v>
      </c>
      <c r="B424" s="4" t="s">
        <v>1174</v>
      </c>
      <c r="C424" s="4" t="s">
        <v>74</v>
      </c>
      <c r="D424" s="5">
        <v>349060.0</v>
      </c>
      <c r="E424" s="6" t="str">
        <f t="shared" si="1"/>
        <v>D</v>
      </c>
      <c r="F424" s="6" t="str">
        <f t="shared" si="2"/>
        <v>Transformative change</v>
      </c>
      <c r="G424" s="6" t="str">
        <f t="shared" si="3"/>
        <v>Medium</v>
      </c>
      <c r="H424" s="6">
        <f t="shared" si="4"/>
        <v>2077067</v>
      </c>
      <c r="I424" s="6">
        <f t="shared" si="5"/>
        <v>462954.6371</v>
      </c>
      <c r="J424" s="6">
        <f t="shared" si="6"/>
        <v>4188720</v>
      </c>
      <c r="K424" s="6">
        <f t="shared" si="7"/>
        <v>24353.02</v>
      </c>
      <c r="L424" s="6">
        <f t="shared" si="8"/>
        <v>0.17</v>
      </c>
    </row>
    <row r="425">
      <c r="A425" s="4" t="s">
        <v>1175</v>
      </c>
      <c r="B425" s="4" t="s">
        <v>1176</v>
      </c>
      <c r="C425" s="4" t="s">
        <v>1177</v>
      </c>
      <c r="D425" s="5">
        <v>66352.0</v>
      </c>
      <c r="E425" s="6" t="str">
        <f t="shared" si="1"/>
        <v>B</v>
      </c>
      <c r="F425" s="6" t="str">
        <f t="shared" si="2"/>
        <v>High ambition</v>
      </c>
      <c r="G425" s="6" t="str">
        <f t="shared" si="3"/>
        <v>Low</v>
      </c>
      <c r="H425" s="6">
        <f t="shared" si="4"/>
        <v>2363687</v>
      </c>
      <c r="I425" s="6">
        <f t="shared" si="5"/>
        <v>762723.066</v>
      </c>
      <c r="J425" s="6">
        <f t="shared" si="6"/>
        <v>796224</v>
      </c>
      <c r="K425" s="6">
        <f t="shared" si="7"/>
        <v>3050.67</v>
      </c>
      <c r="L425" s="6">
        <f t="shared" si="8"/>
        <v>0.24</v>
      </c>
    </row>
    <row r="426">
      <c r="A426" s="4" t="s">
        <v>1178</v>
      </c>
      <c r="B426" s="4" t="s">
        <v>1179</v>
      </c>
      <c r="C426" s="4" t="s">
        <v>74</v>
      </c>
      <c r="D426" s="5">
        <v>8350.0</v>
      </c>
      <c r="E426" s="6" t="str">
        <f t="shared" si="1"/>
        <v>C</v>
      </c>
      <c r="F426" s="6" t="str">
        <f t="shared" si="2"/>
        <v>Transformative change</v>
      </c>
      <c r="G426" s="6" t="str">
        <f t="shared" si="3"/>
        <v>Medium</v>
      </c>
      <c r="H426" s="6">
        <f t="shared" si="4"/>
        <v>2659270</v>
      </c>
      <c r="I426" s="6">
        <f t="shared" si="5"/>
        <v>1679917.479</v>
      </c>
      <c r="J426" s="6">
        <f t="shared" si="6"/>
        <v>108550</v>
      </c>
      <c r="K426" s="6">
        <f t="shared" si="7"/>
        <v>302.37</v>
      </c>
      <c r="L426" s="6">
        <f t="shared" si="8"/>
        <v>0.09</v>
      </c>
    </row>
    <row r="427">
      <c r="A427" s="4" t="s">
        <v>1180</v>
      </c>
      <c r="B427" s="4" t="s">
        <v>1181</v>
      </c>
      <c r="C427" s="4" t="s">
        <v>1182</v>
      </c>
      <c r="D427" s="5">
        <v>7531.0</v>
      </c>
      <c r="E427" s="6" t="str">
        <f t="shared" si="1"/>
        <v>G</v>
      </c>
      <c r="F427" s="6" t="str">
        <f t="shared" si="2"/>
        <v>Transformative change</v>
      </c>
      <c r="G427" s="6" t="str">
        <f t="shared" si="3"/>
        <v>High</v>
      </c>
      <c r="H427" s="6">
        <f t="shared" si="4"/>
        <v>1794988</v>
      </c>
      <c r="I427" s="6">
        <f t="shared" si="5"/>
        <v>1183089.011</v>
      </c>
      <c r="J427" s="6">
        <f t="shared" si="6"/>
        <v>82841</v>
      </c>
      <c r="K427" s="6">
        <f t="shared" si="7"/>
        <v>904</v>
      </c>
      <c r="L427" s="6">
        <f t="shared" si="8"/>
        <v>0.18</v>
      </c>
    </row>
    <row r="428">
      <c r="A428" s="4" t="s">
        <v>1183</v>
      </c>
      <c r="B428" s="4" t="s">
        <v>1184</v>
      </c>
      <c r="C428" s="4" t="s">
        <v>1185</v>
      </c>
      <c r="D428" s="5">
        <v>15188.0</v>
      </c>
      <c r="E428" s="6" t="str">
        <f t="shared" si="1"/>
        <v>F</v>
      </c>
      <c r="F428" s="6" t="str">
        <f t="shared" si="2"/>
        <v>Transformative change</v>
      </c>
      <c r="G428" s="6" t="str">
        <f t="shared" si="3"/>
        <v>Medium</v>
      </c>
      <c r="H428" s="6">
        <f t="shared" si="4"/>
        <v>3686015</v>
      </c>
      <c r="I428" s="6">
        <f t="shared" si="5"/>
        <v>3459828.881</v>
      </c>
      <c r="J428" s="6">
        <f t="shared" si="6"/>
        <v>75940</v>
      </c>
      <c r="K428" s="6">
        <f t="shared" si="7"/>
        <v>969</v>
      </c>
      <c r="L428" s="6">
        <f t="shared" si="8"/>
        <v>0.04</v>
      </c>
    </row>
    <row r="429">
      <c r="A429" s="4" t="s">
        <v>1186</v>
      </c>
      <c r="B429" s="4" t="s">
        <v>1187</v>
      </c>
      <c r="C429" s="4" t="s">
        <v>74</v>
      </c>
      <c r="D429" s="5">
        <v>30767.0</v>
      </c>
      <c r="E429" s="6" t="str">
        <f t="shared" si="1"/>
        <v>D</v>
      </c>
      <c r="F429" s="6" t="str">
        <f t="shared" si="2"/>
        <v>Transformative change</v>
      </c>
      <c r="G429" s="6" t="str">
        <f t="shared" si="3"/>
        <v>Medium</v>
      </c>
      <c r="H429" s="6">
        <f t="shared" si="4"/>
        <v>3638031</v>
      </c>
      <c r="I429" s="6">
        <f t="shared" si="5"/>
        <v>2120409.609</v>
      </c>
      <c r="J429" s="6">
        <f t="shared" si="6"/>
        <v>461505</v>
      </c>
      <c r="K429" s="6">
        <f t="shared" si="7"/>
        <v>1666.08</v>
      </c>
      <c r="L429" s="6">
        <f t="shared" si="8"/>
        <v>0.23</v>
      </c>
    </row>
    <row r="430">
      <c r="A430" s="4" t="s">
        <v>1188</v>
      </c>
      <c r="B430" s="4" t="s">
        <v>1174</v>
      </c>
      <c r="C430" s="4" t="s">
        <v>1189</v>
      </c>
      <c r="D430" s="5">
        <v>8720.0</v>
      </c>
      <c r="E430" s="6" t="str">
        <f t="shared" si="1"/>
        <v>C</v>
      </c>
      <c r="F430" s="6" t="str">
        <f t="shared" si="2"/>
        <v>Transformative change</v>
      </c>
      <c r="G430" s="6" t="str">
        <f t="shared" si="3"/>
        <v>Low</v>
      </c>
      <c r="H430" s="6">
        <f t="shared" si="4"/>
        <v>270221</v>
      </c>
      <c r="I430" s="6">
        <f t="shared" si="5"/>
        <v>59033.20914</v>
      </c>
      <c r="J430" s="6">
        <f t="shared" si="6"/>
        <v>52320</v>
      </c>
      <c r="K430" s="6">
        <f t="shared" si="7"/>
        <v>941</v>
      </c>
      <c r="L430" s="6">
        <f t="shared" si="8"/>
        <v>0.23</v>
      </c>
    </row>
    <row r="431">
      <c r="A431" s="4" t="s">
        <v>1190</v>
      </c>
      <c r="B431" s="4" t="s">
        <v>1191</v>
      </c>
      <c r="C431" s="4" t="s">
        <v>1192</v>
      </c>
      <c r="D431" s="5">
        <v>5872.0</v>
      </c>
      <c r="E431" s="6" t="str">
        <f t="shared" si="1"/>
        <v>D</v>
      </c>
      <c r="F431" s="6" t="str">
        <f t="shared" si="2"/>
        <v>Transformative change</v>
      </c>
      <c r="G431" s="6" t="str">
        <f t="shared" si="3"/>
        <v>Medium</v>
      </c>
      <c r="H431" s="6">
        <f t="shared" si="4"/>
        <v>1513978</v>
      </c>
      <c r="I431" s="6">
        <f t="shared" si="5"/>
        <v>1505930.188</v>
      </c>
      <c r="J431" s="6">
        <f t="shared" si="6"/>
        <v>88080</v>
      </c>
      <c r="K431" s="6">
        <f t="shared" si="7"/>
        <v>1000</v>
      </c>
      <c r="L431" s="6">
        <f t="shared" si="8"/>
        <v>0.24</v>
      </c>
    </row>
    <row r="432">
      <c r="A432" s="4" t="s">
        <v>1193</v>
      </c>
      <c r="B432" s="4" t="s">
        <v>1194</v>
      </c>
      <c r="C432" s="4" t="s">
        <v>74</v>
      </c>
      <c r="D432" s="5">
        <v>17068.0</v>
      </c>
      <c r="E432" s="6" t="str">
        <f t="shared" si="1"/>
        <v>F</v>
      </c>
      <c r="F432" s="6" t="str">
        <f t="shared" si="2"/>
        <v>Transformative change</v>
      </c>
      <c r="G432" s="6" t="str">
        <f t="shared" si="3"/>
        <v>Low</v>
      </c>
      <c r="H432" s="6">
        <f t="shared" si="4"/>
        <v>2056539</v>
      </c>
      <c r="I432" s="6">
        <f t="shared" si="5"/>
        <v>1245572.721</v>
      </c>
      <c r="J432" s="6">
        <f t="shared" si="6"/>
        <v>221884</v>
      </c>
      <c r="K432" s="6">
        <f t="shared" si="7"/>
        <v>837.3</v>
      </c>
      <c r="L432" s="6">
        <f t="shared" si="8"/>
        <v>0.02</v>
      </c>
    </row>
    <row r="433">
      <c r="A433" s="4" t="s">
        <v>1195</v>
      </c>
      <c r="B433" s="4" t="s">
        <v>1196</v>
      </c>
      <c r="C433" s="4" t="s">
        <v>1197</v>
      </c>
      <c r="D433" s="5">
        <v>11905.0</v>
      </c>
      <c r="E433" s="6" t="str">
        <f t="shared" si="1"/>
        <v>E</v>
      </c>
      <c r="F433" s="6" t="str">
        <f t="shared" si="2"/>
        <v>Transformative change</v>
      </c>
      <c r="G433" s="6" t="str">
        <f t="shared" si="3"/>
        <v>High</v>
      </c>
      <c r="H433" s="6">
        <f t="shared" si="4"/>
        <v>1668771</v>
      </c>
      <c r="I433" s="6">
        <f t="shared" si="5"/>
        <v>865484.4441</v>
      </c>
      <c r="J433" s="6">
        <f t="shared" si="6"/>
        <v>178575</v>
      </c>
      <c r="K433" s="6">
        <f t="shared" si="7"/>
        <v>1075.75</v>
      </c>
      <c r="L433" s="6">
        <f t="shared" si="8"/>
        <v>0.1</v>
      </c>
    </row>
    <row r="434">
      <c r="A434" s="4" t="s">
        <v>1198</v>
      </c>
      <c r="B434" s="4" t="s">
        <v>1199</v>
      </c>
      <c r="C434" s="4" t="s">
        <v>1200</v>
      </c>
      <c r="D434" s="5">
        <v>7566.0</v>
      </c>
      <c r="E434" s="6" t="str">
        <f t="shared" si="1"/>
        <v>B</v>
      </c>
      <c r="F434" s="6" t="str">
        <f t="shared" si="2"/>
        <v>Transformative change</v>
      </c>
      <c r="G434" s="6" t="str">
        <f t="shared" si="3"/>
        <v>Medium</v>
      </c>
      <c r="H434" s="6">
        <f t="shared" si="4"/>
        <v>206320</v>
      </c>
      <c r="I434" s="6">
        <f t="shared" si="5"/>
        <v>175178.6132</v>
      </c>
      <c r="J434" s="6">
        <f t="shared" si="6"/>
        <v>68094</v>
      </c>
      <c r="K434" s="6">
        <f t="shared" si="7"/>
        <v>956</v>
      </c>
      <c r="L434" s="6">
        <f t="shared" si="8"/>
        <v>0.02</v>
      </c>
    </row>
    <row r="435">
      <c r="A435" s="4" t="s">
        <v>1201</v>
      </c>
      <c r="B435" s="4" t="s">
        <v>1202</v>
      </c>
      <c r="C435" s="4" t="s">
        <v>1203</v>
      </c>
      <c r="D435" s="5">
        <v>734141.0</v>
      </c>
      <c r="E435" s="6" t="str">
        <f t="shared" si="1"/>
        <v>G</v>
      </c>
      <c r="F435" s="6" t="str">
        <f t="shared" si="2"/>
        <v>High ambition</v>
      </c>
      <c r="G435" s="6" t="str">
        <f t="shared" si="3"/>
        <v>Low</v>
      </c>
      <c r="H435" s="6">
        <f t="shared" si="4"/>
        <v>1103346</v>
      </c>
      <c r="I435" s="6">
        <f t="shared" si="5"/>
        <v>633579.7589</v>
      </c>
      <c r="J435" s="6">
        <f t="shared" si="6"/>
        <v>8075551</v>
      </c>
      <c r="K435" s="6">
        <f t="shared" si="7"/>
        <v>29909.45</v>
      </c>
      <c r="L435" s="6">
        <f t="shared" si="8"/>
        <v>0.01</v>
      </c>
    </row>
    <row r="436">
      <c r="A436" s="4" t="s">
        <v>1204</v>
      </c>
      <c r="B436" s="4" t="s">
        <v>1205</v>
      </c>
      <c r="C436" s="4" t="s">
        <v>74</v>
      </c>
      <c r="D436" s="5">
        <v>866873.0</v>
      </c>
      <c r="E436" s="6" t="str">
        <f t="shared" si="1"/>
        <v>F</v>
      </c>
      <c r="F436" s="6" t="str">
        <f t="shared" si="2"/>
        <v>Transformative change</v>
      </c>
      <c r="G436" s="6" t="str">
        <f t="shared" si="3"/>
        <v>Low</v>
      </c>
      <c r="H436" s="6">
        <f t="shared" si="4"/>
        <v>728062</v>
      </c>
      <c r="I436" s="6">
        <f t="shared" si="5"/>
        <v>19444.55305</v>
      </c>
      <c r="J436" s="6">
        <f t="shared" si="6"/>
        <v>9535603</v>
      </c>
      <c r="K436" s="6">
        <f t="shared" si="7"/>
        <v>75083.49</v>
      </c>
      <c r="L436" s="6">
        <f t="shared" si="8"/>
        <v>0.19</v>
      </c>
    </row>
    <row r="437">
      <c r="A437" s="4" t="s">
        <v>1206</v>
      </c>
      <c r="B437" s="4" t="s">
        <v>1207</v>
      </c>
      <c r="C437" s="4" t="s">
        <v>1208</v>
      </c>
      <c r="D437" s="5">
        <v>44856.0</v>
      </c>
      <c r="E437" s="6" t="str">
        <f t="shared" si="1"/>
        <v>G</v>
      </c>
      <c r="F437" s="6" t="str">
        <f t="shared" si="2"/>
        <v>High ambition</v>
      </c>
      <c r="G437" s="6" t="str">
        <f t="shared" si="3"/>
        <v>Low</v>
      </c>
      <c r="H437" s="6">
        <f t="shared" si="4"/>
        <v>1359303</v>
      </c>
      <c r="I437" s="6">
        <f t="shared" si="5"/>
        <v>1167630.183</v>
      </c>
      <c r="J437" s="6">
        <f t="shared" si="6"/>
        <v>672840</v>
      </c>
      <c r="K437" s="6">
        <f t="shared" si="7"/>
        <v>13192.94</v>
      </c>
      <c r="L437" s="6">
        <f t="shared" si="8"/>
        <v>0.1</v>
      </c>
    </row>
    <row r="438">
      <c r="A438" s="4" t="s">
        <v>1209</v>
      </c>
      <c r="B438" s="4" t="s">
        <v>1210</v>
      </c>
      <c r="C438" s="4" t="s">
        <v>1211</v>
      </c>
      <c r="D438" s="5">
        <v>79811.0</v>
      </c>
      <c r="E438" s="6" t="str">
        <f t="shared" si="1"/>
        <v>F</v>
      </c>
      <c r="F438" s="6" t="str">
        <f t="shared" si="2"/>
        <v>Transformative change</v>
      </c>
      <c r="G438" s="6" t="str">
        <f t="shared" si="3"/>
        <v>Low</v>
      </c>
      <c r="H438" s="6">
        <f t="shared" si="4"/>
        <v>3373322</v>
      </c>
      <c r="I438" s="6">
        <f t="shared" si="5"/>
        <v>3106520.941</v>
      </c>
      <c r="J438" s="6">
        <f t="shared" si="6"/>
        <v>399055</v>
      </c>
      <c r="K438" s="6">
        <f t="shared" si="7"/>
        <v>1995.28</v>
      </c>
      <c r="L438" s="6">
        <f t="shared" si="8"/>
        <v>0.28</v>
      </c>
    </row>
    <row r="439">
      <c r="A439" s="4" t="s">
        <v>1212</v>
      </c>
      <c r="B439" s="4" t="s">
        <v>1213</v>
      </c>
      <c r="C439" s="4" t="s">
        <v>1214</v>
      </c>
      <c r="D439" s="5">
        <v>7761.0</v>
      </c>
      <c r="E439" s="6" t="str">
        <f t="shared" si="1"/>
        <v>G</v>
      </c>
      <c r="F439" s="6" t="str">
        <f t="shared" si="2"/>
        <v>Transformative change</v>
      </c>
      <c r="G439" s="6" t="str">
        <f t="shared" si="3"/>
        <v>Medium</v>
      </c>
      <c r="H439" s="6">
        <f t="shared" si="4"/>
        <v>540059</v>
      </c>
      <c r="I439" s="6">
        <f t="shared" si="5"/>
        <v>400184.2407</v>
      </c>
      <c r="J439" s="6">
        <f t="shared" si="6"/>
        <v>93132</v>
      </c>
      <c r="K439" s="6">
        <f t="shared" si="7"/>
        <v>953</v>
      </c>
      <c r="L439" s="6">
        <f t="shared" si="8"/>
        <v>0.2</v>
      </c>
    </row>
    <row r="440">
      <c r="A440" s="4" t="s">
        <v>1215</v>
      </c>
      <c r="B440" s="4" t="s">
        <v>1216</v>
      </c>
      <c r="C440" s="4" t="s">
        <v>74</v>
      </c>
      <c r="D440" s="5">
        <v>8653.0</v>
      </c>
      <c r="E440" s="6" t="str">
        <f t="shared" si="1"/>
        <v>E</v>
      </c>
      <c r="F440" s="6" t="str">
        <f t="shared" si="2"/>
        <v>Transformative change</v>
      </c>
      <c r="G440" s="6" t="str">
        <f t="shared" si="3"/>
        <v>Medium</v>
      </c>
      <c r="H440" s="6">
        <f t="shared" si="4"/>
        <v>3318091</v>
      </c>
      <c r="I440" s="6">
        <f t="shared" si="5"/>
        <v>1836309.607</v>
      </c>
      <c r="J440" s="6">
        <f t="shared" si="6"/>
        <v>60571</v>
      </c>
      <c r="K440" s="6">
        <f t="shared" si="7"/>
        <v>991</v>
      </c>
      <c r="L440" s="6">
        <f t="shared" si="8"/>
        <v>0.23</v>
      </c>
    </row>
    <row r="441">
      <c r="A441" s="4" t="s">
        <v>1217</v>
      </c>
      <c r="B441" s="4" t="s">
        <v>1218</v>
      </c>
      <c r="C441" s="4" t="s">
        <v>1219</v>
      </c>
      <c r="D441" s="5">
        <v>7791.0</v>
      </c>
      <c r="E441" s="6" t="str">
        <f t="shared" si="1"/>
        <v>G</v>
      </c>
      <c r="F441" s="6" t="str">
        <f t="shared" si="2"/>
        <v>High ambition</v>
      </c>
      <c r="G441" s="6" t="str">
        <f t="shared" si="3"/>
        <v>Medium</v>
      </c>
      <c r="H441" s="6">
        <f t="shared" si="4"/>
        <v>1187461</v>
      </c>
      <c r="I441" s="6">
        <f t="shared" si="5"/>
        <v>73272.827</v>
      </c>
      <c r="J441" s="6">
        <f t="shared" si="6"/>
        <v>77910</v>
      </c>
      <c r="K441" s="6">
        <f t="shared" si="7"/>
        <v>1050</v>
      </c>
      <c r="L441" s="6">
        <f t="shared" si="8"/>
        <v>0.21</v>
      </c>
    </row>
    <row r="442">
      <c r="A442" s="4" t="s">
        <v>1220</v>
      </c>
      <c r="B442" s="4" t="s">
        <v>1221</v>
      </c>
      <c r="C442" s="4" t="s">
        <v>1222</v>
      </c>
      <c r="D442" s="5">
        <v>17131.0</v>
      </c>
      <c r="E442" s="6" t="str">
        <f t="shared" si="1"/>
        <v>G</v>
      </c>
      <c r="F442" s="6" t="str">
        <f t="shared" si="2"/>
        <v>Transformative change</v>
      </c>
      <c r="G442" s="6" t="str">
        <f t="shared" si="3"/>
        <v>Low</v>
      </c>
      <c r="H442" s="6">
        <f t="shared" si="4"/>
        <v>1769651</v>
      </c>
      <c r="I442" s="6">
        <f t="shared" si="5"/>
        <v>673881.7957</v>
      </c>
      <c r="J442" s="6">
        <f t="shared" si="6"/>
        <v>239834</v>
      </c>
      <c r="K442" s="6">
        <f t="shared" si="7"/>
        <v>869</v>
      </c>
      <c r="L442" s="6">
        <f t="shared" si="8"/>
        <v>0.02</v>
      </c>
    </row>
    <row r="443">
      <c r="A443" s="4" t="s">
        <v>1223</v>
      </c>
      <c r="B443" s="4" t="s">
        <v>1224</v>
      </c>
      <c r="C443" s="4" t="s">
        <v>1225</v>
      </c>
      <c r="D443" s="5">
        <v>483341.0</v>
      </c>
      <c r="E443" s="6" t="str">
        <f t="shared" si="1"/>
        <v>D</v>
      </c>
      <c r="F443" s="6" t="str">
        <f t="shared" si="2"/>
        <v>Transformative change</v>
      </c>
      <c r="G443" s="6" t="str">
        <f t="shared" si="3"/>
        <v>Low</v>
      </c>
      <c r="H443" s="6">
        <f t="shared" si="4"/>
        <v>353867</v>
      </c>
      <c r="I443" s="6">
        <f t="shared" si="5"/>
        <v>300368.8404</v>
      </c>
      <c r="J443" s="6">
        <f t="shared" si="6"/>
        <v>7250115</v>
      </c>
      <c r="K443" s="6">
        <f t="shared" si="7"/>
        <v>70389.47</v>
      </c>
      <c r="L443" s="6">
        <f t="shared" si="8"/>
        <v>0.04</v>
      </c>
    </row>
    <row r="444">
      <c r="A444" s="4" t="s">
        <v>1226</v>
      </c>
      <c r="B444" s="4" t="s">
        <v>1227</v>
      </c>
      <c r="C444" s="4" t="s">
        <v>1228</v>
      </c>
      <c r="D444" s="5">
        <v>7144.0</v>
      </c>
      <c r="E444" s="6" t="str">
        <f t="shared" si="1"/>
        <v>E</v>
      </c>
      <c r="F444" s="6" t="str">
        <f t="shared" si="2"/>
        <v>Transformative change</v>
      </c>
      <c r="G444" s="6" t="str">
        <f t="shared" si="3"/>
        <v>Medium</v>
      </c>
      <c r="H444" s="6">
        <f t="shared" si="4"/>
        <v>3718891</v>
      </c>
      <c r="I444" s="6">
        <f t="shared" si="5"/>
        <v>2416802.773</v>
      </c>
      <c r="J444" s="6">
        <f t="shared" si="6"/>
        <v>42864</v>
      </c>
      <c r="K444" s="6">
        <f t="shared" si="7"/>
        <v>934</v>
      </c>
      <c r="L444" s="6">
        <f t="shared" si="8"/>
        <v>0.29</v>
      </c>
    </row>
    <row r="445">
      <c r="A445" s="4" t="s">
        <v>201</v>
      </c>
      <c r="B445" s="4" t="s">
        <v>1229</v>
      </c>
      <c r="C445" s="4" t="s">
        <v>1230</v>
      </c>
      <c r="D445" s="5">
        <v>91903.0</v>
      </c>
      <c r="E445" s="6" t="str">
        <f t="shared" si="1"/>
        <v>F</v>
      </c>
      <c r="F445" s="6" t="str">
        <f t="shared" si="2"/>
        <v>Transformative change</v>
      </c>
      <c r="G445" s="6" t="str">
        <f t="shared" si="3"/>
        <v>Medium</v>
      </c>
      <c r="H445" s="6">
        <f t="shared" si="4"/>
        <v>3449702</v>
      </c>
      <c r="I445" s="6">
        <f t="shared" si="5"/>
        <v>1515800.677</v>
      </c>
      <c r="J445" s="6">
        <f t="shared" si="6"/>
        <v>827127</v>
      </c>
      <c r="K445" s="6">
        <f t="shared" si="7"/>
        <v>3376.03</v>
      </c>
      <c r="L445" s="6">
        <f t="shared" si="8"/>
        <v>0.08</v>
      </c>
    </row>
    <row r="446">
      <c r="A446" s="4" t="s">
        <v>1231</v>
      </c>
      <c r="B446" s="4" t="s">
        <v>1232</v>
      </c>
      <c r="C446" s="4" t="s">
        <v>74</v>
      </c>
      <c r="D446" s="5">
        <v>10233.0</v>
      </c>
      <c r="E446" s="6" t="str">
        <f t="shared" si="1"/>
        <v>E</v>
      </c>
      <c r="F446" s="6" t="str">
        <f t="shared" si="2"/>
        <v>Transformative change</v>
      </c>
      <c r="G446" s="6" t="str">
        <f t="shared" si="3"/>
        <v>Medium</v>
      </c>
      <c r="H446" s="6">
        <f t="shared" si="4"/>
        <v>858090</v>
      </c>
      <c r="I446" s="6">
        <f t="shared" si="5"/>
        <v>354753.5521</v>
      </c>
      <c r="J446" s="6">
        <f t="shared" si="6"/>
        <v>122796</v>
      </c>
      <c r="K446" s="6">
        <f t="shared" si="7"/>
        <v>927</v>
      </c>
      <c r="L446" s="6">
        <f t="shared" si="8"/>
        <v>0.05</v>
      </c>
    </row>
    <row r="447">
      <c r="A447" s="4" t="s">
        <v>1233</v>
      </c>
      <c r="B447" s="4" t="s">
        <v>1234</v>
      </c>
      <c r="C447" s="4" t="s">
        <v>1235</v>
      </c>
      <c r="D447" s="5">
        <v>18442.0</v>
      </c>
      <c r="E447" s="6" t="str">
        <f t="shared" si="1"/>
        <v>A</v>
      </c>
      <c r="F447" s="6" t="str">
        <f t="shared" si="2"/>
        <v>Transformative change</v>
      </c>
      <c r="G447" s="6" t="str">
        <f t="shared" si="3"/>
        <v>High</v>
      </c>
      <c r="H447" s="6">
        <f t="shared" si="4"/>
        <v>486478</v>
      </c>
      <c r="I447" s="6">
        <f t="shared" si="5"/>
        <v>249608.5151</v>
      </c>
      <c r="J447" s="6">
        <f t="shared" si="6"/>
        <v>276630</v>
      </c>
      <c r="K447" s="6">
        <f t="shared" si="7"/>
        <v>904.02</v>
      </c>
      <c r="L447" s="6">
        <f t="shared" si="8"/>
        <v>0.05</v>
      </c>
    </row>
    <row r="448">
      <c r="A448" s="4" t="s">
        <v>1236</v>
      </c>
      <c r="B448" s="4" t="s">
        <v>1237</v>
      </c>
      <c r="C448" s="4" t="s">
        <v>1238</v>
      </c>
      <c r="D448" s="5">
        <v>65892.0</v>
      </c>
      <c r="E448" s="6" t="str">
        <f t="shared" si="1"/>
        <v>B</v>
      </c>
      <c r="F448" s="6" t="str">
        <f t="shared" si="2"/>
        <v>Transformative change</v>
      </c>
      <c r="G448" s="6" t="str">
        <f t="shared" si="3"/>
        <v>Low</v>
      </c>
      <c r="H448" s="6">
        <f t="shared" si="4"/>
        <v>1044176</v>
      </c>
      <c r="I448" s="6">
        <f t="shared" si="5"/>
        <v>737175.4452</v>
      </c>
      <c r="J448" s="6">
        <f t="shared" si="6"/>
        <v>988380</v>
      </c>
      <c r="K448" s="6">
        <f t="shared" si="7"/>
        <v>6960.42</v>
      </c>
      <c r="L448" s="6">
        <f t="shared" si="8"/>
        <v>0.2</v>
      </c>
    </row>
    <row r="449">
      <c r="A449" s="4" t="s">
        <v>1239</v>
      </c>
      <c r="B449" s="4" t="s">
        <v>1240</v>
      </c>
      <c r="C449" s="4" t="s">
        <v>74</v>
      </c>
      <c r="D449" s="5">
        <v>12813.0</v>
      </c>
      <c r="E449" s="6" t="str">
        <f t="shared" si="1"/>
        <v>F</v>
      </c>
      <c r="F449" s="6" t="str">
        <f t="shared" si="2"/>
        <v>Transformative change</v>
      </c>
      <c r="G449" s="6" t="str">
        <f t="shared" si="3"/>
        <v>Low</v>
      </c>
      <c r="H449" s="6">
        <f t="shared" si="4"/>
        <v>1735283</v>
      </c>
      <c r="I449" s="6">
        <f t="shared" si="5"/>
        <v>929259.48</v>
      </c>
      <c r="J449" s="6">
        <f t="shared" si="6"/>
        <v>128130</v>
      </c>
      <c r="K449" s="6">
        <f t="shared" si="7"/>
        <v>957</v>
      </c>
      <c r="L449" s="6">
        <f t="shared" si="8"/>
        <v>0.03</v>
      </c>
    </row>
    <row r="450">
      <c r="A450" s="4" t="s">
        <v>302</v>
      </c>
      <c r="B450" s="4" t="s">
        <v>1241</v>
      </c>
      <c r="C450" s="4" t="s">
        <v>1242</v>
      </c>
      <c r="D450" s="5">
        <v>18154.0</v>
      </c>
      <c r="E450" s="6" t="str">
        <f t="shared" si="1"/>
        <v>F</v>
      </c>
      <c r="F450" s="6" t="str">
        <f t="shared" si="2"/>
        <v>High ambition</v>
      </c>
      <c r="G450" s="6" t="str">
        <f t="shared" si="3"/>
        <v>High</v>
      </c>
      <c r="H450" s="6">
        <f t="shared" si="4"/>
        <v>3327452</v>
      </c>
      <c r="I450" s="6">
        <f t="shared" si="5"/>
        <v>1263865.899</v>
      </c>
      <c r="J450" s="6">
        <f t="shared" si="6"/>
        <v>127078</v>
      </c>
      <c r="K450" s="6">
        <f t="shared" si="7"/>
        <v>404.71</v>
      </c>
      <c r="L450" s="6">
        <f t="shared" si="8"/>
        <v>0.07</v>
      </c>
    </row>
    <row r="451">
      <c r="A451" s="4" t="s">
        <v>1243</v>
      </c>
      <c r="B451" s="4" t="s">
        <v>1244</v>
      </c>
      <c r="C451" s="4" t="s">
        <v>726</v>
      </c>
      <c r="D451" s="5">
        <v>26442.0</v>
      </c>
      <c r="E451" s="6" t="str">
        <f t="shared" si="1"/>
        <v>D</v>
      </c>
      <c r="F451" s="6" t="str">
        <f t="shared" si="2"/>
        <v>Transformative change</v>
      </c>
      <c r="G451" s="6" t="str">
        <f t="shared" si="3"/>
        <v>Low</v>
      </c>
      <c r="H451" s="6">
        <f t="shared" si="4"/>
        <v>140742</v>
      </c>
      <c r="I451" s="6">
        <f t="shared" si="5"/>
        <v>15731.76701</v>
      </c>
      <c r="J451" s="6">
        <f t="shared" si="6"/>
        <v>264420</v>
      </c>
      <c r="K451" s="6">
        <f t="shared" si="7"/>
        <v>1005.4</v>
      </c>
      <c r="L451" s="6">
        <f t="shared" si="8"/>
        <v>0.18</v>
      </c>
    </row>
    <row r="452">
      <c r="A452" s="4" t="s">
        <v>1245</v>
      </c>
      <c r="B452" s="4" t="s">
        <v>1246</v>
      </c>
      <c r="C452" s="4" t="s">
        <v>1247</v>
      </c>
      <c r="D452" s="5">
        <v>15098.0</v>
      </c>
      <c r="E452" s="6" t="str">
        <f t="shared" si="1"/>
        <v>D</v>
      </c>
      <c r="F452" s="6" t="str">
        <f t="shared" si="2"/>
        <v>Transformative change</v>
      </c>
      <c r="G452" s="6" t="str">
        <f t="shared" si="3"/>
        <v>High</v>
      </c>
      <c r="H452" s="6">
        <f t="shared" si="4"/>
        <v>3685783</v>
      </c>
      <c r="I452" s="6">
        <f t="shared" si="5"/>
        <v>372483.0908</v>
      </c>
      <c r="J452" s="6">
        <f t="shared" si="6"/>
        <v>90588</v>
      </c>
      <c r="K452" s="6">
        <f t="shared" si="7"/>
        <v>878</v>
      </c>
      <c r="L452" s="6">
        <f t="shared" si="8"/>
        <v>0.1</v>
      </c>
    </row>
    <row r="453">
      <c r="A453" s="4" t="s">
        <v>1248</v>
      </c>
      <c r="B453" s="4" t="s">
        <v>1249</v>
      </c>
      <c r="C453" s="4" t="s">
        <v>1250</v>
      </c>
      <c r="D453" s="5">
        <v>14110.0</v>
      </c>
      <c r="E453" s="6" t="str">
        <f t="shared" si="1"/>
        <v>C</v>
      </c>
      <c r="F453" s="6" t="str">
        <f t="shared" si="2"/>
        <v>High ambition</v>
      </c>
      <c r="G453" s="6" t="str">
        <f t="shared" si="3"/>
        <v>Low</v>
      </c>
      <c r="H453" s="6">
        <f t="shared" si="4"/>
        <v>1070442</v>
      </c>
      <c r="I453" s="6">
        <f t="shared" si="5"/>
        <v>803096.4574</v>
      </c>
      <c r="J453" s="6">
        <f t="shared" si="6"/>
        <v>211650</v>
      </c>
      <c r="K453" s="6">
        <f t="shared" si="7"/>
        <v>999</v>
      </c>
      <c r="L453" s="6">
        <f t="shared" si="8"/>
        <v>0.24</v>
      </c>
    </row>
    <row r="454">
      <c r="A454" s="4" t="s">
        <v>1251</v>
      </c>
      <c r="B454" s="4" t="s">
        <v>1252</v>
      </c>
      <c r="C454" s="4" t="s">
        <v>1253</v>
      </c>
      <c r="D454" s="5">
        <v>16620.0</v>
      </c>
      <c r="E454" s="6" t="str">
        <f t="shared" si="1"/>
        <v>D</v>
      </c>
      <c r="F454" s="6" t="str">
        <f t="shared" si="2"/>
        <v>Transformative change</v>
      </c>
      <c r="G454" s="6" t="str">
        <f t="shared" si="3"/>
        <v>High</v>
      </c>
      <c r="H454" s="6">
        <f t="shared" si="4"/>
        <v>1764263</v>
      </c>
      <c r="I454" s="6">
        <f t="shared" si="5"/>
        <v>10437.23279</v>
      </c>
      <c r="J454" s="6">
        <f t="shared" si="6"/>
        <v>199440</v>
      </c>
      <c r="K454" s="6">
        <f t="shared" si="7"/>
        <v>613.66</v>
      </c>
      <c r="L454" s="6">
        <f t="shared" si="8"/>
        <v>0.2</v>
      </c>
    </row>
    <row r="455">
      <c r="A455" s="4" t="s">
        <v>1254</v>
      </c>
      <c r="B455" s="4" t="s">
        <v>1255</v>
      </c>
      <c r="C455" s="4" t="s">
        <v>74</v>
      </c>
      <c r="D455" s="5">
        <v>40659.0</v>
      </c>
      <c r="E455" s="6" t="str">
        <f t="shared" si="1"/>
        <v>G</v>
      </c>
      <c r="F455" s="6" t="str">
        <f t="shared" si="2"/>
        <v>High ambition</v>
      </c>
      <c r="G455" s="6" t="str">
        <f t="shared" si="3"/>
        <v>Low</v>
      </c>
      <c r="H455" s="6">
        <f t="shared" si="4"/>
        <v>2579831</v>
      </c>
      <c r="I455" s="6">
        <f t="shared" si="5"/>
        <v>1383683.471</v>
      </c>
      <c r="J455" s="6">
        <f t="shared" si="6"/>
        <v>203295</v>
      </c>
      <c r="K455" s="6">
        <f t="shared" si="7"/>
        <v>772.98</v>
      </c>
      <c r="L455" s="6">
        <f t="shared" si="8"/>
        <v>0.01</v>
      </c>
    </row>
    <row r="456">
      <c r="A456" s="4" t="s">
        <v>1256</v>
      </c>
      <c r="B456" s="4" t="s">
        <v>1257</v>
      </c>
      <c r="C456" s="4" t="s">
        <v>1258</v>
      </c>
      <c r="D456" s="5">
        <v>19547.0</v>
      </c>
      <c r="E456" s="6" t="str">
        <f t="shared" si="1"/>
        <v>E</v>
      </c>
      <c r="F456" s="6" t="str">
        <f t="shared" si="2"/>
        <v>Transformative change</v>
      </c>
      <c r="G456" s="6" t="str">
        <f t="shared" si="3"/>
        <v>High</v>
      </c>
      <c r="H456" s="6">
        <f t="shared" si="4"/>
        <v>2680346</v>
      </c>
      <c r="I456" s="6">
        <f t="shared" si="5"/>
        <v>1386288.795</v>
      </c>
      <c r="J456" s="6">
        <f t="shared" si="6"/>
        <v>97735</v>
      </c>
      <c r="K456" s="6">
        <f t="shared" si="7"/>
        <v>963</v>
      </c>
      <c r="L456" s="6">
        <f t="shared" si="8"/>
        <v>0.21</v>
      </c>
    </row>
    <row r="457">
      <c r="A457" s="4" t="s">
        <v>1259</v>
      </c>
      <c r="B457" s="4" t="s">
        <v>1260</v>
      </c>
      <c r="C457" s="4" t="s">
        <v>1261</v>
      </c>
      <c r="D457" s="5">
        <v>18807.0</v>
      </c>
      <c r="E457" s="6" t="str">
        <f t="shared" si="1"/>
        <v>E</v>
      </c>
      <c r="F457" s="6" t="str">
        <f t="shared" si="2"/>
        <v>Transformative change</v>
      </c>
      <c r="G457" s="6" t="str">
        <f t="shared" si="3"/>
        <v>High</v>
      </c>
      <c r="H457" s="6">
        <f t="shared" si="4"/>
        <v>3412578</v>
      </c>
      <c r="I457" s="6">
        <f t="shared" si="5"/>
        <v>739145.9477</v>
      </c>
      <c r="J457" s="6">
        <f t="shared" si="6"/>
        <v>206877</v>
      </c>
      <c r="K457" s="6">
        <f t="shared" si="7"/>
        <v>667.35</v>
      </c>
      <c r="L457" s="6">
        <f t="shared" si="8"/>
        <v>0.23</v>
      </c>
    </row>
    <row r="458">
      <c r="A458" s="4" t="s">
        <v>1262</v>
      </c>
      <c r="B458" s="4" t="s">
        <v>1263</v>
      </c>
      <c r="C458" s="4" t="s">
        <v>455</v>
      </c>
      <c r="D458" s="5">
        <v>90526.0</v>
      </c>
      <c r="E458" s="6" t="str">
        <f t="shared" si="1"/>
        <v>C</v>
      </c>
      <c r="F458" s="6" t="str">
        <f t="shared" si="2"/>
        <v>High ambition</v>
      </c>
      <c r="G458" s="6" t="str">
        <f t="shared" si="3"/>
        <v>Medium</v>
      </c>
      <c r="H458" s="6">
        <f t="shared" si="4"/>
        <v>3994443</v>
      </c>
      <c r="I458" s="6">
        <f t="shared" si="5"/>
        <v>3279006.288</v>
      </c>
      <c r="J458" s="6">
        <f t="shared" si="6"/>
        <v>1357890</v>
      </c>
      <c r="K458" s="6">
        <f t="shared" si="7"/>
        <v>4352.21</v>
      </c>
      <c r="L458" s="6">
        <f t="shared" si="8"/>
        <v>0.3</v>
      </c>
    </row>
    <row r="459">
      <c r="A459" s="4" t="s">
        <v>1264</v>
      </c>
      <c r="B459" s="4" t="s">
        <v>1265</v>
      </c>
      <c r="C459" s="4" t="s">
        <v>74</v>
      </c>
      <c r="D459" s="5">
        <v>24582.0</v>
      </c>
      <c r="E459" s="6" t="str">
        <f t="shared" si="1"/>
        <v>A</v>
      </c>
      <c r="F459" s="6" t="str">
        <f t="shared" si="2"/>
        <v>Transformative change</v>
      </c>
      <c r="G459" s="6" t="str">
        <f t="shared" si="3"/>
        <v>Medium</v>
      </c>
      <c r="H459" s="6">
        <f t="shared" si="4"/>
        <v>1116413</v>
      </c>
      <c r="I459" s="6">
        <f t="shared" si="5"/>
        <v>215217.5415</v>
      </c>
      <c r="J459" s="6">
        <f t="shared" si="6"/>
        <v>122910</v>
      </c>
      <c r="K459" s="6">
        <f t="shared" si="7"/>
        <v>1031</v>
      </c>
      <c r="L459" s="6">
        <f t="shared" si="8"/>
        <v>0.18</v>
      </c>
    </row>
    <row r="460">
      <c r="A460" s="4" t="s">
        <v>1266</v>
      </c>
      <c r="B460" s="4" t="s">
        <v>1267</v>
      </c>
      <c r="C460" s="4" t="s">
        <v>74</v>
      </c>
      <c r="D460" s="5">
        <v>7169.0</v>
      </c>
      <c r="E460" s="6" t="str">
        <f t="shared" si="1"/>
        <v>G</v>
      </c>
      <c r="F460" s="6" t="str">
        <f t="shared" si="2"/>
        <v>Transformative change</v>
      </c>
      <c r="G460" s="6" t="str">
        <f t="shared" si="3"/>
        <v>Medium</v>
      </c>
      <c r="H460" s="6">
        <f t="shared" si="4"/>
        <v>1505988</v>
      </c>
      <c r="I460" s="6">
        <f t="shared" si="5"/>
        <v>757285.3002</v>
      </c>
      <c r="J460" s="6">
        <f t="shared" si="6"/>
        <v>28676</v>
      </c>
      <c r="K460" s="6">
        <f t="shared" si="7"/>
        <v>98.54</v>
      </c>
      <c r="L460" s="6">
        <f t="shared" si="8"/>
        <v>0.06</v>
      </c>
    </row>
    <row r="461">
      <c r="A461" s="4" t="s">
        <v>1268</v>
      </c>
      <c r="B461" s="4" t="s">
        <v>1269</v>
      </c>
      <c r="C461" s="4" t="s">
        <v>1270</v>
      </c>
      <c r="D461" s="5">
        <v>9052.0</v>
      </c>
      <c r="E461" s="6" t="str">
        <f t="shared" si="1"/>
        <v>A</v>
      </c>
      <c r="F461" s="6" t="str">
        <f t="shared" si="2"/>
        <v>Transformative change</v>
      </c>
      <c r="G461" s="6" t="str">
        <f t="shared" si="3"/>
        <v>Medium</v>
      </c>
      <c r="H461" s="6">
        <f t="shared" si="4"/>
        <v>2054427</v>
      </c>
      <c r="I461" s="6">
        <f t="shared" si="5"/>
        <v>1902946.469</v>
      </c>
      <c r="J461" s="6">
        <f t="shared" si="6"/>
        <v>54312</v>
      </c>
      <c r="K461" s="6">
        <f t="shared" si="7"/>
        <v>305.12</v>
      </c>
      <c r="L461" s="6">
        <f t="shared" si="8"/>
        <v>0.3</v>
      </c>
    </row>
    <row r="462">
      <c r="A462" s="4" t="s">
        <v>1271</v>
      </c>
      <c r="B462" s="4" t="s">
        <v>1272</v>
      </c>
      <c r="C462" s="4" t="s">
        <v>1273</v>
      </c>
      <c r="D462" s="5">
        <v>8289.0</v>
      </c>
      <c r="E462" s="6" t="str">
        <f t="shared" si="1"/>
        <v>F</v>
      </c>
      <c r="F462" s="6" t="str">
        <f t="shared" si="2"/>
        <v>Transformative change</v>
      </c>
      <c r="G462" s="6" t="str">
        <f t="shared" si="3"/>
        <v>Low</v>
      </c>
      <c r="H462" s="6">
        <f t="shared" si="4"/>
        <v>3974983</v>
      </c>
      <c r="I462" s="6">
        <f t="shared" si="5"/>
        <v>3361899.758</v>
      </c>
      <c r="J462" s="6">
        <f t="shared" si="6"/>
        <v>91179</v>
      </c>
      <c r="K462" s="6">
        <f t="shared" si="7"/>
        <v>1049</v>
      </c>
      <c r="L462" s="6">
        <f t="shared" si="8"/>
        <v>0.02</v>
      </c>
    </row>
    <row r="463">
      <c r="A463" s="4" t="s">
        <v>1274</v>
      </c>
      <c r="B463" s="4" t="s">
        <v>1275</v>
      </c>
      <c r="C463" s="4" t="s">
        <v>74</v>
      </c>
      <c r="D463" s="5">
        <v>12674.0</v>
      </c>
      <c r="E463" s="6" t="str">
        <f t="shared" si="1"/>
        <v>C</v>
      </c>
      <c r="F463" s="6" t="str">
        <f t="shared" si="2"/>
        <v>Transformative change</v>
      </c>
      <c r="G463" s="6" t="str">
        <f t="shared" si="3"/>
        <v>High</v>
      </c>
      <c r="H463" s="6">
        <f t="shared" si="4"/>
        <v>1731840</v>
      </c>
      <c r="I463" s="6">
        <f t="shared" si="5"/>
        <v>437318.5488</v>
      </c>
      <c r="J463" s="6">
        <f t="shared" si="6"/>
        <v>63370</v>
      </c>
      <c r="K463" s="6">
        <f t="shared" si="7"/>
        <v>963</v>
      </c>
      <c r="L463" s="6">
        <f t="shared" si="8"/>
        <v>0.12</v>
      </c>
    </row>
    <row r="464">
      <c r="A464" s="4" t="s">
        <v>663</v>
      </c>
      <c r="B464" s="4" t="s">
        <v>1276</v>
      </c>
      <c r="C464" s="4" t="s">
        <v>1277</v>
      </c>
      <c r="D464" s="5">
        <v>19759.0</v>
      </c>
      <c r="E464" s="6" t="str">
        <f t="shared" si="1"/>
        <v>C</v>
      </c>
      <c r="F464" s="6" t="str">
        <f t="shared" si="2"/>
        <v>Transformative change</v>
      </c>
      <c r="G464" s="6" t="str">
        <f t="shared" si="3"/>
        <v>Low</v>
      </c>
      <c r="H464" s="6">
        <f t="shared" si="4"/>
        <v>3308991</v>
      </c>
      <c r="I464" s="6">
        <f t="shared" si="5"/>
        <v>947032.3704</v>
      </c>
      <c r="J464" s="6">
        <f t="shared" si="6"/>
        <v>217349</v>
      </c>
      <c r="K464" s="6">
        <f t="shared" si="7"/>
        <v>1068</v>
      </c>
      <c r="L464" s="6">
        <f t="shared" si="8"/>
        <v>0.07</v>
      </c>
    </row>
    <row r="465">
      <c r="A465" s="4" t="s">
        <v>1278</v>
      </c>
      <c r="B465" s="4" t="s">
        <v>931</v>
      </c>
      <c r="C465" s="4" t="s">
        <v>1279</v>
      </c>
      <c r="D465" s="5">
        <v>8746.0</v>
      </c>
      <c r="E465" s="6" t="str">
        <f t="shared" si="1"/>
        <v>B</v>
      </c>
      <c r="F465" s="6" t="str">
        <f t="shared" si="2"/>
        <v>Transformative change</v>
      </c>
      <c r="G465" s="6" t="str">
        <f t="shared" si="3"/>
        <v>Medium</v>
      </c>
      <c r="H465" s="6">
        <f t="shared" si="4"/>
        <v>778246</v>
      </c>
      <c r="I465" s="6">
        <f t="shared" si="5"/>
        <v>82255.34606</v>
      </c>
      <c r="J465" s="6">
        <f t="shared" si="6"/>
        <v>96206</v>
      </c>
      <c r="K465" s="6">
        <f t="shared" si="7"/>
        <v>922</v>
      </c>
      <c r="L465" s="6">
        <f t="shared" si="8"/>
        <v>0.21</v>
      </c>
    </row>
    <row r="466">
      <c r="A466" s="4" t="s">
        <v>1280</v>
      </c>
      <c r="B466" s="4" t="s">
        <v>1281</v>
      </c>
      <c r="C466" s="4" t="s">
        <v>1282</v>
      </c>
      <c r="D466" s="5">
        <v>61543.0</v>
      </c>
      <c r="E466" s="6" t="str">
        <f t="shared" si="1"/>
        <v>G</v>
      </c>
      <c r="F466" s="6" t="str">
        <f t="shared" si="2"/>
        <v>Transformative change</v>
      </c>
      <c r="G466" s="6" t="str">
        <f t="shared" si="3"/>
        <v>Medium</v>
      </c>
      <c r="H466" s="6">
        <f t="shared" si="4"/>
        <v>1195625</v>
      </c>
      <c r="I466" s="6">
        <f t="shared" si="5"/>
        <v>635846.6533</v>
      </c>
      <c r="J466" s="6">
        <f t="shared" si="6"/>
        <v>923145</v>
      </c>
      <c r="K466" s="6">
        <f t="shared" si="7"/>
        <v>4438.2</v>
      </c>
      <c r="L466" s="6">
        <f t="shared" si="8"/>
        <v>0.01</v>
      </c>
    </row>
    <row r="467">
      <c r="A467" s="4" t="s">
        <v>1283</v>
      </c>
      <c r="B467" s="4" t="s">
        <v>1284</v>
      </c>
      <c r="C467" s="4" t="s">
        <v>1148</v>
      </c>
      <c r="D467" s="5">
        <v>16008.0</v>
      </c>
      <c r="E467" s="6" t="str">
        <f t="shared" si="1"/>
        <v>C</v>
      </c>
      <c r="F467" s="6" t="str">
        <f t="shared" si="2"/>
        <v>Transformative change</v>
      </c>
      <c r="G467" s="6" t="str">
        <f t="shared" si="3"/>
        <v>Low</v>
      </c>
      <c r="H467" s="6">
        <f t="shared" si="4"/>
        <v>3125321</v>
      </c>
      <c r="I467" s="6">
        <f t="shared" si="5"/>
        <v>479652.7635</v>
      </c>
      <c r="J467" s="6">
        <f t="shared" si="6"/>
        <v>208104</v>
      </c>
      <c r="K467" s="6">
        <f t="shared" si="7"/>
        <v>1061.76</v>
      </c>
      <c r="L467" s="6">
        <f t="shared" si="8"/>
        <v>0.25</v>
      </c>
    </row>
    <row r="468">
      <c r="A468" s="4" t="s">
        <v>1285</v>
      </c>
      <c r="B468" s="4" t="s">
        <v>1286</v>
      </c>
      <c r="C468" s="4" t="s">
        <v>1287</v>
      </c>
      <c r="D468" s="5">
        <v>271828.0</v>
      </c>
      <c r="E468" s="6" t="str">
        <f t="shared" si="1"/>
        <v>C</v>
      </c>
      <c r="F468" s="6" t="str">
        <f t="shared" si="2"/>
        <v>Transformative change</v>
      </c>
      <c r="G468" s="6" t="str">
        <f t="shared" si="3"/>
        <v>High</v>
      </c>
      <c r="H468" s="6">
        <f t="shared" si="4"/>
        <v>3080479</v>
      </c>
      <c r="I468" s="6">
        <f t="shared" si="5"/>
        <v>2583667.681</v>
      </c>
      <c r="J468" s="6">
        <f t="shared" si="6"/>
        <v>2718280</v>
      </c>
      <c r="K468" s="6">
        <f t="shared" si="7"/>
        <v>16180.24</v>
      </c>
      <c r="L468" s="6">
        <f t="shared" si="8"/>
        <v>0.04</v>
      </c>
    </row>
    <row r="469">
      <c r="A469" s="4" t="s">
        <v>1288</v>
      </c>
      <c r="B469" s="4" t="s">
        <v>1289</v>
      </c>
      <c r="C469" s="4" t="s">
        <v>1290</v>
      </c>
      <c r="D469" s="5">
        <v>16445.0</v>
      </c>
      <c r="E469" s="6" t="str">
        <f t="shared" si="1"/>
        <v>C</v>
      </c>
      <c r="F469" s="6" t="str">
        <f t="shared" si="2"/>
        <v>Transformative change</v>
      </c>
      <c r="G469" s="6" t="str">
        <f t="shared" si="3"/>
        <v>High</v>
      </c>
      <c r="H469" s="6">
        <f t="shared" si="4"/>
        <v>2319993</v>
      </c>
      <c r="I469" s="6">
        <f t="shared" si="5"/>
        <v>1953427.629</v>
      </c>
      <c r="J469" s="6">
        <f t="shared" si="6"/>
        <v>197340</v>
      </c>
      <c r="K469" s="6">
        <f t="shared" si="7"/>
        <v>1167.69</v>
      </c>
      <c r="L469" s="6">
        <f t="shared" si="8"/>
        <v>0.07</v>
      </c>
    </row>
    <row r="470">
      <c r="A470" s="4" t="s">
        <v>835</v>
      </c>
      <c r="B470" s="4" t="s">
        <v>1291</v>
      </c>
      <c r="C470" s="4" t="s">
        <v>1292</v>
      </c>
      <c r="D470" s="5">
        <v>13125.0</v>
      </c>
      <c r="E470" s="6" t="str">
        <f t="shared" si="1"/>
        <v>B</v>
      </c>
      <c r="F470" s="6" t="str">
        <f t="shared" si="2"/>
        <v>Transformative change</v>
      </c>
      <c r="G470" s="6" t="str">
        <f t="shared" si="3"/>
        <v>Low</v>
      </c>
      <c r="H470" s="6">
        <f t="shared" si="4"/>
        <v>1270545</v>
      </c>
      <c r="I470" s="6">
        <f t="shared" si="5"/>
        <v>1205819.469</v>
      </c>
      <c r="J470" s="6">
        <f t="shared" si="6"/>
        <v>65625</v>
      </c>
      <c r="K470" s="6">
        <f t="shared" si="7"/>
        <v>882</v>
      </c>
      <c r="L470" s="6">
        <f t="shared" si="8"/>
        <v>0.25</v>
      </c>
    </row>
    <row r="471">
      <c r="A471" s="4" t="s">
        <v>1293</v>
      </c>
      <c r="B471" s="4" t="s">
        <v>1294</v>
      </c>
      <c r="C471" s="4" t="s">
        <v>1295</v>
      </c>
      <c r="D471" s="5">
        <v>317778.0</v>
      </c>
      <c r="E471" s="6" t="str">
        <f t="shared" si="1"/>
        <v>F</v>
      </c>
      <c r="F471" s="6" t="str">
        <f t="shared" si="2"/>
        <v>Transformative change</v>
      </c>
      <c r="G471" s="6" t="str">
        <f t="shared" si="3"/>
        <v>Medium</v>
      </c>
      <c r="H471" s="6">
        <f t="shared" si="4"/>
        <v>1513102</v>
      </c>
      <c r="I471" s="6">
        <f t="shared" si="5"/>
        <v>531066.4626</v>
      </c>
      <c r="J471" s="6">
        <f t="shared" si="6"/>
        <v>1271112</v>
      </c>
      <c r="K471" s="6">
        <f t="shared" si="7"/>
        <v>4222.96</v>
      </c>
      <c r="L471" s="6">
        <f t="shared" si="8"/>
        <v>0.11</v>
      </c>
    </row>
    <row r="472">
      <c r="A472" s="4" t="s">
        <v>434</v>
      </c>
      <c r="B472" s="4" t="s">
        <v>1296</v>
      </c>
      <c r="C472" s="4" t="s">
        <v>1297</v>
      </c>
      <c r="D472" s="5">
        <v>7501.0</v>
      </c>
      <c r="E472" s="6" t="str">
        <f t="shared" si="1"/>
        <v>A</v>
      </c>
      <c r="F472" s="6" t="str">
        <f t="shared" si="2"/>
        <v>Transformative change</v>
      </c>
      <c r="G472" s="6" t="str">
        <f t="shared" si="3"/>
        <v>Medium</v>
      </c>
      <c r="H472" s="6">
        <f t="shared" si="4"/>
        <v>623096</v>
      </c>
      <c r="I472" s="6">
        <f t="shared" si="5"/>
        <v>117529.1</v>
      </c>
      <c r="J472" s="6">
        <f t="shared" si="6"/>
        <v>67509</v>
      </c>
      <c r="K472" s="6">
        <f t="shared" si="7"/>
        <v>927</v>
      </c>
      <c r="L472" s="6">
        <f t="shared" si="8"/>
        <v>0.14</v>
      </c>
    </row>
    <row r="473">
      <c r="A473" s="4" t="s">
        <v>296</v>
      </c>
      <c r="B473" s="4" t="s">
        <v>1298</v>
      </c>
      <c r="C473" s="4" t="s">
        <v>1299</v>
      </c>
      <c r="D473" s="5">
        <v>5838.0</v>
      </c>
      <c r="E473" s="6" t="str">
        <f t="shared" si="1"/>
        <v>A</v>
      </c>
      <c r="F473" s="6" t="str">
        <f t="shared" si="2"/>
        <v>Transformative change</v>
      </c>
      <c r="G473" s="6" t="str">
        <f t="shared" si="3"/>
        <v>Low</v>
      </c>
      <c r="H473" s="6">
        <f t="shared" si="4"/>
        <v>1783503</v>
      </c>
      <c r="I473" s="6">
        <f t="shared" si="5"/>
        <v>1710321.55</v>
      </c>
      <c r="J473" s="6">
        <f t="shared" si="6"/>
        <v>46704</v>
      </c>
      <c r="K473" s="6">
        <f t="shared" si="7"/>
        <v>1000</v>
      </c>
      <c r="L473" s="6">
        <f t="shared" si="8"/>
        <v>0.08</v>
      </c>
    </row>
    <row r="474">
      <c r="A474" s="4" t="s">
        <v>1300</v>
      </c>
      <c r="B474" s="4" t="s">
        <v>1234</v>
      </c>
      <c r="C474" s="4" t="s">
        <v>1301</v>
      </c>
      <c r="D474" s="5">
        <v>16667.0</v>
      </c>
      <c r="E474" s="6" t="str">
        <f t="shared" si="1"/>
        <v>A</v>
      </c>
      <c r="F474" s="6" t="str">
        <f t="shared" si="2"/>
        <v>Transformative change</v>
      </c>
      <c r="G474" s="6" t="str">
        <f t="shared" si="3"/>
        <v>Low</v>
      </c>
      <c r="H474" s="6">
        <f t="shared" si="4"/>
        <v>1680030</v>
      </c>
      <c r="I474" s="6">
        <f t="shared" si="5"/>
        <v>377588.981</v>
      </c>
      <c r="J474" s="6">
        <f t="shared" si="6"/>
        <v>233338</v>
      </c>
      <c r="K474" s="6">
        <f t="shared" si="7"/>
        <v>861.03</v>
      </c>
      <c r="L474" s="6">
        <f t="shared" si="8"/>
        <v>0.1</v>
      </c>
    </row>
    <row r="475">
      <c r="A475" s="4" t="s">
        <v>1302</v>
      </c>
      <c r="B475" s="4" t="s">
        <v>1303</v>
      </c>
      <c r="C475" s="4" t="s">
        <v>1304</v>
      </c>
      <c r="D475" s="5">
        <v>82527.0</v>
      </c>
      <c r="E475" s="6" t="str">
        <f t="shared" si="1"/>
        <v>G</v>
      </c>
      <c r="F475" s="6" t="str">
        <f t="shared" si="2"/>
        <v>Transformative change</v>
      </c>
      <c r="G475" s="6" t="str">
        <f t="shared" si="3"/>
        <v>Medium</v>
      </c>
      <c r="H475" s="6">
        <f t="shared" si="4"/>
        <v>377653</v>
      </c>
      <c r="I475" s="6">
        <f t="shared" si="5"/>
        <v>120385.4234</v>
      </c>
      <c r="J475" s="6">
        <f t="shared" si="6"/>
        <v>412635</v>
      </c>
      <c r="K475" s="6">
        <f t="shared" si="7"/>
        <v>2826.27</v>
      </c>
      <c r="L475" s="6">
        <f t="shared" si="8"/>
        <v>0.13</v>
      </c>
    </row>
    <row r="476">
      <c r="A476" s="4" t="s">
        <v>1305</v>
      </c>
      <c r="B476" s="4" t="s">
        <v>1306</v>
      </c>
      <c r="C476" s="4" t="s">
        <v>1307</v>
      </c>
      <c r="D476" s="5">
        <v>7692.0</v>
      </c>
      <c r="E476" s="6" t="str">
        <f t="shared" si="1"/>
        <v>B</v>
      </c>
      <c r="F476" s="6" t="str">
        <f t="shared" si="2"/>
        <v>Transformative change</v>
      </c>
      <c r="G476" s="6" t="str">
        <f t="shared" si="3"/>
        <v>Medium</v>
      </c>
      <c r="H476" s="6">
        <f t="shared" si="4"/>
        <v>2627692</v>
      </c>
      <c r="I476" s="6">
        <f t="shared" si="5"/>
        <v>2586464.819</v>
      </c>
      <c r="J476" s="6">
        <f t="shared" si="6"/>
        <v>115380</v>
      </c>
      <c r="K476" s="6">
        <f t="shared" si="7"/>
        <v>878</v>
      </c>
      <c r="L476" s="6">
        <f t="shared" si="8"/>
        <v>0.29</v>
      </c>
    </row>
    <row r="477">
      <c r="A477" s="4" t="s">
        <v>1308</v>
      </c>
      <c r="B477" s="4" t="s">
        <v>1309</v>
      </c>
      <c r="C477" s="4" t="s">
        <v>1310</v>
      </c>
      <c r="D477" s="5">
        <v>8147.0</v>
      </c>
      <c r="E477" s="6" t="str">
        <f t="shared" si="1"/>
        <v>G</v>
      </c>
      <c r="F477" s="6" t="str">
        <f t="shared" si="2"/>
        <v>Transformative change</v>
      </c>
      <c r="G477" s="6" t="str">
        <f t="shared" si="3"/>
        <v>High</v>
      </c>
      <c r="H477" s="6">
        <f t="shared" si="4"/>
        <v>844668</v>
      </c>
      <c r="I477" s="6">
        <f t="shared" si="5"/>
        <v>120819.5235</v>
      </c>
      <c r="J477" s="6">
        <f t="shared" si="6"/>
        <v>97764</v>
      </c>
      <c r="K477" s="6">
        <f t="shared" si="7"/>
        <v>914</v>
      </c>
      <c r="L477" s="6">
        <f t="shared" si="8"/>
        <v>0.27</v>
      </c>
    </row>
    <row r="478">
      <c r="A478" s="4" t="s">
        <v>1311</v>
      </c>
      <c r="B478" s="4" t="s">
        <v>1312</v>
      </c>
      <c r="C478" s="4" t="s">
        <v>74</v>
      </c>
      <c r="D478" s="5">
        <v>7035.0</v>
      </c>
      <c r="E478" s="6" t="str">
        <f t="shared" si="1"/>
        <v>C</v>
      </c>
      <c r="F478" s="6" t="str">
        <f t="shared" si="2"/>
        <v>Transformative change</v>
      </c>
      <c r="G478" s="6" t="str">
        <f t="shared" si="3"/>
        <v>Low</v>
      </c>
      <c r="H478" s="6">
        <f t="shared" si="4"/>
        <v>2262157</v>
      </c>
      <c r="I478" s="6">
        <f t="shared" si="5"/>
        <v>524469.3402</v>
      </c>
      <c r="J478" s="6">
        <f t="shared" si="6"/>
        <v>42210</v>
      </c>
      <c r="K478" s="6">
        <f t="shared" si="7"/>
        <v>370.26</v>
      </c>
      <c r="L478" s="6">
        <f t="shared" si="8"/>
        <v>0.24</v>
      </c>
    </row>
    <row r="479">
      <c r="A479" s="4" t="s">
        <v>1313</v>
      </c>
      <c r="B479" s="4" t="s">
        <v>410</v>
      </c>
      <c r="C479" s="4" t="s">
        <v>1314</v>
      </c>
      <c r="D479" s="5">
        <v>16799.0</v>
      </c>
      <c r="E479" s="6" t="str">
        <f t="shared" si="1"/>
        <v>F</v>
      </c>
      <c r="F479" s="6" t="str">
        <f t="shared" si="2"/>
        <v>Transformative change</v>
      </c>
      <c r="G479" s="6" t="str">
        <f t="shared" si="3"/>
        <v>High</v>
      </c>
      <c r="H479" s="6">
        <f t="shared" si="4"/>
        <v>1406839</v>
      </c>
      <c r="I479" s="6">
        <f t="shared" si="5"/>
        <v>1125438.75</v>
      </c>
      <c r="J479" s="6">
        <f t="shared" si="6"/>
        <v>67196</v>
      </c>
      <c r="K479" s="6">
        <f t="shared" si="7"/>
        <v>843</v>
      </c>
      <c r="L479" s="6">
        <f t="shared" si="8"/>
        <v>0.15</v>
      </c>
    </row>
    <row r="480">
      <c r="A480" s="4" t="s">
        <v>1315</v>
      </c>
      <c r="B480" s="4" t="s">
        <v>1316</v>
      </c>
      <c r="C480" s="4" t="s">
        <v>1317</v>
      </c>
      <c r="D480" s="5">
        <v>10922.0</v>
      </c>
      <c r="E480" s="6" t="str">
        <f t="shared" si="1"/>
        <v>F</v>
      </c>
      <c r="F480" s="6" t="str">
        <f t="shared" si="2"/>
        <v>Transformative change</v>
      </c>
      <c r="G480" s="6" t="str">
        <f t="shared" si="3"/>
        <v>Medium</v>
      </c>
      <c r="H480" s="6">
        <f t="shared" si="4"/>
        <v>1979991</v>
      </c>
      <c r="I480" s="6">
        <f t="shared" si="5"/>
        <v>609629.5862</v>
      </c>
      <c r="J480" s="6">
        <f t="shared" si="6"/>
        <v>109220</v>
      </c>
      <c r="K480" s="6">
        <f t="shared" si="7"/>
        <v>940</v>
      </c>
      <c r="L480" s="6">
        <f t="shared" si="8"/>
        <v>0.27</v>
      </c>
    </row>
    <row r="481">
      <c r="A481" s="4" t="s">
        <v>1318</v>
      </c>
      <c r="B481" s="4" t="s">
        <v>1319</v>
      </c>
      <c r="C481" s="4" t="s">
        <v>1320</v>
      </c>
      <c r="D481" s="5">
        <v>15337.0</v>
      </c>
      <c r="E481" s="6" t="str">
        <f t="shared" si="1"/>
        <v>G</v>
      </c>
      <c r="F481" s="6" t="str">
        <f t="shared" si="2"/>
        <v>Transformative change</v>
      </c>
      <c r="G481" s="6" t="str">
        <f t="shared" si="3"/>
        <v>Medium</v>
      </c>
      <c r="H481" s="6">
        <f t="shared" si="4"/>
        <v>3145623</v>
      </c>
      <c r="I481" s="6">
        <f t="shared" si="5"/>
        <v>1004279.402</v>
      </c>
      <c r="J481" s="6">
        <f t="shared" si="6"/>
        <v>122696</v>
      </c>
      <c r="K481" s="6">
        <f t="shared" si="7"/>
        <v>356.67</v>
      </c>
      <c r="L481" s="6">
        <f t="shared" si="8"/>
        <v>0.3</v>
      </c>
    </row>
    <row r="482">
      <c r="A482" s="4" t="s">
        <v>1321</v>
      </c>
      <c r="B482" s="4" t="s">
        <v>1322</v>
      </c>
      <c r="C482" s="4" t="s">
        <v>1323</v>
      </c>
      <c r="D482" s="5">
        <v>5357.0</v>
      </c>
      <c r="E482" s="6" t="str">
        <f t="shared" si="1"/>
        <v>B</v>
      </c>
      <c r="F482" s="6" t="str">
        <f t="shared" si="2"/>
        <v>Transformative change</v>
      </c>
      <c r="G482" s="6" t="str">
        <f t="shared" si="3"/>
        <v>Low</v>
      </c>
      <c r="H482" s="6">
        <f t="shared" si="4"/>
        <v>854472</v>
      </c>
      <c r="I482" s="6">
        <f t="shared" si="5"/>
        <v>450704.1181</v>
      </c>
      <c r="J482" s="6">
        <f t="shared" si="6"/>
        <v>42856</v>
      </c>
      <c r="K482" s="6">
        <f t="shared" si="7"/>
        <v>858</v>
      </c>
      <c r="L482" s="6">
        <f t="shared" si="8"/>
        <v>0.09</v>
      </c>
    </row>
    <row r="483">
      <c r="A483" s="4" t="s">
        <v>1324</v>
      </c>
      <c r="B483" s="4" t="s">
        <v>1325</v>
      </c>
      <c r="C483" s="4" t="s">
        <v>1326</v>
      </c>
      <c r="D483" s="5">
        <v>19536.0</v>
      </c>
      <c r="E483" s="6" t="str">
        <f t="shared" si="1"/>
        <v>F</v>
      </c>
      <c r="F483" s="6" t="str">
        <f t="shared" si="2"/>
        <v>Transformative change</v>
      </c>
      <c r="G483" s="6" t="str">
        <f t="shared" si="3"/>
        <v>High</v>
      </c>
      <c r="H483" s="6">
        <f t="shared" si="4"/>
        <v>383102</v>
      </c>
      <c r="I483" s="6">
        <f t="shared" si="5"/>
        <v>118023.2117</v>
      </c>
      <c r="J483" s="6">
        <f t="shared" si="6"/>
        <v>214896</v>
      </c>
      <c r="K483" s="6">
        <f t="shared" si="7"/>
        <v>969</v>
      </c>
      <c r="L483" s="6">
        <f t="shared" si="8"/>
        <v>0.27</v>
      </c>
    </row>
    <row r="484">
      <c r="A484" s="4" t="s">
        <v>1327</v>
      </c>
      <c r="B484" s="4" t="s">
        <v>1328</v>
      </c>
      <c r="C484" s="4" t="s">
        <v>1329</v>
      </c>
      <c r="D484" s="5">
        <v>59418.0</v>
      </c>
      <c r="E484" s="6" t="str">
        <f t="shared" si="1"/>
        <v>C</v>
      </c>
      <c r="F484" s="6" t="str">
        <f t="shared" si="2"/>
        <v>Transformative change</v>
      </c>
      <c r="G484" s="6" t="str">
        <f t="shared" si="3"/>
        <v>Medium</v>
      </c>
      <c r="H484" s="6">
        <f t="shared" si="4"/>
        <v>1617283</v>
      </c>
      <c r="I484" s="6">
        <f t="shared" si="5"/>
        <v>1194598.356</v>
      </c>
      <c r="J484" s="6">
        <f t="shared" si="6"/>
        <v>534762</v>
      </c>
      <c r="K484" s="6">
        <f t="shared" si="7"/>
        <v>2647.34</v>
      </c>
      <c r="L484" s="6">
        <f t="shared" si="8"/>
        <v>0.07</v>
      </c>
    </row>
    <row r="485">
      <c r="A485" s="4" t="s">
        <v>1330</v>
      </c>
      <c r="B485" s="4" t="s">
        <v>1331</v>
      </c>
      <c r="C485" s="4" t="s">
        <v>74</v>
      </c>
      <c r="D485" s="5">
        <v>19598.0</v>
      </c>
      <c r="E485" s="6" t="str">
        <f t="shared" si="1"/>
        <v>A</v>
      </c>
      <c r="F485" s="6" t="str">
        <f t="shared" si="2"/>
        <v>Transformative change</v>
      </c>
      <c r="G485" s="6" t="str">
        <f t="shared" si="3"/>
        <v>Low</v>
      </c>
      <c r="H485" s="6">
        <f t="shared" si="4"/>
        <v>2758915</v>
      </c>
      <c r="I485" s="6">
        <f t="shared" si="5"/>
        <v>765027.8253</v>
      </c>
      <c r="J485" s="6">
        <f t="shared" si="6"/>
        <v>195980</v>
      </c>
      <c r="K485" s="6">
        <f t="shared" si="7"/>
        <v>857</v>
      </c>
      <c r="L485" s="6">
        <f t="shared" si="8"/>
        <v>0.03</v>
      </c>
    </row>
    <row r="486">
      <c r="A486" s="4" t="s">
        <v>1332</v>
      </c>
      <c r="B486" s="4" t="s">
        <v>1333</v>
      </c>
      <c r="C486" s="4" t="s">
        <v>1334</v>
      </c>
      <c r="D486" s="5">
        <v>5871.0</v>
      </c>
      <c r="E486" s="6" t="str">
        <f t="shared" si="1"/>
        <v>G</v>
      </c>
      <c r="F486" s="6" t="str">
        <f t="shared" si="2"/>
        <v>Transformative change</v>
      </c>
      <c r="G486" s="6" t="str">
        <f t="shared" si="3"/>
        <v>Low</v>
      </c>
      <c r="H486" s="6">
        <f t="shared" si="4"/>
        <v>1805675</v>
      </c>
      <c r="I486" s="6">
        <f t="shared" si="5"/>
        <v>977581.1698</v>
      </c>
      <c r="J486" s="6">
        <f t="shared" si="6"/>
        <v>58710</v>
      </c>
      <c r="K486" s="6">
        <f t="shared" si="7"/>
        <v>1078</v>
      </c>
      <c r="L486" s="6">
        <f t="shared" si="8"/>
        <v>0.07</v>
      </c>
    </row>
    <row r="487">
      <c r="A487" s="4" t="s">
        <v>1335</v>
      </c>
      <c r="B487" s="4" t="s">
        <v>1336</v>
      </c>
      <c r="C487" s="4" t="s">
        <v>74</v>
      </c>
      <c r="D487" s="5">
        <v>8190.0</v>
      </c>
      <c r="E487" s="6" t="str">
        <f t="shared" si="1"/>
        <v>C</v>
      </c>
      <c r="F487" s="6" t="str">
        <f t="shared" si="2"/>
        <v>Transformative change</v>
      </c>
      <c r="G487" s="6" t="str">
        <f t="shared" si="3"/>
        <v>Medium</v>
      </c>
      <c r="H487" s="6">
        <f t="shared" si="4"/>
        <v>3862645</v>
      </c>
      <c r="I487" s="6">
        <f t="shared" si="5"/>
        <v>3390923.315</v>
      </c>
      <c r="J487" s="6">
        <f t="shared" si="6"/>
        <v>81900</v>
      </c>
      <c r="K487" s="6">
        <f t="shared" si="7"/>
        <v>847</v>
      </c>
      <c r="L487" s="6">
        <f t="shared" si="8"/>
        <v>0.06</v>
      </c>
    </row>
    <row r="488">
      <c r="A488" s="4" t="s">
        <v>1337</v>
      </c>
      <c r="B488" s="4" t="s">
        <v>1338</v>
      </c>
      <c r="C488" s="4" t="s">
        <v>1339</v>
      </c>
      <c r="D488" s="5">
        <v>11180.0</v>
      </c>
      <c r="E488" s="6" t="str">
        <f t="shared" si="1"/>
        <v>A</v>
      </c>
      <c r="F488" s="6" t="str">
        <f t="shared" si="2"/>
        <v>Transformative change</v>
      </c>
      <c r="G488" s="6" t="str">
        <f t="shared" si="3"/>
        <v>High</v>
      </c>
      <c r="H488" s="6">
        <f t="shared" si="4"/>
        <v>3735097</v>
      </c>
      <c r="I488" s="6">
        <f t="shared" si="5"/>
        <v>2489341.755</v>
      </c>
      <c r="J488" s="6">
        <f t="shared" si="6"/>
        <v>100620</v>
      </c>
      <c r="K488" s="6">
        <f t="shared" si="7"/>
        <v>921</v>
      </c>
      <c r="L488" s="6">
        <f t="shared" si="8"/>
        <v>0.27</v>
      </c>
    </row>
    <row r="489">
      <c r="A489" s="4" t="s">
        <v>1340</v>
      </c>
      <c r="B489" s="4" t="s">
        <v>1341</v>
      </c>
      <c r="C489" s="4" t="s">
        <v>74</v>
      </c>
      <c r="D489" s="5">
        <v>19622.0</v>
      </c>
      <c r="E489" s="6" t="str">
        <f t="shared" si="1"/>
        <v>C</v>
      </c>
      <c r="F489" s="6" t="str">
        <f t="shared" si="2"/>
        <v>Transformative change</v>
      </c>
      <c r="G489" s="6" t="str">
        <f t="shared" si="3"/>
        <v>High</v>
      </c>
      <c r="H489" s="6">
        <f t="shared" si="4"/>
        <v>1361693</v>
      </c>
      <c r="I489" s="6">
        <f t="shared" si="5"/>
        <v>745329.4472</v>
      </c>
      <c r="J489" s="6">
        <f t="shared" si="6"/>
        <v>255086</v>
      </c>
      <c r="K489" s="6">
        <f t="shared" si="7"/>
        <v>2772.67</v>
      </c>
      <c r="L489" s="6">
        <f t="shared" si="8"/>
        <v>0.17</v>
      </c>
    </row>
    <row r="490">
      <c r="A490" s="4" t="s">
        <v>1342</v>
      </c>
      <c r="B490" s="4" t="s">
        <v>1343</v>
      </c>
      <c r="C490" s="4" t="s">
        <v>1344</v>
      </c>
      <c r="D490" s="5">
        <v>9021.0</v>
      </c>
      <c r="E490" s="6" t="str">
        <f t="shared" si="1"/>
        <v>A</v>
      </c>
      <c r="F490" s="6" t="str">
        <f t="shared" si="2"/>
        <v>Transformative change</v>
      </c>
      <c r="G490" s="6" t="str">
        <f t="shared" si="3"/>
        <v>Low</v>
      </c>
      <c r="H490" s="6">
        <f t="shared" si="4"/>
        <v>1717294</v>
      </c>
      <c r="I490" s="6">
        <f t="shared" si="5"/>
        <v>24974.796</v>
      </c>
      <c r="J490" s="6">
        <f t="shared" si="6"/>
        <v>99231</v>
      </c>
      <c r="K490" s="6">
        <f t="shared" si="7"/>
        <v>807</v>
      </c>
      <c r="L490" s="6">
        <f t="shared" si="8"/>
        <v>0.16</v>
      </c>
    </row>
    <row r="491">
      <c r="A491" s="4" t="s">
        <v>1345</v>
      </c>
      <c r="B491" s="4" t="s">
        <v>1346</v>
      </c>
      <c r="C491" s="4" t="s">
        <v>1347</v>
      </c>
      <c r="D491" s="5">
        <v>375458.0</v>
      </c>
      <c r="E491" s="6" t="str">
        <f t="shared" si="1"/>
        <v>C</v>
      </c>
      <c r="F491" s="6" t="str">
        <f t="shared" si="2"/>
        <v>Transformative change</v>
      </c>
      <c r="G491" s="6" t="str">
        <f t="shared" si="3"/>
        <v>High</v>
      </c>
      <c r="H491" s="6">
        <f t="shared" si="4"/>
        <v>3284606</v>
      </c>
      <c r="I491" s="6">
        <f t="shared" si="5"/>
        <v>218478.5099</v>
      </c>
      <c r="J491" s="6">
        <f t="shared" si="6"/>
        <v>5256412</v>
      </c>
      <c r="K491" s="6">
        <f t="shared" si="7"/>
        <v>18315.02</v>
      </c>
      <c r="L491" s="6">
        <f t="shared" si="8"/>
        <v>0.09</v>
      </c>
    </row>
    <row r="492">
      <c r="A492" s="4" t="s">
        <v>1348</v>
      </c>
      <c r="B492" s="4" t="s">
        <v>1349</v>
      </c>
      <c r="C492" s="4" t="s">
        <v>884</v>
      </c>
      <c r="D492" s="5">
        <v>82336.0</v>
      </c>
      <c r="E492" s="6" t="str">
        <f t="shared" si="1"/>
        <v>G</v>
      </c>
      <c r="F492" s="6" t="str">
        <f t="shared" si="2"/>
        <v>High ambition</v>
      </c>
      <c r="G492" s="6" t="str">
        <f t="shared" si="3"/>
        <v>Low</v>
      </c>
      <c r="H492" s="6">
        <f t="shared" si="4"/>
        <v>3943880</v>
      </c>
      <c r="I492" s="6">
        <f t="shared" si="5"/>
        <v>3373634.553</v>
      </c>
      <c r="J492" s="6">
        <f t="shared" si="6"/>
        <v>658688</v>
      </c>
      <c r="K492" s="6">
        <f t="shared" si="7"/>
        <v>10798.16</v>
      </c>
      <c r="L492" s="6">
        <f t="shared" si="8"/>
        <v>0.02</v>
      </c>
    </row>
    <row r="493">
      <c r="A493" s="4" t="s">
        <v>1350</v>
      </c>
      <c r="B493" s="4" t="s">
        <v>1351</v>
      </c>
      <c r="C493" s="4" t="s">
        <v>1352</v>
      </c>
      <c r="D493" s="5">
        <v>9169.0</v>
      </c>
      <c r="E493" s="6" t="str">
        <f t="shared" si="1"/>
        <v>G</v>
      </c>
      <c r="F493" s="6" t="str">
        <f t="shared" si="2"/>
        <v>Transformative change</v>
      </c>
      <c r="G493" s="6" t="str">
        <f t="shared" si="3"/>
        <v>Low</v>
      </c>
      <c r="H493" s="6">
        <f t="shared" si="4"/>
        <v>2639882</v>
      </c>
      <c r="I493" s="6">
        <f t="shared" si="5"/>
        <v>1389170.34</v>
      </c>
      <c r="J493" s="6">
        <f t="shared" si="6"/>
        <v>45845</v>
      </c>
      <c r="K493" s="6">
        <f t="shared" si="7"/>
        <v>919</v>
      </c>
      <c r="L493" s="6">
        <f t="shared" si="8"/>
        <v>0.04</v>
      </c>
    </row>
    <row r="494">
      <c r="A494" s="4" t="s">
        <v>1353</v>
      </c>
      <c r="B494" s="4" t="s">
        <v>1354</v>
      </c>
      <c r="C494" s="4" t="s">
        <v>1355</v>
      </c>
      <c r="D494" s="5">
        <v>15479.0</v>
      </c>
      <c r="E494" s="6" t="str">
        <f t="shared" si="1"/>
        <v>F</v>
      </c>
      <c r="F494" s="6" t="str">
        <f t="shared" si="2"/>
        <v>Transformative change</v>
      </c>
      <c r="G494" s="6" t="str">
        <f t="shared" si="3"/>
        <v>Low</v>
      </c>
      <c r="H494" s="6">
        <f t="shared" si="4"/>
        <v>3895367</v>
      </c>
      <c r="I494" s="6">
        <f t="shared" si="5"/>
        <v>2677801.594</v>
      </c>
      <c r="J494" s="6">
        <f t="shared" si="6"/>
        <v>201227</v>
      </c>
      <c r="K494" s="6">
        <f t="shared" si="7"/>
        <v>927</v>
      </c>
      <c r="L494" s="6">
        <f t="shared" si="8"/>
        <v>0.09</v>
      </c>
    </row>
    <row r="495">
      <c r="A495" s="4" t="s">
        <v>1356</v>
      </c>
      <c r="B495" s="4" t="s">
        <v>1357</v>
      </c>
      <c r="C495" s="4" t="s">
        <v>1358</v>
      </c>
      <c r="D495" s="5">
        <v>251125.0</v>
      </c>
      <c r="E495" s="6" t="str">
        <f t="shared" si="1"/>
        <v>F</v>
      </c>
      <c r="F495" s="6" t="str">
        <f t="shared" si="2"/>
        <v>Transformative change</v>
      </c>
      <c r="G495" s="6" t="str">
        <f t="shared" si="3"/>
        <v>Low</v>
      </c>
      <c r="H495" s="6">
        <f t="shared" si="4"/>
        <v>1550241</v>
      </c>
      <c r="I495" s="6">
        <f t="shared" si="5"/>
        <v>316884.3006</v>
      </c>
      <c r="J495" s="6">
        <f t="shared" si="6"/>
        <v>3766875</v>
      </c>
      <c r="K495" s="6">
        <f t="shared" si="7"/>
        <v>21648.71</v>
      </c>
      <c r="L495" s="6">
        <f t="shared" si="8"/>
        <v>0.05</v>
      </c>
    </row>
    <row r="496">
      <c r="A496" s="4" t="s">
        <v>1359</v>
      </c>
      <c r="B496" s="4" t="s">
        <v>1360</v>
      </c>
      <c r="C496" s="4" t="s">
        <v>1361</v>
      </c>
      <c r="D496" s="5">
        <v>447956.0</v>
      </c>
      <c r="E496" s="6" t="str">
        <f t="shared" si="1"/>
        <v>E</v>
      </c>
      <c r="F496" s="6" t="str">
        <f t="shared" si="2"/>
        <v>Transformative change</v>
      </c>
      <c r="G496" s="6" t="str">
        <f t="shared" si="3"/>
        <v>High</v>
      </c>
      <c r="H496" s="6">
        <f t="shared" si="4"/>
        <v>2255678</v>
      </c>
      <c r="I496" s="6">
        <f t="shared" si="5"/>
        <v>579895.4586</v>
      </c>
      <c r="J496" s="6">
        <f t="shared" si="6"/>
        <v>5375472</v>
      </c>
      <c r="K496" s="6">
        <f t="shared" si="7"/>
        <v>27708.62</v>
      </c>
      <c r="L496" s="6">
        <f t="shared" si="8"/>
        <v>0.29</v>
      </c>
    </row>
    <row r="497">
      <c r="A497" s="4" t="s">
        <v>1362</v>
      </c>
      <c r="B497" s="4" t="s">
        <v>1363</v>
      </c>
      <c r="C497" s="4" t="s">
        <v>1364</v>
      </c>
      <c r="D497" s="5">
        <v>18006.0</v>
      </c>
      <c r="E497" s="6" t="str">
        <f t="shared" si="1"/>
        <v>D</v>
      </c>
      <c r="F497" s="6" t="str">
        <f t="shared" si="2"/>
        <v>High ambition</v>
      </c>
      <c r="G497" s="6" t="str">
        <f t="shared" si="3"/>
        <v>Medium</v>
      </c>
      <c r="H497" s="6">
        <f t="shared" si="4"/>
        <v>3722365</v>
      </c>
      <c r="I497" s="6">
        <f t="shared" si="5"/>
        <v>3175937.596</v>
      </c>
      <c r="J497" s="6">
        <f t="shared" si="6"/>
        <v>252084</v>
      </c>
      <c r="K497" s="6">
        <f t="shared" si="7"/>
        <v>1072.7</v>
      </c>
      <c r="L497" s="6">
        <f t="shared" si="8"/>
        <v>0.3</v>
      </c>
    </row>
    <row r="498">
      <c r="A498" s="4" t="s">
        <v>1365</v>
      </c>
      <c r="B498" s="4" t="s">
        <v>1366</v>
      </c>
      <c r="C498" s="4" t="s">
        <v>74</v>
      </c>
      <c r="D498" s="5">
        <v>14980.0</v>
      </c>
      <c r="E498" s="6" t="str">
        <f t="shared" si="1"/>
        <v>D</v>
      </c>
      <c r="F498" s="6" t="str">
        <f t="shared" si="2"/>
        <v>Transformative change</v>
      </c>
      <c r="G498" s="6" t="str">
        <f t="shared" si="3"/>
        <v>High</v>
      </c>
      <c r="H498" s="6">
        <f t="shared" si="4"/>
        <v>2112120</v>
      </c>
      <c r="I498" s="6">
        <f t="shared" si="5"/>
        <v>504088.4078</v>
      </c>
      <c r="J498" s="6">
        <f t="shared" si="6"/>
        <v>74900</v>
      </c>
      <c r="K498" s="6">
        <f t="shared" si="7"/>
        <v>1056</v>
      </c>
      <c r="L498" s="6">
        <f t="shared" si="8"/>
        <v>0.18</v>
      </c>
    </row>
    <row r="499">
      <c r="A499" s="4" t="s">
        <v>1367</v>
      </c>
      <c r="B499" s="4" t="s">
        <v>1368</v>
      </c>
      <c r="C499" s="4" t="s">
        <v>1369</v>
      </c>
      <c r="D499" s="5">
        <v>7118.0</v>
      </c>
      <c r="E499" s="6" t="str">
        <f t="shared" si="1"/>
        <v>G</v>
      </c>
      <c r="F499" s="6" t="str">
        <f t="shared" si="2"/>
        <v>Transformative change</v>
      </c>
      <c r="G499" s="6" t="str">
        <f t="shared" si="3"/>
        <v>Medium</v>
      </c>
      <c r="H499" s="6">
        <f t="shared" si="4"/>
        <v>992103</v>
      </c>
      <c r="I499" s="6">
        <f t="shared" si="5"/>
        <v>889162.4681</v>
      </c>
      <c r="J499" s="6">
        <f t="shared" si="6"/>
        <v>85416</v>
      </c>
      <c r="K499" s="6">
        <f t="shared" si="7"/>
        <v>919</v>
      </c>
      <c r="L499" s="6">
        <f t="shared" si="8"/>
        <v>0.16</v>
      </c>
    </row>
    <row r="500">
      <c r="A500" s="4" t="s">
        <v>1370</v>
      </c>
      <c r="B500" s="4" t="s">
        <v>1371</v>
      </c>
      <c r="C500" s="4" t="s">
        <v>1372</v>
      </c>
      <c r="D500" s="5">
        <v>7291.0</v>
      </c>
      <c r="E500" s="6" t="str">
        <f t="shared" si="1"/>
        <v>F</v>
      </c>
      <c r="F500" s="6" t="str">
        <f t="shared" si="2"/>
        <v>Transformative change</v>
      </c>
      <c r="G500" s="6" t="str">
        <f t="shared" si="3"/>
        <v>High</v>
      </c>
      <c r="H500" s="6">
        <f t="shared" si="4"/>
        <v>3180821</v>
      </c>
      <c r="I500" s="6">
        <f t="shared" si="5"/>
        <v>235982.2689</v>
      </c>
      <c r="J500" s="6">
        <f t="shared" si="6"/>
        <v>58328</v>
      </c>
      <c r="K500" s="6">
        <f t="shared" si="7"/>
        <v>154.72</v>
      </c>
      <c r="L500" s="6">
        <f t="shared" si="8"/>
        <v>0.19</v>
      </c>
    </row>
    <row r="501">
      <c r="A501" s="4" t="s">
        <v>1373</v>
      </c>
      <c r="B501" s="4" t="s">
        <v>1374</v>
      </c>
      <c r="C501" s="4" t="s">
        <v>74</v>
      </c>
      <c r="D501" s="5">
        <v>87736.0</v>
      </c>
      <c r="E501" s="6" t="str">
        <f t="shared" si="1"/>
        <v>F</v>
      </c>
      <c r="F501" s="6" t="str">
        <f t="shared" si="2"/>
        <v>Transformative change</v>
      </c>
      <c r="G501" s="6" t="str">
        <f t="shared" si="3"/>
        <v>Low</v>
      </c>
      <c r="H501" s="6">
        <f t="shared" si="4"/>
        <v>3445158</v>
      </c>
      <c r="I501" s="6">
        <f t="shared" si="5"/>
        <v>124373.8877</v>
      </c>
      <c r="J501" s="6">
        <f t="shared" si="6"/>
        <v>350944</v>
      </c>
      <c r="K501" s="6">
        <f t="shared" si="7"/>
        <v>4128.75</v>
      </c>
      <c r="L501" s="6">
        <f t="shared" si="8"/>
        <v>0.13</v>
      </c>
    </row>
  </sheetData>
  <drawing r:id="rId1"/>
</worksheet>
</file>