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<sst xmlns="http://schemas.openxmlformats.org/spreadsheetml/2006/main" count="3050" uniqueCount="1402">
  <si>
    <t>pickup_longitude</t>
  </si>
  <si>
    <t>pickup_latitude</t>
  </si>
  <si>
    <t>Adress</t>
  </si>
  <si>
    <t>Cost</t>
  </si>
  <si>
    <t>Monthly mortgage payment</t>
  </si>
  <si>
    <t>PD</t>
  </si>
  <si>
    <t>LGD</t>
  </si>
  <si>
    <t>Flood_Score</t>
  </si>
  <si>
    <t>CostofFloodRisk_2day</t>
  </si>
  <si>
    <t>CostofFloodRisk_future</t>
  </si>
  <si>
    <t>EPC</t>
  </si>
  <si>
    <t>Scenario</t>
  </si>
  <si>
    <t>Risk</t>
  </si>
  <si>
    <t>Outstanding loan</t>
  </si>
  <si>
    <t>ECL</t>
  </si>
  <si>
    <t>River_Floodscore_Def</t>
  </si>
  <si>
    <t>Coastal_Floodscore_Def</t>
  </si>
  <si>
    <t>1-in-20_river_today</t>
  </si>
  <si>
    <t>1-in-75_river_today</t>
  </si>
  <si>
    <t>1-in-100_river_today</t>
  </si>
  <si>
    <t>1-in-200_river_today</t>
  </si>
  <si>
    <t>1-in20_coastal_today</t>
  </si>
  <si>
    <t>1-in-75_costal_today</t>
  </si>
  <si>
    <t>1-in-100_costal_today</t>
  </si>
  <si>
    <t>1-in-200_coastal_today</t>
  </si>
  <si>
    <t>1-in-20_river_2050</t>
  </si>
  <si>
    <t>1-in-75_river_2050</t>
  </si>
  <si>
    <t>1-in-100_river_2050</t>
  </si>
  <si>
    <t>1-in-200_river_2050</t>
  </si>
  <si>
    <t>1-in20_coastal_2050</t>
  </si>
  <si>
    <t>1-in-75_costal_2050</t>
  </si>
  <si>
    <t>1-in-100_costal_2050</t>
  </si>
  <si>
    <t>1-in-200_coastal_2050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</si>
  <si>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</si>
  <si>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</si>
  <si>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</si>
  <si>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</si>
  <si>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</si>
  <si>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</si>
  <si>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</si>
  <si>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</si>
  <si>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</si>
  <si>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</si>
  <si>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</si>
  <si>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</si>
  <si>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</si>
  <si>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</si>
  <si>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</si>
  <si>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</si>
  <si>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</si>
  <si>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</si>
  <si>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</si>
  <si>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</si>
  <si>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</si>
  <si>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</si>
  <si>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</si>
  <si>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</si>
  <si>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</si>
  <si>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</si>
  <si>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</si>
  <si>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</si>
  <si>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</si>
  <si>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</si>
  <si>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</si>
  <si>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</si>
  <si>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</si>
  <si>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</si>
  <si>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</si>
  <si>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</si>
  <si>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</si>
  <si>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</si>
  <si>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</si>
  <si>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</si>
  <si>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</si>
  <si>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</si>
  <si>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</si>
  <si>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</si>
  <si>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</si>
  <si>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</si>
  <si>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</si>
  <si>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</si>
  <si>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</si>
  <si>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</si>
  <si>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</si>
  <si>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</si>
  <si>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</si>
  <si>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</si>
  <si>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</si>
  <si>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</si>
  <si>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</si>
  <si>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</si>
  <si>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</si>
  <si>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</si>
  <si>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</si>
  <si>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</si>
  <si>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</si>
  <si>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</si>
  <si>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</si>
  <si>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</si>
  <si>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</si>
  <si>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</si>
  <si>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</si>
  <si>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</si>
  <si>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</si>
  <si>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</si>
  <si>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</si>
  <si>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</si>
  <si>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</si>
  <si>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</si>
  <si>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</si>
  <si>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</si>
  <si>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</si>
  <si>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</si>
  <si>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</si>
  <si>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</si>
  <si>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</si>
  <si>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</si>
  <si>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</si>
  <si>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</si>
  <si>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</si>
  <si>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</si>
  <si>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</si>
  <si>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</si>
  <si>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</si>
  <si>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</si>
  <si>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</si>
  <si>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</si>
  <si>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</si>
  <si>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</si>
  <si>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</si>
  <si>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</si>
  <si>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</si>
  <si>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</si>
  <si>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</si>
  <si>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</si>
  <si>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</si>
  <si>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</si>
  <si>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</si>
  <si>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</si>
  <si>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</si>
  <si>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</si>
  <si>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</si>
  <si>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</si>
  <si>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</si>
  <si>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</si>
  <si>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</si>
  <si>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</si>
  <si>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</si>
  <si>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</si>
  <si>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</si>
  <si>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</si>
  <si>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</si>
  <si>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</si>
  <si>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</si>
  <si>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</si>
  <si>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</si>
  <si>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</si>
  <si>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</si>
  <si>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</si>
  <si>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</si>
  <si>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</si>
  <si>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</si>
  <si>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</si>
  <si>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</si>
  <si>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</si>
  <si>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</si>
  <si>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</si>
  <si>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</si>
  <si>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</si>
  <si>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</si>
  <si>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</si>
  <si>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</si>
  <si>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</si>
  <si>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</si>
  <si>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</si>
  <si>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</si>
  <si>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</si>
  <si>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</si>
  <si>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</si>
  <si>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</si>
  <si>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</si>
  <si>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</si>
  <si>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</si>
  <si>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</si>
  <si>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</si>
  <si>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</si>
  <si>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</si>
  <si>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</si>
  <si>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</si>
  <si>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</si>
  <si>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</si>
  <si>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</si>
  <si>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</si>
  <si>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</si>
  <si>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</si>
  <si>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</si>
  <si>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</si>
  <si>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</si>
  <si>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</si>
  <si>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</si>
  <si>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</si>
  <si>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</si>
  <si>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</si>
  <si>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</si>
  <si>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</si>
  <si>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</si>
  <si>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</si>
  <si>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</si>
  <si>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</si>
  <si>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</si>
  <si>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</si>
  <si>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</si>
  <si>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</si>
  <si>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</si>
  <si>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</si>
  <si>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</si>
  <si>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</si>
  <si>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</si>
  <si>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</si>
  <si>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</si>
  <si>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</si>
  <si>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</si>
  <si>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</si>
  <si>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</si>
  <si>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</si>
  <si>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</si>
  <si>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</si>
  <si>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</si>
  <si>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</si>
  <si>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</si>
  <si>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</si>
  <si>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</si>
  <si>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</si>
  <si>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</si>
  <si>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</si>
  <si>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</si>
  <si>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</si>
  <si>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</si>
  <si>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</si>
  <si>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</si>
  <si>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</si>
  <si>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</si>
  <si>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</si>
  <si>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</si>
  <si>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</si>
  <si>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</si>
  <si>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</si>
  <si>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</si>
  <si>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</si>
  <si>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</si>
  <si>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</si>
  <si>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</si>
  <si>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</si>
  <si>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</si>
  <si>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</si>
  <si>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</si>
  <si>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</si>
  <si>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</si>
  <si>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</si>
  <si>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</si>
  <si>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</si>
  <si>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</si>
  <si>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</si>
  <si>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</si>
  <si>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</si>
  <si>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</si>
  <si>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</si>
  <si>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</si>
  <si>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</si>
  <si>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</si>
  <si>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</si>
  <si>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</si>
  <si>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</si>
  <si>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</si>
  <si>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</si>
  <si>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</si>
  <si>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</si>
  <si>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</si>
  <si>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</si>
  <si>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</si>
  <si>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</si>
  <si>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</si>
  <si>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</si>
  <si>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</si>
  <si>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</si>
  <si>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</si>
  <si>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</si>
  <si>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</si>
  <si>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</si>
  <si>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</si>
  <si>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</si>
  <si>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</si>
  <si>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</si>
  <si>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</si>
  <si>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</si>
  <si>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</si>
  <si>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</si>
  <si>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</si>
  <si>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</si>
  <si>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</si>
  <si>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</si>
  <si>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</si>
  <si>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</si>
  <si>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</si>
  <si>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</si>
  <si>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</si>
  <si>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</si>
  <si>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</si>
  <si>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</si>
  <si>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</si>
  <si>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</si>
  <si>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</si>
  <si>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</si>
  <si>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</si>
  <si>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</si>
  <si>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</si>
  <si>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</si>
  <si>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</si>
  <si>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</si>
  <si>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</si>
  <si>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</si>
  <si>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</si>
  <si>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</si>
  <si>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</si>
  <si>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</si>
  <si>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</si>
  <si>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</si>
  <si>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</si>
  <si>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</si>
  <si>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</si>
  <si>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</si>
  <si>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</si>
  <si>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</si>
  <si>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</si>
  <si>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</si>
  <si>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</si>
  <si>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</si>
  <si>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</si>
  <si>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</si>
  <si>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</si>
  <si>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</si>
  <si>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</si>
  <si>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</si>
  <si>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</si>
  <si>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</si>
  <si>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</si>
  <si>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</si>
  <si>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</si>
  <si>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</si>
  <si>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</si>
  <si>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</si>
  <si>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</si>
  <si>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</si>
  <si>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</si>
  <si>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</si>
  <si>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</si>
  <si>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</si>
  <si>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</si>
  <si>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</si>
  <si>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</si>
  <si>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</si>
  <si>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</si>
  <si>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</si>
  <si>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</si>
  <si>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</si>
  <si>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</si>
  <si>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</si>
  <si>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</si>
  <si>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</si>
  <si>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</si>
  <si>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</si>
  <si>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</si>
  <si>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</si>
  <si>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</si>
  <si>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</si>
  <si>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</si>
  <si>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</si>
  <si>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</si>
  <si>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</si>
  <si>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</si>
  <si>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</si>
  <si>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</si>
  <si>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</si>
  <si>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</si>
  <si>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</si>
  <si>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</si>
  <si>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</si>
  <si>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</si>
  <si>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</si>
  <si>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</si>
  <si>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</si>
  <si>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</si>
  <si>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</si>
  <si>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</si>
  <si>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</si>
  <si>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</si>
  <si>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</si>
  <si>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</si>
  <si>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</si>
  <si>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</si>
  <si>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</si>
  <si>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</si>
  <si>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</si>
  <si>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</si>
  <si>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</si>
  <si>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</si>
  <si>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</si>
  <si>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</si>
  <si>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</si>
  <si>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</si>
  <si>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</si>
  <si>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</si>
  <si>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</si>
  <si>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</si>
  <si>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</si>
  <si>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</si>
  <si>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</si>
  <si>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</si>
  <si>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</si>
  <si>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</si>
  <si>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</si>
  <si>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</si>
  <si>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</si>
  <si>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</si>
  <si>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</si>
  <si>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</si>
  <si>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</si>
  <si>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</si>
  <si>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</si>
  <si>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</si>
  <si>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</si>
  <si>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</si>
  <si>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</si>
  <si>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</si>
  <si>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</si>
  <si>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</si>
  <si>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</si>
  <si>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</si>
  <si>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</si>
  <si>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</si>
  <si>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</si>
  <si>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</si>
  <si>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</si>
  <si>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</si>
  <si>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</si>
  <si>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</si>
  <si>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</si>
  <si>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</si>
  <si>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</si>
  <si>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</si>
  <si>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</si>
  <si>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</si>
  <si>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</si>
  <si>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</si>
  <si>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</si>
  <si>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</si>
  <si>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</si>
  <si>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</si>
  <si>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</si>
  <si>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</si>
  <si>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</si>
  <si>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</si>
  <si>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</si>
  <si>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</si>
  <si>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</si>
  <si>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</si>
  <si>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</si>
  <si>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</si>
  <si>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</si>
  <si>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</si>
  <si>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</si>
  <si>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</si>
  <si>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</si>
  <si>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</si>
  <si>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</si>
  <si>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</si>
  <si>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</si>
  <si>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</si>
  <si>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</si>
  <si>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</si>
  <si>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</si>
  <si>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</si>
  <si>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</si>
  <si>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</si>
  <si>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</si>
  <si>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</si>
  <si>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</si>
  <si>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</si>
  <si>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</si>
  <si>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</si>
  <si>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</si>
  <si>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</si>
  <si>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</si>
  <si>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</si>
  <si>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</si>
  <si>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</si>
  <si>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</si>
  <si>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</si>
  <si>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</si>
  <si>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</si>
  <si>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</si>
  <si>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</si>
  <si>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</si>
  <si>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</si>
  <si>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</si>
  <si>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</si>
  <si>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</si>
  <si>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</si>
  <si>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</si>
  <si>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</si>
  <si>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</si>
  <si>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</si>
  <si>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</si>
  <si>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</si>
  <si>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</si>
  <si>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</si>
  <si>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</si>
  <si>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</si>
  <si>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</si>
  <si>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</si>
  <si>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</si>
  <si>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</si>
  <si>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</si>
  <si>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</si>
  <si>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</si>
  <si>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</si>
  <si>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</si>
  <si>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</si>
  <si>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</si>
  <si>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</si>
  <si>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</si>
  <si>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</si>
  <si>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</si>
  <si>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</si>
  <si>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</si>
  <si>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</si>
  <si>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</si>
  <si>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</si>
  <si>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</si>
  <si>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</si>
  <si>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</si>
  <si>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</si>
  <si>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</si>
  <si>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</si>
  <si>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</si>
  <si>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</si>
  <si>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</si>
  <si>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</si>
  <si>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</si>
  <si>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</si>
  <si>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</si>
  <si>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</si>
  <si>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</si>
  <si>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</si>
  <si>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</si>
  <si>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</si>
  <si>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</si>
  <si>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</si>
  <si>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</si>
  <si>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</si>
  <si>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</si>
  <si>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</si>
  <si>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</si>
  <si>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</si>
  <si>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</si>
  <si>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</si>
  <si>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</si>
  <si>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</si>
  <si>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</si>
  <si>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</si>
  <si>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</si>
  <si>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</si>
  <si>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</si>
  <si>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</si>
  <si>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</si>
  <si>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</si>
  <si>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</si>
  <si>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</si>
  <si>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</si>
  <si>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</si>
  <si>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</si>
  <si>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</si>
  <si>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</si>
  <si>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</si>
  <si>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</si>
  <si>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</si>
  <si>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</si>
  <si>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</si>
  <si>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</si>
  <si>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</si>
  <si>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</si>
  <si>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</si>
  <si>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</si>
  <si>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</si>
  <si>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</si>
  <si>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</si>
  <si>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</si>
  <si>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</si>
  <si>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</si>
  <si>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</si>
  <si>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</si>
  <si>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</si>
  <si>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</si>
  <si>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</si>
  <si>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</si>
  <si>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</si>
  <si>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</si>
  <si>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</si>
  <si>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</si>
  <si>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</si>
  <si>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</si>
  <si>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</si>
  <si>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</si>
  <si>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</si>
  <si>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</si>
  <si>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</si>
  <si>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</si>
  <si>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</si>
  <si>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</si>
  <si>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</si>
  <si>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</si>
  <si>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</si>
  <si>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</si>
  <si>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</si>
  <si>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</si>
  <si>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</si>
  <si>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</si>
  <si>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</si>
  <si>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</si>
  <si>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</si>
  <si>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</si>
  <si>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</si>
  <si>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</si>
  <si>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</si>
  <si>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</si>
  <si>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</si>
  <si>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</si>
  <si>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</si>
  <si>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</si>
  <si>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</si>
  <si>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</si>
  <si>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</si>
  <si>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</si>
  <si>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</si>
  <si>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</si>
  <si>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</si>
  <si>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</si>
  <si>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</si>
  <si>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</si>
  <si>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</si>
  <si>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</si>
  <si>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</si>
  <si>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</si>
  <si>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</si>
  <si>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</si>
  <si>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</si>
  <si>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</si>
  <si>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</si>
  <si>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</si>
  <si>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</si>
  <si>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</si>
  <si>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</si>
  <si>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</si>
  <si>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</si>
  <si>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</si>
  <si>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</si>
  <si>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</si>
  <si>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</si>
  <si>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</si>
  <si>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</si>
  <si>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</si>
  <si>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</si>
  <si>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</si>
  <si>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</si>
  <si>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</si>
  <si>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</si>
  <si>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</si>
  <si>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</si>
  <si>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</si>
  <si>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</si>
  <si>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</si>
  <si>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</si>
  <si>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</si>
  <si>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</si>
  <si>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</si>
  <si>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</si>
  <si>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</si>
  <si>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</si>
  <si>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</si>
  <si>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</si>
  <si>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</si>
  <si>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</si>
  <si>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</si>
  <si>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</si>
  <si>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</si>
  <si>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</si>
  <si>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</si>
  <si>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</si>
  <si>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</si>
  <si>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</si>
  <si>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</si>
  <si>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</si>
  <si>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</si>
  <si>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</si>
  <si>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</si>
  <si>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</si>
  <si>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</si>
  <si>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</si>
  <si>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</si>
  <si>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</si>
  <si>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</si>
  <si>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</si>
  <si>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</si>
  <si>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</si>
  <si>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</si>
  <si>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</si>
  <si>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</si>
  <si>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</si>
  <si>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</si>
  <si>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</si>
  <si>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</si>
  <si>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</si>
  <si>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</si>
  <si>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</si>
  <si>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</si>
  <si>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</si>
  <si>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</si>
  <si>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</si>
  <si>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</si>
  <si>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</si>
  <si>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</si>
  <si>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</si>
  <si>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</si>
  <si>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</si>
  <si>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</si>
  <si>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</si>
  <si>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</si>
  <si>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</si>
  <si>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</si>
  <si>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</si>
  <si>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</si>
  <si>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</si>
  <si>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</si>
  <si>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</si>
  <si>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</si>
  <si>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</si>
  <si>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</si>
  <si>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</si>
  <si>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</si>
  <si>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</si>
  <si>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</si>
  <si>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</si>
  <si>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</si>
  <si>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</si>
  <si>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</si>
  <si>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</si>
  <si>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</si>
  <si>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</si>
  <si>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</si>
  <si>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</si>
  <si>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</si>
  <si>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</si>
  <si>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</si>
  <si>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</si>
  <si>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</si>
  <si>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</si>
  <si>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</si>
  <si>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</si>
  <si>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</si>
  <si>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</si>
  <si>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</si>
  <si>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</si>
  <si>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</si>
  <si>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</si>
  <si>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</si>
  <si>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</si>
  <si>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</si>
  <si>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</si>
  <si>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</si>
  <si>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</si>
  <si>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</si>
  <si>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</si>
  <si>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</si>
  <si>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</si>
  <si>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</si>
  <si>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</si>
  <si>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</si>
  <si>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</si>
  <si>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</si>
  <si>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</si>
  <si>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</si>
  <si>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</si>
  <si>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</si>
  <si>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</si>
  <si>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</si>
  <si>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</si>
  <si>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</si>
  <si>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</si>
  <si>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</si>
  <si>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</si>
  <si>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</si>
  <si>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</si>
  <si>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</si>
  <si>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</si>
  <si>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</si>
  <si>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</si>
  <si>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</si>
  <si>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</si>
  <si>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</si>
  <si>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</si>
  <si>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</si>
  <si>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</si>
  <si>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</si>
  <si>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</si>
  <si>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</si>
  <si>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</si>
  <si>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</si>
  <si>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</si>
  <si>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</si>
  <si>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</si>
  <si>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</si>
  <si>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</si>
  <si>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</si>
  <si>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</si>
  <si>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</si>
  <si>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</si>
  <si>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</si>
  <si>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</si>
  <si>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</si>
  <si>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</si>
  <si>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</si>
  <si>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</si>
  <si>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</si>
  <si>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</si>
  <si>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</si>
  <si>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</si>
  <si>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</si>
  <si>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</si>
  <si>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</si>
  <si>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</si>
  <si>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</si>
  <si>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</si>
  <si>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</si>
  <si>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</si>
  <si>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</si>
  <si>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</si>
  <si>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</si>
  <si>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</si>
  <si>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</si>
  <si>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</si>
  <si>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</si>
  <si>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</si>
  <si>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</si>
  <si>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</si>
  <si>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</si>
  <si>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</si>
  <si>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</si>
  <si>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</si>
  <si>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</si>
  <si>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</si>
  <si>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</si>
  <si>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</si>
  <si>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</si>
  <si>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</si>
  <si>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</si>
  <si>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</si>
  <si>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</si>
  <si>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</si>
  <si>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</si>
  <si>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</si>
  <si>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</si>
  <si>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</si>
  <si>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</si>
  <si>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</si>
  <si>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</si>
  <si>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</si>
  <si>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</si>
  <si>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</si>
  <si>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</si>
  <si>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</si>
  <si>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</si>
  <si>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</si>
  <si>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</si>
  <si>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</si>
  <si>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</si>
  <si>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</si>
  <si>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</si>
  <si>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</si>
  <si>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</si>
  <si>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</si>
  <si>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</si>
  <si>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</si>
  <si>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</si>
  <si>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</si>
  <si>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</si>
  <si>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</si>
  <si>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</si>
  <si>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</si>
  <si>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</si>
  <si>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</si>
  <si>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</si>
  <si>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</si>
  <si>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</si>
  <si>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</si>
  <si>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</si>
  <si>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</si>
  <si>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</si>
  <si>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</si>
  <si>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</si>
  <si>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</si>
  <si>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</si>
  <si>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</si>
  <si>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</si>
  <si>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</si>
  <si>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</si>
  <si>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</si>
  <si>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</si>
  <si>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</si>
  <si>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</si>
  <si>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</si>
  <si>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</si>
  <si>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</si>
  <si>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</si>
  <si>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</si>
  <si>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</si>
  <si>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</si>
  <si>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</si>
  <si>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</si>
  <si>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</si>
  <si>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</si>
  <si>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</si>
  <si>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</si>
  <si>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</si>
  <si>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</si>
  <si>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</si>
  <si>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</si>
  <si>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</si>
  <si>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</si>
  <si>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</si>
  <si>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</si>
  <si>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</si>
  <si>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</si>
  <si>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</si>
  <si>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</si>
  <si>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</si>
  <si>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</si>
  <si>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</si>
  <si>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</si>
  <si>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</si>
  <si>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</si>
  <si>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</si>
  <si>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</si>
  <si>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</si>
  <si>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</si>
  <si>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</si>
  <si>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</si>
  <si>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</si>
  <si>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</si>
  <si>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</si>
  <si>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</si>
  <si>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</si>
  <si>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</si>
  <si>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</si>
  <si>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</si>
  <si>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</si>
  <si>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</si>
  <si>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</si>
  <si>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</si>
  <si>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</si>
  <si>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</si>
  <si>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</si>
  <si>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</si>
  <si>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</si>
  <si>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</si>
  <si>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</si>
  <si>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</si>
  <si>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</si>
  <si>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</si>
  <si>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</si>
  <si>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</si>
  <si>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</si>
  <si>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</si>
  <si>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</si>
  <si>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</si>
  <si>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</si>
  <si>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</si>
  <si>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</si>
  <si>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</si>
  <si>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</si>
  <si>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</si>
  <si>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</si>
  <si>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</si>
  <si>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</si>
  <si>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</si>
  <si>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</si>
  <si>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</si>
  <si>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</si>
  <si>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</si>
  <si>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</si>
  <si>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</si>
  <si>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</si>
  <si>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</si>
  <si>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</si>
  <si>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</si>
  <si>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</si>
  <si>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</si>
  <si>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</si>
  <si>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</si>
  <si>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</si>
  <si>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</si>
  <si>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</si>
  <si>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</si>
  <si>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</si>
  <si>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</si>
  <si>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</si>
  <si>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</si>
  <si>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</si>
  <si>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</si>
  <si>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</si>
  <si>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</si>
  <si>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</si>
  <si>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</si>
  <si>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</si>
  <si>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</si>
  <si>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</si>
  <si>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</si>
  <si>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</si>
  <si>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</si>
  <si>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</si>
  <si>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</si>
  <si>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</si>
  <si>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</si>
  <si>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</si>
  <si>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</si>
  <si>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</si>
  <si>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</si>
  <si>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</si>
  <si>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</si>
  <si>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</si>
  <si>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</si>
  <si>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</si>
  <si>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</si>
  <si>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</si>
  <si>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</si>
  <si>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</si>
  <si>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</si>
  <si>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</si>
  <si>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</si>
  <si>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</si>
  <si>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</si>
  <si>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</si>
  <si>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</si>
  <si>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</si>
  <si>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</si>
  <si>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</si>
  <si>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</si>
  <si>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</si>
  <si>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</si>
  <si>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</si>
  <si>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</si>
  <si>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</si>
  <si>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</si>
  <si>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</si>
  <si>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</si>
  <si>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</si>
  <si>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</si>
  <si>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</si>
  <si>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</si>
  <si>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</si>
  <si>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</si>
  <si>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</si>
  <si>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</si>
  <si>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</si>
  <si>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</si>
  <si>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</si>
  <si>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</si>
  <si>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</si>
  <si>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</si>
  <si>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</si>
  <si>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</si>
  <si>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</si>
  <si>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</si>
  <si>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</si>
  <si>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</si>
  <si>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</si>
  <si>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</si>
  <si>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</si>
  <si>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</si>
  <si>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</si>
  <si>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</si>
  <si>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</si>
  <si>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</si>
  <si>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</si>
  <si>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</si>
  <si>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</si>
  <si>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</si>
  <si>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</si>
  <si>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</si>
  <si>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</si>
  <si>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</si>
  <si>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</si>
  <si>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</si>
  <si>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</si>
  <si>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</si>
  <si>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</si>
  <si>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</si>
  <si>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</si>
  <si>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</si>
  <si>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</si>
  <si>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</si>
  <si>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</si>
  <si>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</si>
  <si>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</si>
  <si>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</si>
  <si>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</si>
  <si>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</si>
  <si>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</si>
  <si>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</si>
  <si>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</si>
  <si>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</si>
  <si>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</si>
  <si>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</si>
  <si>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</si>
  <si>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</si>
  <si>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</si>
  <si>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</si>
  <si>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</si>
  <si>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</si>
  <si>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</si>
  <si>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</si>
  <si>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</si>
  <si>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</si>
  <si>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</si>
  <si>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</si>
  <si>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</si>
  <si>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</si>
  <si>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</si>
  <si>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</si>
  <si>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</si>
  <si>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</si>
  <si>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</si>
  <si>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</si>
  <si>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</si>
  <si>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</si>
  <si>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</si>
  <si>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</si>
  <si>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</si>
  <si>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</si>
  <si>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</si>
  <si>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</si>
  <si>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</si>
  <si>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</si>
  <si>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</si>
  <si>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</si>
  <si>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</si>
  <si>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</si>
  <si>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</si>
  <si>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</si>
  <si>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</si>
  <si>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</si>
  <si>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</si>
  <si>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</si>
  <si>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</si>
  <si>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</si>
  <si>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</si>
  <si>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</si>
  <si>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</si>
  <si>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</si>
  <si>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</si>
  <si>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</si>
  <si>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</si>
  <si>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</si>
  <si>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</si>
  <si>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</si>
  <si>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</si>
  <si>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</si>
  <si>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</si>
  <si>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</si>
  <si>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</si>
  <si>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</si>
  <si>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</si>
  <si>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</si>
  <si>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</si>
  <si>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</si>
  <si>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</si>
  <si>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</si>
  <si>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</si>
  <si>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</si>
  <si>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</si>
  <si>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</si>
  <si>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</si>
  <si>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</si>
  <si>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</si>
  <si>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</si>
  <si>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</si>
  <si>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</si>
  <si>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</si>
  <si>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</si>
  <si>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</si>
  <si>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</si>
  <si>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</si>
  <si>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</si>
  <si>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</si>
  <si>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</si>
  <si>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</si>
  <si>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</si>
  <si>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</si>
  <si>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</si>
  <si>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</si>
  <si>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</si>
  <si>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</si>
  <si>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</si>
  <si>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</si>
  <si>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</si>
  <si>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</si>
  <si>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</si>
  <si>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</si>
  <si>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</si>
  <si>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</si>
  <si>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</si>
  <si>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</si>
  <si>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</si>
  <si>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</si>
  <si>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</si>
  <si>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</si>
  <si>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</si>
  <si>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</si>
  <si>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</si>
  <si>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</si>
  <si>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</si>
  <si>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</si>
  <si>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</si>
  <si>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</si>
  <si>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</si>
  <si>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</si>
  <si>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</si>
  <si>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</si>
  <si>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</si>
  <si>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</si>
  <si>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</si>
  <si>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</si>
  <si>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</si>
  <si>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</si>
  <si>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</si>
  <si>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</si>
  <si>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</si>
  <si>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</si>
  <si>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</si>
  <si>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</si>
  <si>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</si>
  <si>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</si>
  <si>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</si>
  <si>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</si>
  <si>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</si>
  <si>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</si>
  <si>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</si>
  <si>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</si>
  <si>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</si>
  <si>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</si>
  <si>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</si>
  <si>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</si>
  <si>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</si>
  <si>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</si>
  <si>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</si>
  <si>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</si>
  <si>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</si>
  <si>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</si>
  <si>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</si>
  <si>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</si>
  <si>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</si>
  <si>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</si>
  <si>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</si>
  <si>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</si>
  <si>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</si>
  <si>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</si>
  <si>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</si>
  <si>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</si>
  <si>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</si>
  <si>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</si>
  <si>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</si>
  <si>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</si>
  <si>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</si>
  <si>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</si>
  <si>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</si>
  <si>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</si>
  <si>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</si>
  <si>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</si>
  <si>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</si>
  <si>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</si>
  <si>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</si>
  <si>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</si>
  <si>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</si>
  <si>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</si>
  <si>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</si>
  <si>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</si>
  <si>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</si>
  <si>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</si>
  <si>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</si>
  <si>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</si>
  <si>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</si>
  <si>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</si>
  <si>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</si>
  <si>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</si>
  <si>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</si>
  <si>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</si>
  <si>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</si>
  <si>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</si>
  <si>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</si>
  <si>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</si>
  <si>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</si>
  <si>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</si>
  <si>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</si>
  <si>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</si>
  <si>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</si>
  <si>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</si>
  <si>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</si>
  <si>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</si>
  <si>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</si>
  <si>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</si>
  <si>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</si>
  <si>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</si>
  <si>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</si>
  <si>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</si>
  <si>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</si>
  <si>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</si>
  <si>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</si>
  <si>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</si>
  <si>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</si>
  <si>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</si>
  <si>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</si>
  <si>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</si>
  <si>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</si>
  <si>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</si>
  <si>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</si>
  <si>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</si>
  <si>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</si>
  <si>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</si>
  <si>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</si>
  <si>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</si>
  <si>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</si>
  <si>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</si>
  <si>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</si>
  <si>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</si>
  <si>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</si>
  <si>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</si>
  <si>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</si>
  <si>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</si>
  <si>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</si>
  <si>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</si>
  <si>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</si>
  <si>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</si>
  <si>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</si>
  <si>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</si>
  <si>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</si>
  <si>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</si>
  <si>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</si>
  <si>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</si>
  <si>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</si>
  <si>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</si>
  <si>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</si>
  <si>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</si>
  <si>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</si>
  <si>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</si>
  <si>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</si>
  <si>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</si>
  <si>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</si>
  <si>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</si>
  <si>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</si>
  <si>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</si>
  <si>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</si>
  <si>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</si>
  <si>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</si>
  <si>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</si>
  <si>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</si>
  <si>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</si>
  <si>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</si>
  <si>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</si>
  <si>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</si>
  <si>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</si>
  <si>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</si>
  <si>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</si>
  <si>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</si>
  <si>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</si>
  <si>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</si>
  <si>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</si>
  <si>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</si>
  <si>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</si>
  <si>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</si>
  <si>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</si>
  <si>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</si>
  <si>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</si>
  <si>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</si>
  <si>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</si>
  <si>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</si>
  <si>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</si>
  <si>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</si>
  <si>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</si>
  <si>
    <t>EPC_Required</t>
  </si>
  <si>
    <t>Changed LGD</t>
  </si>
  <si>
    <t>Property value</t>
  </si>
  <si>
    <t>Changed Property Value</t>
  </si>
  <si>
    <t>Property valuation haircut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</si>
</sst>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sz val="11.0"/>
      <color rgb="FF000000"/>
      <name val="Calibri"/>
    </font>
    <font>
      <color theme="1"/>
      <name val="Arial"/>
    </font>
    <font>
      <b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Font="1"/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10" width="25.71"/>
    <col customWidth="1" min="11" max="12" width="22.71"/>
    <col customWidth="1" min="16" max="16" width="21.29"/>
    <col customWidth="1" min="17" max="17" width="23.43"/>
    <col customWidth="1" min="18" max="19" width="18.57"/>
    <col customWidth="1" min="20" max="21" width="19.71"/>
    <col customWidth="1" min="22" max="22" width="19.57"/>
    <col customWidth="1" min="23" max="23" width="19.14"/>
    <col customWidth="1" min="24" max="24" width="20.14"/>
    <col customWidth="1" min="25" max="25" width="21.29"/>
    <col customWidth="1" min="33" max="34" width="21.29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/>
    </row>
    <row r="2">
      <c r="A2" s="4" t="s">
        <v>33</v>
      </c>
      <c r="B2" s="4" t="s">
        <v>34</v>
      </c>
      <c r="C2" s="4" t="s">
        <v>35</v>
      </c>
      <c r="D2" s="5">
        <v>17100.0</v>
      </c>
      <c r="E2" s="6">
        <f t="shared" ref="E2:E501" si="7">ROUND(IF(D2/RANDBETWEEN(24,400)&lt;1100,RANDBETWEEN(800,1100),D2/RANDBETWEEN(24,400)),2)</f>
        <v>1033</v>
      </c>
      <c r="F2" s="7">
        <f t="shared" ref="F2:G2" si="1">ROUND(RAND(),2)</f>
        <v>0.67</v>
      </c>
      <c r="G2" s="7">
        <f t="shared" si="1"/>
        <v>0.88</v>
      </c>
      <c r="H2" s="7">
        <f t="shared" ref="H2:H501" si="9">RANDBETWEEN(1,5)</f>
        <v>1</v>
      </c>
      <c r="I2" s="7">
        <f t="shared" ref="I2:I501" si="10">RANDBETWEEN(2000,100000)</f>
        <v>75790</v>
      </c>
      <c r="J2" s="7">
        <f t="shared" ref="J2:J501" si="11">SQRT(POWER(I2-RANDBETWEEN(-200,90000),2))</f>
        <v>32857</v>
      </c>
      <c r="K2" s="7" t="str">
        <f t="shared" ref="K2:K501" si="12">CHOOSE(RANDBETWEEN(1,7),"A","B","C","D","E","F","G")</f>
        <v>F</v>
      </c>
      <c r="L2" s="7" t="str">
        <f t="shared" ref="L2:L501" si="13">CHOOSE(RANDBETWEEN(1,6),"Transformative change","High ambition","Transformative change","Transformative change","Transformative change","Transformative change")</f>
        <v>Transformative change</v>
      </c>
      <c r="M2" s="7" t="str">
        <f t="shared" ref="M2:M501" si="14">CHOOSE(RANDBETWEEN(1,3),"Low","Medium","High")</f>
        <v>Medium</v>
      </c>
      <c r="N2" s="7">
        <f t="shared" ref="N2:N501" si="15">RANDBETWEEN(40000,4000000)</f>
        <v>560459</v>
      </c>
      <c r="O2" s="7">
        <f t="shared" ref="O2:O501" si="16">N2*RAND()</f>
        <v>487161.0353</v>
      </c>
      <c r="P2" s="7">
        <f t="shared" ref="P2:Q2" si="2">RANDBETWEEN(0,22)</f>
        <v>10</v>
      </c>
      <c r="Q2" s="7">
        <f t="shared" si="2"/>
        <v>13</v>
      </c>
      <c r="R2" s="7">
        <f t="shared" ref="R2:T2" si="3">IF(S2=1,1,RANDBETWEEN(0,1))</f>
        <v>1</v>
      </c>
      <c r="S2" s="7">
        <f t="shared" si="3"/>
        <v>1</v>
      </c>
      <c r="T2" s="7">
        <f t="shared" si="3"/>
        <v>1</v>
      </c>
      <c r="U2" s="7">
        <f t="shared" ref="U2:U501" si="19">RANDBETWEEN(0,1)</f>
        <v>0</v>
      </c>
      <c r="V2" s="7">
        <f t="shared" ref="V2:X2" si="4">IF(W2=1,1,RANDBETWEEN(0,1))</f>
        <v>1</v>
      </c>
      <c r="W2" s="7">
        <f t="shared" si="4"/>
        <v>1</v>
      </c>
      <c r="X2" s="7">
        <f t="shared" si="4"/>
        <v>1</v>
      </c>
      <c r="Y2" s="7">
        <f t="shared" ref="Y2:Y501" si="21">RANDBETWEEN(0,1)</f>
        <v>1</v>
      </c>
      <c r="Z2" s="7">
        <f t="shared" ref="Z2:AB2" si="5">IF(AA2=1,1,RANDBETWEEN(0,1))</f>
        <v>1</v>
      </c>
      <c r="AA2" s="7">
        <f t="shared" si="5"/>
        <v>1</v>
      </c>
      <c r="AB2" s="7">
        <f t="shared" si="5"/>
        <v>1</v>
      </c>
      <c r="AC2" s="7">
        <f t="shared" ref="AC2:AC501" si="23">RANDBETWEEN(0,1)</f>
        <v>1</v>
      </c>
      <c r="AD2" s="7">
        <f t="shared" ref="AD2:AF2" si="6">IF(AE2=1,1,RANDBETWEEN(0,1))</f>
        <v>1</v>
      </c>
      <c r="AE2" s="7">
        <f t="shared" si="6"/>
        <v>1</v>
      </c>
      <c r="AF2" s="7">
        <f t="shared" si="6"/>
        <v>0</v>
      </c>
      <c r="AG2" s="7">
        <f t="shared" ref="AG2:AG501" si="25">RANDBETWEEN(0,1)</f>
        <v>0</v>
      </c>
    </row>
    <row r="3">
      <c r="A3" s="4" t="s">
        <v>36</v>
      </c>
      <c r="B3" s="4" t="s">
        <v>37</v>
      </c>
      <c r="C3" s="4" t="s">
        <v>38</v>
      </c>
      <c r="D3" s="5">
        <v>89592.0</v>
      </c>
      <c r="E3" s="6">
        <f t="shared" si="7"/>
        <v>863</v>
      </c>
      <c r="F3" s="7">
        <f t="shared" ref="F3:G3" si="8">ROUND(RAND(),2)</f>
        <v>0.09</v>
      </c>
      <c r="G3" s="7">
        <f t="shared" si="8"/>
        <v>0.18</v>
      </c>
      <c r="H3" s="7">
        <f t="shared" si="9"/>
        <v>3</v>
      </c>
      <c r="I3" s="7">
        <f t="shared" si="10"/>
        <v>17777</v>
      </c>
      <c r="J3" s="7">
        <f t="shared" si="11"/>
        <v>28671</v>
      </c>
      <c r="K3" s="7" t="str">
        <f t="shared" si="12"/>
        <v>D</v>
      </c>
      <c r="L3" s="7" t="str">
        <f t="shared" si="13"/>
        <v>High ambition</v>
      </c>
      <c r="M3" s="7" t="str">
        <f t="shared" si="14"/>
        <v>Medium</v>
      </c>
      <c r="N3" s="7">
        <f t="shared" si="15"/>
        <v>1026827</v>
      </c>
      <c r="O3" s="7">
        <f t="shared" si="16"/>
        <v>697276.3755</v>
      </c>
      <c r="P3" s="7">
        <f t="shared" ref="P3:Q3" si="17">RANDBETWEEN(0,22)</f>
        <v>4</v>
      </c>
      <c r="Q3" s="7">
        <f t="shared" si="17"/>
        <v>13</v>
      </c>
      <c r="R3" s="7">
        <f t="shared" ref="R3:T3" si="18">IF(S3=1,1,RANDBETWEEN(0,1))</f>
        <v>1</v>
      </c>
      <c r="S3" s="7">
        <f t="shared" si="18"/>
        <v>1</v>
      </c>
      <c r="T3" s="7">
        <f t="shared" si="18"/>
        <v>1</v>
      </c>
      <c r="U3" s="7">
        <f t="shared" si="19"/>
        <v>0</v>
      </c>
      <c r="V3" s="7">
        <f t="shared" ref="V3:X3" si="20">IF(W3=1,1,RANDBETWEEN(0,1))</f>
        <v>1</v>
      </c>
      <c r="W3" s="7">
        <f t="shared" si="20"/>
        <v>1</v>
      </c>
      <c r="X3" s="7">
        <f t="shared" si="20"/>
        <v>1</v>
      </c>
      <c r="Y3" s="7">
        <f t="shared" si="21"/>
        <v>0</v>
      </c>
      <c r="Z3" s="7">
        <f t="shared" ref="Z3:AB3" si="22">IF(AA3=1,1,RANDBETWEEN(0,1))</f>
        <v>1</v>
      </c>
      <c r="AA3" s="7">
        <f t="shared" si="22"/>
        <v>1</v>
      </c>
      <c r="AB3" s="7">
        <f t="shared" si="22"/>
        <v>1</v>
      </c>
      <c r="AC3" s="7">
        <f t="shared" si="23"/>
        <v>1</v>
      </c>
      <c r="AD3" s="7">
        <f t="shared" ref="AD3:AF3" si="24">IF(AE3=1,1,RANDBETWEEN(0,1))</f>
        <v>0</v>
      </c>
      <c r="AE3" s="7">
        <f t="shared" si="24"/>
        <v>0</v>
      </c>
      <c r="AF3" s="7">
        <f t="shared" si="24"/>
        <v>0</v>
      </c>
      <c r="AG3" s="7">
        <f t="shared" si="25"/>
        <v>0</v>
      </c>
    </row>
    <row r="4">
      <c r="A4" s="4" t="s">
        <v>39</v>
      </c>
      <c r="B4" s="4" t="s">
        <v>40</v>
      </c>
      <c r="C4" s="4" t="s">
        <v>41</v>
      </c>
      <c r="D4" s="5">
        <v>23688.0</v>
      </c>
      <c r="E4" s="6">
        <f t="shared" si="7"/>
        <v>972</v>
      </c>
      <c r="F4" s="7">
        <f t="shared" ref="F4:G4" si="26">ROUND(RAND(),2)</f>
        <v>0.42</v>
      </c>
      <c r="G4" s="7">
        <f t="shared" si="26"/>
        <v>0.33</v>
      </c>
      <c r="H4" s="7">
        <f t="shared" si="9"/>
        <v>2</v>
      </c>
      <c r="I4" s="7">
        <f t="shared" si="10"/>
        <v>97107</v>
      </c>
      <c r="J4" s="7">
        <f t="shared" si="11"/>
        <v>67675</v>
      </c>
      <c r="K4" s="7" t="str">
        <f t="shared" si="12"/>
        <v>D</v>
      </c>
      <c r="L4" s="7" t="str">
        <f t="shared" si="13"/>
        <v>Transformative change</v>
      </c>
      <c r="M4" s="7" t="str">
        <f t="shared" si="14"/>
        <v>High</v>
      </c>
      <c r="N4" s="7">
        <f t="shared" si="15"/>
        <v>1436015</v>
      </c>
      <c r="O4" s="7">
        <f t="shared" si="16"/>
        <v>289546.6011</v>
      </c>
      <c r="P4" s="7">
        <f t="shared" ref="P4:Q4" si="27">RANDBETWEEN(0,22)</f>
        <v>0</v>
      </c>
      <c r="Q4" s="7">
        <f t="shared" si="27"/>
        <v>16</v>
      </c>
      <c r="R4" s="7">
        <f t="shared" ref="R4:T4" si="28">IF(S4=1,1,RANDBETWEEN(0,1))</f>
        <v>1</v>
      </c>
      <c r="S4" s="7">
        <f t="shared" si="28"/>
        <v>1</v>
      </c>
      <c r="T4" s="7">
        <f t="shared" si="28"/>
        <v>0</v>
      </c>
      <c r="U4" s="7">
        <f t="shared" si="19"/>
        <v>0</v>
      </c>
      <c r="V4" s="7">
        <f t="shared" ref="V4:X4" si="29">IF(W4=1,1,RANDBETWEEN(0,1))</f>
        <v>0</v>
      </c>
      <c r="W4" s="7">
        <f t="shared" si="29"/>
        <v>0</v>
      </c>
      <c r="X4" s="7">
        <f t="shared" si="29"/>
        <v>0</v>
      </c>
      <c r="Y4" s="7">
        <f t="shared" si="21"/>
        <v>0</v>
      </c>
      <c r="Z4" s="7">
        <f t="shared" ref="Z4:AB4" si="30">IF(AA4=1,1,RANDBETWEEN(0,1))</f>
        <v>1</v>
      </c>
      <c r="AA4" s="7">
        <f t="shared" si="30"/>
        <v>1</v>
      </c>
      <c r="AB4" s="7">
        <f t="shared" si="30"/>
        <v>1</v>
      </c>
      <c r="AC4" s="7">
        <f t="shared" si="23"/>
        <v>0</v>
      </c>
      <c r="AD4" s="7">
        <f t="shared" ref="AD4:AF4" si="31">IF(AE4=1,1,RANDBETWEEN(0,1))</f>
        <v>0</v>
      </c>
      <c r="AE4" s="7">
        <f t="shared" si="31"/>
        <v>0</v>
      </c>
      <c r="AF4" s="7">
        <f t="shared" si="31"/>
        <v>0</v>
      </c>
      <c r="AG4" s="7">
        <f t="shared" si="25"/>
        <v>0</v>
      </c>
    </row>
    <row r="5">
      <c r="A5" s="4" t="s">
        <v>42</v>
      </c>
      <c r="B5" s="4" t="s">
        <v>43</v>
      </c>
      <c r="C5" s="4" t="s">
        <v>44</v>
      </c>
      <c r="D5" s="5">
        <v>707515.0</v>
      </c>
      <c r="E5" s="6">
        <f t="shared" si="7"/>
        <v>3275.53</v>
      </c>
      <c r="F5" s="7">
        <f t="shared" ref="F5:G5" si="32">ROUND(RAND(),2)</f>
        <v>0.3</v>
      </c>
      <c r="G5" s="7">
        <f t="shared" si="32"/>
        <v>0.42</v>
      </c>
      <c r="H5" s="7">
        <f t="shared" si="9"/>
        <v>4</v>
      </c>
      <c r="I5" s="7">
        <f t="shared" si="10"/>
        <v>49764</v>
      </c>
      <c r="J5" s="7">
        <f t="shared" si="11"/>
        <v>4036</v>
      </c>
      <c r="K5" s="7" t="str">
        <f t="shared" si="12"/>
        <v>G</v>
      </c>
      <c r="L5" s="7" t="str">
        <f t="shared" si="13"/>
        <v>High ambition</v>
      </c>
      <c r="M5" s="7" t="str">
        <f t="shared" si="14"/>
        <v>Medium</v>
      </c>
      <c r="N5" s="7">
        <f t="shared" si="15"/>
        <v>2063998</v>
      </c>
      <c r="O5" s="7">
        <f t="shared" si="16"/>
        <v>594664.1915</v>
      </c>
      <c r="P5" s="7">
        <f t="shared" ref="P5:Q5" si="33">RANDBETWEEN(0,22)</f>
        <v>7</v>
      </c>
      <c r="Q5" s="7">
        <f t="shared" si="33"/>
        <v>1</v>
      </c>
      <c r="R5" s="7">
        <f t="shared" ref="R5:T5" si="34">IF(S5=1,1,RANDBETWEEN(0,1))</f>
        <v>1</v>
      </c>
      <c r="S5" s="7">
        <f t="shared" si="34"/>
        <v>1</v>
      </c>
      <c r="T5" s="7">
        <f t="shared" si="34"/>
        <v>1</v>
      </c>
      <c r="U5" s="7">
        <f t="shared" si="19"/>
        <v>0</v>
      </c>
      <c r="V5" s="7">
        <f t="shared" ref="V5:X5" si="35">IF(W5=1,1,RANDBETWEEN(0,1))</f>
        <v>1</v>
      </c>
      <c r="W5" s="7">
        <f t="shared" si="35"/>
        <v>1</v>
      </c>
      <c r="X5" s="7">
        <f t="shared" si="35"/>
        <v>1</v>
      </c>
      <c r="Y5" s="7">
        <f t="shared" si="21"/>
        <v>1</v>
      </c>
      <c r="Z5" s="7">
        <f t="shared" ref="Z5:AB5" si="36">IF(AA5=1,1,RANDBETWEEN(0,1))</f>
        <v>1</v>
      </c>
      <c r="AA5" s="7">
        <f t="shared" si="36"/>
        <v>1</v>
      </c>
      <c r="AB5" s="7">
        <f t="shared" si="36"/>
        <v>1</v>
      </c>
      <c r="AC5" s="7">
        <f t="shared" si="23"/>
        <v>0</v>
      </c>
      <c r="AD5" s="7">
        <f t="shared" ref="AD5:AF5" si="37">IF(AE5=1,1,RANDBETWEEN(0,1))</f>
        <v>1</v>
      </c>
      <c r="AE5" s="7">
        <f t="shared" si="37"/>
        <v>1</v>
      </c>
      <c r="AF5" s="7">
        <f t="shared" si="37"/>
        <v>1</v>
      </c>
      <c r="AG5" s="7">
        <f t="shared" si="25"/>
        <v>1</v>
      </c>
    </row>
    <row r="6">
      <c r="A6" s="4" t="s">
        <v>45</v>
      </c>
      <c r="B6" s="4" t="s">
        <v>46</v>
      </c>
      <c r="C6" s="4" t="s">
        <v>47</v>
      </c>
      <c r="D6" s="5">
        <v>8954.0</v>
      </c>
      <c r="E6" s="6">
        <f t="shared" si="7"/>
        <v>869</v>
      </c>
      <c r="F6" s="7">
        <f t="shared" ref="F6:G6" si="38">ROUND(RAND(),2)</f>
        <v>0.35</v>
      </c>
      <c r="G6" s="7">
        <f t="shared" si="38"/>
        <v>0.72</v>
      </c>
      <c r="H6" s="7">
        <f t="shared" si="9"/>
        <v>3</v>
      </c>
      <c r="I6" s="7">
        <f t="shared" si="10"/>
        <v>69323</v>
      </c>
      <c r="J6" s="7">
        <f t="shared" si="11"/>
        <v>1265</v>
      </c>
      <c r="K6" s="7" t="str">
        <f t="shared" si="12"/>
        <v>G</v>
      </c>
      <c r="L6" s="7" t="str">
        <f t="shared" si="13"/>
        <v>Transformative change</v>
      </c>
      <c r="M6" s="7" t="str">
        <f t="shared" si="14"/>
        <v>Medium</v>
      </c>
      <c r="N6" s="7">
        <f t="shared" si="15"/>
        <v>749787</v>
      </c>
      <c r="O6" s="7">
        <f t="shared" si="16"/>
        <v>225312.8208</v>
      </c>
      <c r="P6" s="7">
        <f t="shared" ref="P6:Q6" si="39">RANDBETWEEN(0,22)</f>
        <v>4</v>
      </c>
      <c r="Q6" s="7">
        <f t="shared" si="39"/>
        <v>1</v>
      </c>
      <c r="R6" s="7">
        <f t="shared" ref="R6:T6" si="40">IF(S6=1,1,RANDBETWEEN(0,1))</f>
        <v>1</v>
      </c>
      <c r="S6" s="7">
        <f t="shared" si="40"/>
        <v>1</v>
      </c>
      <c r="T6" s="7">
        <f t="shared" si="40"/>
        <v>1</v>
      </c>
      <c r="U6" s="7">
        <f t="shared" si="19"/>
        <v>1</v>
      </c>
      <c r="V6" s="7">
        <f t="shared" ref="V6:X6" si="41">IF(W6=1,1,RANDBETWEEN(0,1))</f>
        <v>1</v>
      </c>
      <c r="W6" s="7">
        <f t="shared" si="41"/>
        <v>1</v>
      </c>
      <c r="X6" s="7">
        <f t="shared" si="41"/>
        <v>1</v>
      </c>
      <c r="Y6" s="7">
        <f t="shared" si="21"/>
        <v>1</v>
      </c>
      <c r="Z6" s="7">
        <f t="shared" ref="Z6:AB6" si="42">IF(AA6=1,1,RANDBETWEEN(0,1))</f>
        <v>1</v>
      </c>
      <c r="AA6" s="7">
        <f t="shared" si="42"/>
        <v>1</v>
      </c>
      <c r="AB6" s="7">
        <f t="shared" si="42"/>
        <v>1</v>
      </c>
      <c r="AC6" s="7">
        <f t="shared" si="23"/>
        <v>0</v>
      </c>
      <c r="AD6" s="7">
        <f t="shared" ref="AD6:AF6" si="43">IF(AE6=1,1,RANDBETWEEN(0,1))</f>
        <v>1</v>
      </c>
      <c r="AE6" s="7">
        <f t="shared" si="43"/>
        <v>1</v>
      </c>
      <c r="AF6" s="7">
        <f t="shared" si="43"/>
        <v>1</v>
      </c>
      <c r="AG6" s="7">
        <f t="shared" si="25"/>
        <v>1</v>
      </c>
    </row>
    <row r="7">
      <c r="A7" s="4" t="s">
        <v>48</v>
      </c>
      <c r="B7" s="4" t="s">
        <v>49</v>
      </c>
      <c r="C7" s="4" t="s">
        <v>50</v>
      </c>
      <c r="D7" s="5">
        <v>77325.0</v>
      </c>
      <c r="E7" s="6">
        <f t="shared" si="7"/>
        <v>1093</v>
      </c>
      <c r="F7" s="7">
        <f t="shared" ref="F7:G7" si="44">ROUND(RAND(),2)</f>
        <v>0.39</v>
      </c>
      <c r="G7" s="7">
        <f t="shared" si="44"/>
        <v>0.41</v>
      </c>
      <c r="H7" s="7">
        <f t="shared" si="9"/>
        <v>4</v>
      </c>
      <c r="I7" s="7">
        <f t="shared" si="10"/>
        <v>44145</v>
      </c>
      <c r="J7" s="7">
        <f t="shared" si="11"/>
        <v>3860</v>
      </c>
      <c r="K7" s="7" t="str">
        <f t="shared" si="12"/>
        <v>C</v>
      </c>
      <c r="L7" s="7" t="str">
        <f t="shared" si="13"/>
        <v>Transformative change</v>
      </c>
      <c r="M7" s="7" t="str">
        <f t="shared" si="14"/>
        <v>High</v>
      </c>
      <c r="N7" s="7">
        <f t="shared" si="15"/>
        <v>2981662</v>
      </c>
      <c r="O7" s="7">
        <f t="shared" si="16"/>
        <v>457813.6822</v>
      </c>
      <c r="P7" s="7">
        <f t="shared" ref="P7:Q7" si="45">RANDBETWEEN(0,22)</f>
        <v>5</v>
      </c>
      <c r="Q7" s="7">
        <f t="shared" si="45"/>
        <v>0</v>
      </c>
      <c r="R7" s="7">
        <f t="shared" ref="R7:T7" si="46">IF(S7=1,1,RANDBETWEEN(0,1))</f>
        <v>1</v>
      </c>
      <c r="S7" s="7">
        <f t="shared" si="46"/>
        <v>1</v>
      </c>
      <c r="T7" s="7">
        <f t="shared" si="46"/>
        <v>1</v>
      </c>
      <c r="U7" s="7">
        <f t="shared" si="19"/>
        <v>1</v>
      </c>
      <c r="V7" s="7">
        <f t="shared" ref="V7:X7" si="47">IF(W7=1,1,RANDBETWEEN(0,1))</f>
        <v>1</v>
      </c>
      <c r="W7" s="7">
        <f t="shared" si="47"/>
        <v>1</v>
      </c>
      <c r="X7" s="7">
        <f t="shared" si="47"/>
        <v>1</v>
      </c>
      <c r="Y7" s="7">
        <f t="shared" si="21"/>
        <v>1</v>
      </c>
      <c r="Z7" s="7">
        <f t="shared" ref="Z7:AB7" si="48">IF(AA7=1,1,RANDBETWEEN(0,1))</f>
        <v>1</v>
      </c>
      <c r="AA7" s="7">
        <f t="shared" si="48"/>
        <v>1</v>
      </c>
      <c r="AB7" s="7">
        <f t="shared" si="48"/>
        <v>1</v>
      </c>
      <c r="AC7" s="7">
        <f t="shared" si="23"/>
        <v>0</v>
      </c>
      <c r="AD7" s="7">
        <f t="shared" ref="AD7:AF7" si="49">IF(AE7=1,1,RANDBETWEEN(0,1))</f>
        <v>1</v>
      </c>
      <c r="AE7" s="7">
        <f t="shared" si="49"/>
        <v>1</v>
      </c>
      <c r="AF7" s="7">
        <f t="shared" si="49"/>
        <v>1</v>
      </c>
      <c r="AG7" s="7">
        <f t="shared" si="25"/>
        <v>1</v>
      </c>
    </row>
    <row r="8">
      <c r="A8" s="4" t="s">
        <v>51</v>
      </c>
      <c r="B8" s="4" t="s">
        <v>52</v>
      </c>
      <c r="C8" s="4" t="s">
        <v>53</v>
      </c>
      <c r="D8" s="5">
        <v>19336.0</v>
      </c>
      <c r="E8" s="6">
        <f t="shared" si="7"/>
        <v>922</v>
      </c>
      <c r="F8" s="7">
        <f t="shared" ref="F8:G8" si="50">ROUND(RAND(),2)</f>
        <v>0.57</v>
      </c>
      <c r="G8" s="7">
        <f t="shared" si="50"/>
        <v>0.41</v>
      </c>
      <c r="H8" s="7">
        <f t="shared" si="9"/>
        <v>5</v>
      </c>
      <c r="I8" s="7">
        <f t="shared" si="10"/>
        <v>82283</v>
      </c>
      <c r="J8" s="7">
        <f t="shared" si="11"/>
        <v>29473</v>
      </c>
      <c r="K8" s="7" t="str">
        <f t="shared" si="12"/>
        <v>A</v>
      </c>
      <c r="L8" s="7" t="str">
        <f t="shared" si="13"/>
        <v>Transformative change</v>
      </c>
      <c r="M8" s="7" t="str">
        <f t="shared" si="14"/>
        <v>Low</v>
      </c>
      <c r="N8" s="7">
        <f t="shared" si="15"/>
        <v>885982</v>
      </c>
      <c r="O8" s="7">
        <f t="shared" si="16"/>
        <v>459136.0986</v>
      </c>
      <c r="P8" s="7">
        <f t="shared" ref="P8:Q8" si="51">RANDBETWEEN(0,22)</f>
        <v>12</v>
      </c>
      <c r="Q8" s="7">
        <f t="shared" si="51"/>
        <v>13</v>
      </c>
      <c r="R8" s="7">
        <f t="shared" ref="R8:T8" si="52">IF(S8=1,1,RANDBETWEEN(0,1))</f>
        <v>1</v>
      </c>
      <c r="S8" s="7">
        <f t="shared" si="52"/>
        <v>1</v>
      </c>
      <c r="T8" s="7">
        <f t="shared" si="52"/>
        <v>0</v>
      </c>
      <c r="U8" s="7">
        <f t="shared" si="19"/>
        <v>0</v>
      </c>
      <c r="V8" s="7">
        <f t="shared" ref="V8:X8" si="53">IF(W8=1,1,RANDBETWEEN(0,1))</f>
        <v>1</v>
      </c>
      <c r="W8" s="7">
        <f t="shared" si="53"/>
        <v>1</v>
      </c>
      <c r="X8" s="7">
        <f t="shared" si="53"/>
        <v>0</v>
      </c>
      <c r="Y8" s="7">
        <f t="shared" si="21"/>
        <v>0</v>
      </c>
      <c r="Z8" s="7">
        <f t="shared" ref="Z8:AB8" si="54">IF(AA8=1,1,RANDBETWEEN(0,1))</f>
        <v>1</v>
      </c>
      <c r="AA8" s="7">
        <f t="shared" si="54"/>
        <v>1</v>
      </c>
      <c r="AB8" s="7">
        <f t="shared" si="54"/>
        <v>1</v>
      </c>
      <c r="AC8" s="7">
        <f t="shared" si="23"/>
        <v>1</v>
      </c>
      <c r="AD8" s="7">
        <f t="shared" ref="AD8:AF8" si="55">IF(AE8=1,1,RANDBETWEEN(0,1))</f>
        <v>0</v>
      </c>
      <c r="AE8" s="7">
        <f t="shared" si="55"/>
        <v>0</v>
      </c>
      <c r="AF8" s="7">
        <f t="shared" si="55"/>
        <v>0</v>
      </c>
      <c r="AG8" s="7">
        <f t="shared" si="25"/>
        <v>0</v>
      </c>
    </row>
    <row r="9">
      <c r="A9" s="4" t="s">
        <v>54</v>
      </c>
      <c r="B9" s="4" t="s">
        <v>55</v>
      </c>
      <c r="C9" s="4" t="s">
        <v>56</v>
      </c>
      <c r="D9" s="5">
        <v>234404.0</v>
      </c>
      <c r="E9" s="6">
        <f t="shared" si="7"/>
        <v>601.04</v>
      </c>
      <c r="F9" s="7">
        <f t="shared" ref="F9:G9" si="56">ROUND(RAND(),2)</f>
        <v>0.77</v>
      </c>
      <c r="G9" s="7">
        <f t="shared" si="56"/>
        <v>0.35</v>
      </c>
      <c r="H9" s="7">
        <f t="shared" si="9"/>
        <v>4</v>
      </c>
      <c r="I9" s="7">
        <f t="shared" si="10"/>
        <v>75508</v>
      </c>
      <c r="J9" s="7">
        <f t="shared" si="11"/>
        <v>18644</v>
      </c>
      <c r="K9" s="7" t="str">
        <f t="shared" si="12"/>
        <v>A</v>
      </c>
      <c r="L9" s="7" t="str">
        <f t="shared" si="13"/>
        <v>Transformative change</v>
      </c>
      <c r="M9" s="7" t="str">
        <f t="shared" si="14"/>
        <v>Medium</v>
      </c>
      <c r="N9" s="7">
        <f t="shared" si="15"/>
        <v>2788745</v>
      </c>
      <c r="O9" s="7">
        <f t="shared" si="16"/>
        <v>133391.9977</v>
      </c>
      <c r="P9" s="7">
        <f t="shared" ref="P9:Q9" si="57">RANDBETWEEN(0,22)</f>
        <v>18</v>
      </c>
      <c r="Q9" s="7">
        <f t="shared" si="57"/>
        <v>21</v>
      </c>
      <c r="R9" s="7">
        <f t="shared" ref="R9:T9" si="58">IF(S9=1,1,RANDBETWEEN(0,1))</f>
        <v>1</v>
      </c>
      <c r="S9" s="7">
        <f t="shared" si="58"/>
        <v>1</v>
      </c>
      <c r="T9" s="7">
        <f t="shared" si="58"/>
        <v>1</v>
      </c>
      <c r="U9" s="7">
        <f t="shared" si="19"/>
        <v>1</v>
      </c>
      <c r="V9" s="7">
        <f t="shared" ref="V9:X9" si="59">IF(W9=1,1,RANDBETWEEN(0,1))</f>
        <v>1</v>
      </c>
      <c r="W9" s="7">
        <f t="shared" si="59"/>
        <v>0</v>
      </c>
      <c r="X9" s="7">
        <f t="shared" si="59"/>
        <v>0</v>
      </c>
      <c r="Y9" s="7">
        <f t="shared" si="21"/>
        <v>0</v>
      </c>
      <c r="Z9" s="7">
        <f t="shared" ref="Z9:AB9" si="60">IF(AA9=1,1,RANDBETWEEN(0,1))</f>
        <v>1</v>
      </c>
      <c r="AA9" s="7">
        <f t="shared" si="60"/>
        <v>0</v>
      </c>
      <c r="AB9" s="7">
        <f t="shared" si="60"/>
        <v>0</v>
      </c>
      <c r="AC9" s="7">
        <f t="shared" si="23"/>
        <v>0</v>
      </c>
      <c r="AD9" s="7">
        <f t="shared" ref="AD9:AF9" si="61">IF(AE9=1,1,RANDBETWEEN(0,1))</f>
        <v>1</v>
      </c>
      <c r="AE9" s="7">
        <f t="shared" si="61"/>
        <v>1</v>
      </c>
      <c r="AF9" s="7">
        <f t="shared" si="61"/>
        <v>1</v>
      </c>
      <c r="AG9" s="7">
        <f t="shared" si="25"/>
        <v>0</v>
      </c>
    </row>
    <row r="10">
      <c r="A10" s="4" t="s">
        <v>57</v>
      </c>
      <c r="B10" s="4" t="s">
        <v>58</v>
      </c>
      <c r="C10" s="4" t="s">
        <v>59</v>
      </c>
      <c r="D10" s="5">
        <v>14081.0</v>
      </c>
      <c r="E10" s="6">
        <f t="shared" si="7"/>
        <v>814</v>
      </c>
      <c r="F10" s="7">
        <f t="shared" ref="F10:G10" si="62">ROUND(RAND(),2)</f>
        <v>0.96</v>
      </c>
      <c r="G10" s="7">
        <f t="shared" si="62"/>
        <v>0.41</v>
      </c>
      <c r="H10" s="7">
        <f t="shared" si="9"/>
        <v>1</v>
      </c>
      <c r="I10" s="7">
        <f t="shared" si="10"/>
        <v>29301</v>
      </c>
      <c r="J10" s="7">
        <f t="shared" si="11"/>
        <v>4819</v>
      </c>
      <c r="K10" s="7" t="str">
        <f t="shared" si="12"/>
        <v>B</v>
      </c>
      <c r="L10" s="7" t="str">
        <f t="shared" si="13"/>
        <v>Transformative change</v>
      </c>
      <c r="M10" s="7" t="str">
        <f t="shared" si="14"/>
        <v>Low</v>
      </c>
      <c r="N10" s="7">
        <f t="shared" si="15"/>
        <v>536801</v>
      </c>
      <c r="O10" s="7">
        <f t="shared" si="16"/>
        <v>102433.0986</v>
      </c>
      <c r="P10" s="7">
        <f t="shared" ref="P10:Q10" si="63">RANDBETWEEN(0,22)</f>
        <v>19</v>
      </c>
      <c r="Q10" s="7">
        <f t="shared" si="63"/>
        <v>14</v>
      </c>
      <c r="R10" s="7">
        <f t="shared" ref="R10:T10" si="64">IF(S10=1,1,RANDBETWEEN(0,1))</f>
        <v>1</v>
      </c>
      <c r="S10" s="7">
        <f t="shared" si="64"/>
        <v>1</v>
      </c>
      <c r="T10" s="7">
        <f t="shared" si="64"/>
        <v>1</v>
      </c>
      <c r="U10" s="7">
        <f t="shared" si="19"/>
        <v>1</v>
      </c>
      <c r="V10" s="7">
        <f t="shared" ref="V10:X10" si="65">IF(W10=1,1,RANDBETWEEN(0,1))</f>
        <v>1</v>
      </c>
      <c r="W10" s="7">
        <f t="shared" si="65"/>
        <v>1</v>
      </c>
      <c r="X10" s="7">
        <f t="shared" si="65"/>
        <v>1</v>
      </c>
      <c r="Y10" s="7">
        <f t="shared" si="21"/>
        <v>1</v>
      </c>
      <c r="Z10" s="7">
        <f t="shared" ref="Z10:AB10" si="66">IF(AA10=1,1,RANDBETWEEN(0,1))</f>
        <v>1</v>
      </c>
      <c r="AA10" s="7">
        <f t="shared" si="66"/>
        <v>1</v>
      </c>
      <c r="AB10" s="7">
        <f t="shared" si="66"/>
        <v>1</v>
      </c>
      <c r="AC10" s="7">
        <f t="shared" si="23"/>
        <v>1</v>
      </c>
      <c r="AD10" s="7">
        <f t="shared" ref="AD10:AF10" si="67">IF(AE10=1,1,RANDBETWEEN(0,1))</f>
        <v>0</v>
      </c>
      <c r="AE10" s="7">
        <f t="shared" si="67"/>
        <v>0</v>
      </c>
      <c r="AF10" s="7">
        <f t="shared" si="67"/>
        <v>0</v>
      </c>
      <c r="AG10" s="7">
        <f t="shared" si="25"/>
        <v>0</v>
      </c>
    </row>
    <row r="11">
      <c r="A11" s="4" t="s">
        <v>60</v>
      </c>
      <c r="B11" s="4" t="s">
        <v>61</v>
      </c>
      <c r="C11" s="4" t="s">
        <v>62</v>
      </c>
      <c r="D11" s="5">
        <v>14001.0</v>
      </c>
      <c r="E11" s="6">
        <f t="shared" si="7"/>
        <v>1047</v>
      </c>
      <c r="F11" s="7">
        <f t="shared" ref="F11:G11" si="68">ROUND(RAND(),2)</f>
        <v>0.23</v>
      </c>
      <c r="G11" s="7">
        <f t="shared" si="68"/>
        <v>0.67</v>
      </c>
      <c r="H11" s="7">
        <f t="shared" si="9"/>
        <v>4</v>
      </c>
      <c r="I11" s="7">
        <f t="shared" si="10"/>
        <v>61547</v>
      </c>
      <c r="J11" s="7">
        <f t="shared" si="11"/>
        <v>50054</v>
      </c>
      <c r="K11" s="7" t="str">
        <f t="shared" si="12"/>
        <v>E</v>
      </c>
      <c r="L11" s="7" t="str">
        <f t="shared" si="13"/>
        <v>High ambition</v>
      </c>
      <c r="M11" s="7" t="str">
        <f t="shared" si="14"/>
        <v>High</v>
      </c>
      <c r="N11" s="7">
        <f t="shared" si="15"/>
        <v>1518623</v>
      </c>
      <c r="O11" s="7">
        <f t="shared" si="16"/>
        <v>1380293.169</v>
      </c>
      <c r="P11" s="7">
        <f t="shared" ref="P11:Q11" si="69">RANDBETWEEN(0,22)</f>
        <v>10</v>
      </c>
      <c r="Q11" s="7">
        <f t="shared" si="69"/>
        <v>20</v>
      </c>
      <c r="R11" s="7">
        <f t="shared" ref="R11:T11" si="70">IF(S11=1,1,RANDBETWEEN(0,1))</f>
        <v>1</v>
      </c>
      <c r="S11" s="7">
        <f t="shared" si="70"/>
        <v>1</v>
      </c>
      <c r="T11" s="7">
        <f t="shared" si="70"/>
        <v>1</v>
      </c>
      <c r="U11" s="7">
        <f t="shared" si="19"/>
        <v>1</v>
      </c>
      <c r="V11" s="7">
        <f t="shared" ref="V11:X11" si="71">IF(W11=1,1,RANDBETWEEN(0,1))</f>
        <v>1</v>
      </c>
      <c r="W11" s="7">
        <f t="shared" si="71"/>
        <v>1</v>
      </c>
      <c r="X11" s="7">
        <f t="shared" si="71"/>
        <v>1</v>
      </c>
      <c r="Y11" s="7">
        <f t="shared" si="21"/>
        <v>0</v>
      </c>
      <c r="Z11" s="7">
        <f t="shared" ref="Z11:AB11" si="72">IF(AA11=1,1,RANDBETWEEN(0,1))</f>
        <v>1</v>
      </c>
      <c r="AA11" s="7">
        <f t="shared" si="72"/>
        <v>1</v>
      </c>
      <c r="AB11" s="7">
        <f t="shared" si="72"/>
        <v>1</v>
      </c>
      <c r="AC11" s="7">
        <f t="shared" si="23"/>
        <v>1</v>
      </c>
      <c r="AD11" s="7">
        <f t="shared" ref="AD11:AF11" si="73">IF(AE11=1,1,RANDBETWEEN(0,1))</f>
        <v>1</v>
      </c>
      <c r="AE11" s="7">
        <f t="shared" si="73"/>
        <v>1</v>
      </c>
      <c r="AF11" s="7">
        <f t="shared" si="73"/>
        <v>1</v>
      </c>
      <c r="AG11" s="7">
        <f t="shared" si="25"/>
        <v>1</v>
      </c>
    </row>
    <row r="12">
      <c r="A12" s="4" t="s">
        <v>63</v>
      </c>
      <c r="B12" s="4" t="s">
        <v>64</v>
      </c>
      <c r="C12" s="4" t="s">
        <v>65</v>
      </c>
      <c r="D12" s="5">
        <v>12157.0</v>
      </c>
      <c r="E12" s="6">
        <f t="shared" si="7"/>
        <v>1037</v>
      </c>
      <c r="F12" s="7">
        <f t="shared" ref="F12:G12" si="74">ROUND(RAND(),2)</f>
        <v>0.89</v>
      </c>
      <c r="G12" s="7">
        <f t="shared" si="74"/>
        <v>0.89</v>
      </c>
      <c r="H12" s="7">
        <f t="shared" si="9"/>
        <v>4</v>
      </c>
      <c r="I12" s="7">
        <f t="shared" si="10"/>
        <v>34356</v>
      </c>
      <c r="J12" s="7">
        <f t="shared" si="11"/>
        <v>6779</v>
      </c>
      <c r="K12" s="7" t="str">
        <f t="shared" si="12"/>
        <v>B</v>
      </c>
      <c r="L12" s="7" t="str">
        <f t="shared" si="13"/>
        <v>Transformative change</v>
      </c>
      <c r="M12" s="7" t="str">
        <f t="shared" si="14"/>
        <v>Medium</v>
      </c>
      <c r="N12" s="7">
        <f t="shared" si="15"/>
        <v>2794234</v>
      </c>
      <c r="O12" s="7">
        <f t="shared" si="16"/>
        <v>2491126.969</v>
      </c>
      <c r="P12" s="7">
        <f t="shared" ref="P12:Q12" si="75">RANDBETWEEN(0,22)</f>
        <v>17</v>
      </c>
      <c r="Q12" s="7">
        <f t="shared" si="75"/>
        <v>12</v>
      </c>
      <c r="R12" s="7">
        <f t="shared" ref="R12:T12" si="76">IF(S12=1,1,RANDBETWEEN(0,1))</f>
        <v>0</v>
      </c>
      <c r="S12" s="7">
        <f t="shared" si="76"/>
        <v>0</v>
      </c>
      <c r="T12" s="7">
        <f t="shared" si="76"/>
        <v>0</v>
      </c>
      <c r="U12" s="7">
        <f t="shared" si="19"/>
        <v>0</v>
      </c>
      <c r="V12" s="7">
        <f t="shared" ref="V12:X12" si="77">IF(W12=1,1,RANDBETWEEN(0,1))</f>
        <v>1</v>
      </c>
      <c r="W12" s="7">
        <f t="shared" si="77"/>
        <v>1</v>
      </c>
      <c r="X12" s="7">
        <f t="shared" si="77"/>
        <v>1</v>
      </c>
      <c r="Y12" s="7">
        <f t="shared" si="21"/>
        <v>1</v>
      </c>
      <c r="Z12" s="7">
        <f t="shared" ref="Z12:AB12" si="78">IF(AA12=1,1,RANDBETWEEN(0,1))</f>
        <v>1</v>
      </c>
      <c r="AA12" s="7">
        <f t="shared" si="78"/>
        <v>1</v>
      </c>
      <c r="AB12" s="7">
        <f t="shared" si="78"/>
        <v>1</v>
      </c>
      <c r="AC12" s="7">
        <f t="shared" si="23"/>
        <v>1</v>
      </c>
      <c r="AD12" s="7">
        <f t="shared" ref="AD12:AF12" si="79">IF(AE12=1,1,RANDBETWEEN(0,1))</f>
        <v>1</v>
      </c>
      <c r="AE12" s="7">
        <f t="shared" si="79"/>
        <v>0</v>
      </c>
      <c r="AF12" s="7">
        <f t="shared" si="79"/>
        <v>0</v>
      </c>
      <c r="AG12" s="7">
        <f t="shared" si="25"/>
        <v>0</v>
      </c>
    </row>
    <row r="13">
      <c r="A13" s="4" t="s">
        <v>66</v>
      </c>
      <c r="B13" s="4" t="s">
        <v>67</v>
      </c>
      <c r="C13" s="4" t="s">
        <v>68</v>
      </c>
      <c r="D13" s="5">
        <v>7259.0</v>
      </c>
      <c r="E13" s="6">
        <f t="shared" si="7"/>
        <v>826</v>
      </c>
      <c r="F13" s="7">
        <f t="shared" ref="F13:G13" si="80">ROUND(RAND(),2)</f>
        <v>0.65</v>
      </c>
      <c r="G13" s="7">
        <f t="shared" si="80"/>
        <v>0.5</v>
      </c>
      <c r="H13" s="7">
        <f t="shared" si="9"/>
        <v>1</v>
      </c>
      <c r="I13" s="7">
        <f t="shared" si="10"/>
        <v>44759</v>
      </c>
      <c r="J13" s="7">
        <f t="shared" si="11"/>
        <v>3177</v>
      </c>
      <c r="K13" s="7" t="str">
        <f t="shared" si="12"/>
        <v>C</v>
      </c>
      <c r="L13" s="7" t="str">
        <f t="shared" si="13"/>
        <v>High ambition</v>
      </c>
      <c r="M13" s="7" t="str">
        <f t="shared" si="14"/>
        <v>Medium</v>
      </c>
      <c r="N13" s="7">
        <f t="shared" si="15"/>
        <v>3907960</v>
      </c>
      <c r="O13" s="7">
        <f t="shared" si="16"/>
        <v>3347180.283</v>
      </c>
      <c r="P13" s="7">
        <f t="shared" ref="P13:Q13" si="81">RANDBETWEEN(0,22)</f>
        <v>2</v>
      </c>
      <c r="Q13" s="7">
        <f t="shared" si="81"/>
        <v>11</v>
      </c>
      <c r="R13" s="7">
        <f t="shared" ref="R13:T13" si="82">IF(S13=1,1,RANDBETWEEN(0,1))</f>
        <v>1</v>
      </c>
      <c r="S13" s="7">
        <f t="shared" si="82"/>
        <v>1</v>
      </c>
      <c r="T13" s="7">
        <f t="shared" si="82"/>
        <v>1</v>
      </c>
      <c r="U13" s="7">
        <f t="shared" si="19"/>
        <v>1</v>
      </c>
      <c r="V13" s="7">
        <f t="shared" ref="V13:X13" si="83">IF(W13=1,1,RANDBETWEEN(0,1))</f>
        <v>1</v>
      </c>
      <c r="W13" s="7">
        <f t="shared" si="83"/>
        <v>1</v>
      </c>
      <c r="X13" s="7">
        <f t="shared" si="83"/>
        <v>1</v>
      </c>
      <c r="Y13" s="7">
        <f t="shared" si="21"/>
        <v>0</v>
      </c>
      <c r="Z13" s="7">
        <f t="shared" ref="Z13:AB13" si="84">IF(AA13=1,1,RANDBETWEEN(0,1))</f>
        <v>1</v>
      </c>
      <c r="AA13" s="7">
        <f t="shared" si="84"/>
        <v>1</v>
      </c>
      <c r="AB13" s="7">
        <f t="shared" si="84"/>
        <v>1</v>
      </c>
      <c r="AC13" s="7">
        <f t="shared" si="23"/>
        <v>0</v>
      </c>
      <c r="AD13" s="7">
        <f t="shared" ref="AD13:AF13" si="85">IF(AE13=1,1,RANDBETWEEN(0,1))</f>
        <v>1</v>
      </c>
      <c r="AE13" s="7">
        <f t="shared" si="85"/>
        <v>1</v>
      </c>
      <c r="AF13" s="7">
        <f t="shared" si="85"/>
        <v>1</v>
      </c>
      <c r="AG13" s="7">
        <f t="shared" si="25"/>
        <v>1</v>
      </c>
    </row>
    <row r="14">
      <c r="A14" s="4" t="s">
        <v>69</v>
      </c>
      <c r="B14" s="4" t="s">
        <v>70</v>
      </c>
      <c r="C14" s="4" t="s">
        <v>71</v>
      </c>
      <c r="D14" s="5">
        <v>15765.0</v>
      </c>
      <c r="E14" s="6">
        <f t="shared" si="7"/>
        <v>1045</v>
      </c>
      <c r="F14" s="7">
        <f t="shared" ref="F14:G14" si="86">ROUND(RAND(),2)</f>
        <v>0.6</v>
      </c>
      <c r="G14" s="7">
        <f t="shared" si="86"/>
        <v>0.66</v>
      </c>
      <c r="H14" s="7">
        <f t="shared" si="9"/>
        <v>2</v>
      </c>
      <c r="I14" s="7">
        <f t="shared" si="10"/>
        <v>51177</v>
      </c>
      <c r="J14" s="7">
        <f t="shared" si="11"/>
        <v>35059</v>
      </c>
      <c r="K14" s="7" t="str">
        <f t="shared" si="12"/>
        <v>F</v>
      </c>
      <c r="L14" s="7" t="str">
        <f t="shared" si="13"/>
        <v>Transformative change</v>
      </c>
      <c r="M14" s="7" t="str">
        <f t="shared" si="14"/>
        <v>High</v>
      </c>
      <c r="N14" s="7">
        <f t="shared" si="15"/>
        <v>1846866</v>
      </c>
      <c r="O14" s="7">
        <f t="shared" si="16"/>
        <v>1649565.922</v>
      </c>
      <c r="P14" s="7">
        <f t="shared" ref="P14:Q14" si="87">RANDBETWEEN(0,22)</f>
        <v>7</v>
      </c>
      <c r="Q14" s="7">
        <f t="shared" si="87"/>
        <v>0</v>
      </c>
      <c r="R14" s="7">
        <f t="shared" ref="R14:T14" si="88">IF(S14=1,1,RANDBETWEEN(0,1))</f>
        <v>0</v>
      </c>
      <c r="S14" s="7">
        <f t="shared" si="88"/>
        <v>0</v>
      </c>
      <c r="T14" s="7">
        <f t="shared" si="88"/>
        <v>0</v>
      </c>
      <c r="U14" s="7">
        <f t="shared" si="19"/>
        <v>0</v>
      </c>
      <c r="V14" s="7">
        <f t="shared" ref="V14:X14" si="89">IF(W14=1,1,RANDBETWEEN(0,1))</f>
        <v>1</v>
      </c>
      <c r="W14" s="7">
        <f t="shared" si="89"/>
        <v>1</v>
      </c>
      <c r="X14" s="7">
        <f t="shared" si="89"/>
        <v>1</v>
      </c>
      <c r="Y14" s="7">
        <f t="shared" si="21"/>
        <v>1</v>
      </c>
      <c r="Z14" s="7">
        <f t="shared" ref="Z14:AB14" si="90">IF(AA14=1,1,RANDBETWEEN(0,1))</f>
        <v>1</v>
      </c>
      <c r="AA14" s="7">
        <f t="shared" si="90"/>
        <v>1</v>
      </c>
      <c r="AB14" s="7">
        <f t="shared" si="90"/>
        <v>0</v>
      </c>
      <c r="AC14" s="7">
        <f t="shared" si="23"/>
        <v>0</v>
      </c>
      <c r="AD14" s="7">
        <f t="shared" ref="AD14:AF14" si="91">IF(AE14=1,1,RANDBETWEEN(0,1))</f>
        <v>1</v>
      </c>
      <c r="AE14" s="7">
        <f t="shared" si="91"/>
        <v>1</v>
      </c>
      <c r="AF14" s="7">
        <f t="shared" si="91"/>
        <v>1</v>
      </c>
      <c r="AG14" s="7">
        <f t="shared" si="25"/>
        <v>0</v>
      </c>
    </row>
    <row r="15">
      <c r="A15" s="4" t="s">
        <v>72</v>
      </c>
      <c r="B15" s="4" t="s">
        <v>73</v>
      </c>
      <c r="C15" s="4" t="s">
        <v>74</v>
      </c>
      <c r="D15" s="5">
        <v>11233.0</v>
      </c>
      <c r="E15" s="6">
        <f t="shared" si="7"/>
        <v>948</v>
      </c>
      <c r="F15" s="7">
        <f t="shared" ref="F15:G15" si="92">ROUND(RAND(),2)</f>
        <v>0.08</v>
      </c>
      <c r="G15" s="7">
        <f t="shared" si="92"/>
        <v>0.02</v>
      </c>
      <c r="H15" s="7">
        <f t="shared" si="9"/>
        <v>5</v>
      </c>
      <c r="I15" s="7">
        <f t="shared" si="10"/>
        <v>53165</v>
      </c>
      <c r="J15" s="7">
        <f t="shared" si="11"/>
        <v>34483</v>
      </c>
      <c r="K15" s="7" t="str">
        <f t="shared" si="12"/>
        <v>B</v>
      </c>
      <c r="L15" s="7" t="str">
        <f t="shared" si="13"/>
        <v>Transformative change</v>
      </c>
      <c r="M15" s="7" t="str">
        <f t="shared" si="14"/>
        <v>High</v>
      </c>
      <c r="N15" s="7">
        <f t="shared" si="15"/>
        <v>1945718</v>
      </c>
      <c r="O15" s="7">
        <f t="shared" si="16"/>
        <v>938556.5454</v>
      </c>
      <c r="P15" s="7">
        <f t="shared" ref="P15:Q15" si="93">RANDBETWEEN(0,22)</f>
        <v>6</v>
      </c>
      <c r="Q15" s="7">
        <f t="shared" si="93"/>
        <v>11</v>
      </c>
      <c r="R15" s="7">
        <f t="shared" ref="R15:T15" si="94">IF(S15=1,1,RANDBETWEEN(0,1))</f>
        <v>1</v>
      </c>
      <c r="S15" s="7">
        <f t="shared" si="94"/>
        <v>1</v>
      </c>
      <c r="T15" s="7">
        <f t="shared" si="94"/>
        <v>1</v>
      </c>
      <c r="U15" s="7">
        <f t="shared" si="19"/>
        <v>1</v>
      </c>
      <c r="V15" s="7">
        <f t="shared" ref="V15:X15" si="95">IF(W15=1,1,RANDBETWEEN(0,1))</f>
        <v>1</v>
      </c>
      <c r="W15" s="7">
        <f t="shared" si="95"/>
        <v>1</v>
      </c>
      <c r="X15" s="7">
        <f t="shared" si="95"/>
        <v>1</v>
      </c>
      <c r="Y15" s="7">
        <f t="shared" si="21"/>
        <v>0</v>
      </c>
      <c r="Z15" s="7">
        <f t="shared" ref="Z15:AB15" si="96">IF(AA15=1,1,RANDBETWEEN(0,1))</f>
        <v>1</v>
      </c>
      <c r="AA15" s="7">
        <f t="shared" si="96"/>
        <v>1</v>
      </c>
      <c r="AB15" s="7">
        <f t="shared" si="96"/>
        <v>1</v>
      </c>
      <c r="AC15" s="7">
        <f t="shared" si="23"/>
        <v>0</v>
      </c>
      <c r="AD15" s="7">
        <f t="shared" ref="AD15:AF15" si="97">IF(AE15=1,1,RANDBETWEEN(0,1))</f>
        <v>1</v>
      </c>
      <c r="AE15" s="7">
        <f t="shared" si="97"/>
        <v>1</v>
      </c>
      <c r="AF15" s="7">
        <f t="shared" si="97"/>
        <v>1</v>
      </c>
      <c r="AG15" s="7">
        <f t="shared" si="25"/>
        <v>1</v>
      </c>
    </row>
    <row r="16">
      <c r="A16" s="4" t="s">
        <v>75</v>
      </c>
      <c r="B16" s="4" t="s">
        <v>76</v>
      </c>
      <c r="C16" s="4" t="s">
        <v>77</v>
      </c>
      <c r="D16" s="5">
        <v>5414.0</v>
      </c>
      <c r="E16" s="6">
        <f t="shared" si="7"/>
        <v>984</v>
      </c>
      <c r="F16" s="7">
        <f t="shared" ref="F16:G16" si="98">ROUND(RAND(),2)</f>
        <v>0.88</v>
      </c>
      <c r="G16" s="7">
        <f t="shared" si="98"/>
        <v>0.79</v>
      </c>
      <c r="H16" s="7">
        <f t="shared" si="9"/>
        <v>2</v>
      </c>
      <c r="I16" s="7">
        <f t="shared" si="10"/>
        <v>70482</v>
      </c>
      <c r="J16" s="7">
        <f t="shared" si="11"/>
        <v>57130</v>
      </c>
      <c r="K16" s="7" t="str">
        <f t="shared" si="12"/>
        <v>E</v>
      </c>
      <c r="L16" s="7" t="str">
        <f t="shared" si="13"/>
        <v>Transformative change</v>
      </c>
      <c r="M16" s="7" t="str">
        <f t="shared" si="14"/>
        <v>Low</v>
      </c>
      <c r="N16" s="7">
        <f t="shared" si="15"/>
        <v>2555319</v>
      </c>
      <c r="O16" s="7">
        <f t="shared" si="16"/>
        <v>2385419.262</v>
      </c>
      <c r="P16" s="7">
        <f t="shared" ref="P16:Q16" si="99">RANDBETWEEN(0,22)</f>
        <v>18</v>
      </c>
      <c r="Q16" s="7">
        <f t="shared" si="99"/>
        <v>4</v>
      </c>
      <c r="R16" s="7">
        <f t="shared" ref="R16:T16" si="100">IF(S16=1,1,RANDBETWEEN(0,1))</f>
        <v>1</v>
      </c>
      <c r="S16" s="7">
        <f t="shared" si="100"/>
        <v>1</v>
      </c>
      <c r="T16" s="7">
        <f t="shared" si="100"/>
        <v>0</v>
      </c>
      <c r="U16" s="7">
        <f t="shared" si="19"/>
        <v>0</v>
      </c>
      <c r="V16" s="7">
        <f t="shared" ref="V16:X16" si="101">IF(W16=1,1,RANDBETWEEN(0,1))</f>
        <v>1</v>
      </c>
      <c r="W16" s="7">
        <f t="shared" si="101"/>
        <v>1</v>
      </c>
      <c r="X16" s="7">
        <f t="shared" si="101"/>
        <v>1</v>
      </c>
      <c r="Y16" s="7">
        <f t="shared" si="21"/>
        <v>0</v>
      </c>
      <c r="Z16" s="7">
        <f t="shared" ref="Z16:AB16" si="102">IF(AA16=1,1,RANDBETWEEN(0,1))</f>
        <v>1</v>
      </c>
      <c r="AA16" s="7">
        <f t="shared" si="102"/>
        <v>1</v>
      </c>
      <c r="AB16" s="7">
        <f t="shared" si="102"/>
        <v>0</v>
      </c>
      <c r="AC16" s="7">
        <f t="shared" si="23"/>
        <v>0</v>
      </c>
      <c r="AD16" s="7">
        <f t="shared" ref="AD16:AF16" si="103">IF(AE16=1,1,RANDBETWEEN(0,1))</f>
        <v>1</v>
      </c>
      <c r="AE16" s="7">
        <f t="shared" si="103"/>
        <v>1</v>
      </c>
      <c r="AF16" s="7">
        <f t="shared" si="103"/>
        <v>1</v>
      </c>
      <c r="AG16" s="7">
        <f t="shared" si="25"/>
        <v>1</v>
      </c>
    </row>
    <row r="17">
      <c r="A17" s="4" t="s">
        <v>78</v>
      </c>
      <c r="B17" s="4" t="s">
        <v>79</v>
      </c>
      <c r="C17" s="4" t="s">
        <v>80</v>
      </c>
      <c r="D17" s="5">
        <v>10706.0</v>
      </c>
      <c r="E17" s="6">
        <f t="shared" si="7"/>
        <v>975</v>
      </c>
      <c r="F17" s="7">
        <f t="shared" ref="F17:G17" si="104">ROUND(RAND(),2)</f>
        <v>0.99</v>
      </c>
      <c r="G17" s="7">
        <f t="shared" si="104"/>
        <v>0.38</v>
      </c>
      <c r="H17" s="7">
        <f t="shared" si="9"/>
        <v>2</v>
      </c>
      <c r="I17" s="7">
        <f t="shared" si="10"/>
        <v>48771</v>
      </c>
      <c r="J17" s="7">
        <f t="shared" si="11"/>
        <v>12522</v>
      </c>
      <c r="K17" s="7" t="str">
        <f t="shared" si="12"/>
        <v>F</v>
      </c>
      <c r="L17" s="7" t="str">
        <f t="shared" si="13"/>
        <v>Transformative change</v>
      </c>
      <c r="M17" s="7" t="str">
        <f t="shared" si="14"/>
        <v>Low</v>
      </c>
      <c r="N17" s="7">
        <f t="shared" si="15"/>
        <v>802415</v>
      </c>
      <c r="O17" s="7">
        <f t="shared" si="16"/>
        <v>68745.95053</v>
      </c>
      <c r="P17" s="7">
        <f t="shared" ref="P17:Q17" si="105">RANDBETWEEN(0,22)</f>
        <v>21</v>
      </c>
      <c r="Q17" s="7">
        <f t="shared" si="105"/>
        <v>13</v>
      </c>
      <c r="R17" s="7">
        <f t="shared" ref="R17:T17" si="106">IF(S17=1,1,RANDBETWEEN(0,1))</f>
        <v>1</v>
      </c>
      <c r="S17" s="7">
        <f t="shared" si="106"/>
        <v>1</v>
      </c>
      <c r="T17" s="7">
        <f t="shared" si="106"/>
        <v>1</v>
      </c>
      <c r="U17" s="7">
        <f t="shared" si="19"/>
        <v>0</v>
      </c>
      <c r="V17" s="7">
        <f t="shared" ref="V17:X17" si="107">IF(W17=1,1,RANDBETWEEN(0,1))</f>
        <v>1</v>
      </c>
      <c r="W17" s="7">
        <f t="shared" si="107"/>
        <v>1</v>
      </c>
      <c r="X17" s="7">
        <f t="shared" si="107"/>
        <v>1</v>
      </c>
      <c r="Y17" s="7">
        <f t="shared" si="21"/>
        <v>1</v>
      </c>
      <c r="Z17" s="7">
        <f t="shared" ref="Z17:AB17" si="108">IF(AA17=1,1,RANDBETWEEN(0,1))</f>
        <v>0</v>
      </c>
      <c r="AA17" s="7">
        <f t="shared" si="108"/>
        <v>0</v>
      </c>
      <c r="AB17" s="7">
        <f t="shared" si="108"/>
        <v>0</v>
      </c>
      <c r="AC17" s="7">
        <f t="shared" si="23"/>
        <v>0</v>
      </c>
      <c r="AD17" s="7">
        <f t="shared" ref="AD17:AF17" si="109">IF(AE17=1,1,RANDBETWEEN(0,1))</f>
        <v>1</v>
      </c>
      <c r="AE17" s="7">
        <f t="shared" si="109"/>
        <v>1</v>
      </c>
      <c r="AF17" s="7">
        <f t="shared" si="109"/>
        <v>1</v>
      </c>
      <c r="AG17" s="7">
        <f t="shared" si="25"/>
        <v>1</v>
      </c>
    </row>
    <row r="18">
      <c r="A18" s="4" t="s">
        <v>81</v>
      </c>
      <c r="B18" s="4" t="s">
        <v>82</v>
      </c>
      <c r="C18" s="4" t="s">
        <v>83</v>
      </c>
      <c r="D18" s="5">
        <v>8842.0</v>
      </c>
      <c r="E18" s="6">
        <f t="shared" si="7"/>
        <v>984</v>
      </c>
      <c r="F18" s="7">
        <f t="shared" ref="F18:G18" si="110">ROUND(RAND(),2)</f>
        <v>0.16</v>
      </c>
      <c r="G18" s="7">
        <f t="shared" si="110"/>
        <v>0.71</v>
      </c>
      <c r="H18" s="7">
        <f t="shared" si="9"/>
        <v>3</v>
      </c>
      <c r="I18" s="7">
        <f t="shared" si="10"/>
        <v>56303</v>
      </c>
      <c r="J18" s="7">
        <f t="shared" si="11"/>
        <v>22807</v>
      </c>
      <c r="K18" s="7" t="str">
        <f t="shared" si="12"/>
        <v>G</v>
      </c>
      <c r="L18" s="7" t="str">
        <f t="shared" si="13"/>
        <v>Transformative change</v>
      </c>
      <c r="M18" s="7" t="str">
        <f t="shared" si="14"/>
        <v>Low</v>
      </c>
      <c r="N18" s="7">
        <f t="shared" si="15"/>
        <v>2327411</v>
      </c>
      <c r="O18" s="7">
        <f t="shared" si="16"/>
        <v>137935.2212</v>
      </c>
      <c r="P18" s="7">
        <f t="shared" ref="P18:Q18" si="111">RANDBETWEEN(0,22)</f>
        <v>11</v>
      </c>
      <c r="Q18" s="7">
        <f t="shared" si="111"/>
        <v>12</v>
      </c>
      <c r="R18" s="7">
        <f t="shared" ref="R18:T18" si="112">IF(S18=1,1,RANDBETWEEN(0,1))</f>
        <v>1</v>
      </c>
      <c r="S18" s="7">
        <f t="shared" si="112"/>
        <v>1</v>
      </c>
      <c r="T18" s="7">
        <f t="shared" si="112"/>
        <v>1</v>
      </c>
      <c r="U18" s="7">
        <f t="shared" si="19"/>
        <v>0</v>
      </c>
      <c r="V18" s="7">
        <f t="shared" ref="V18:X18" si="113">IF(W18=1,1,RANDBETWEEN(0,1))</f>
        <v>1</v>
      </c>
      <c r="W18" s="7">
        <f t="shared" si="113"/>
        <v>0</v>
      </c>
      <c r="X18" s="7">
        <f t="shared" si="113"/>
        <v>0</v>
      </c>
      <c r="Y18" s="7">
        <f t="shared" si="21"/>
        <v>0</v>
      </c>
      <c r="Z18" s="7">
        <f t="shared" ref="Z18:AB18" si="114">IF(AA18=1,1,RANDBETWEEN(0,1))</f>
        <v>1</v>
      </c>
      <c r="AA18" s="7">
        <f t="shared" si="114"/>
        <v>1</v>
      </c>
      <c r="AB18" s="7">
        <f t="shared" si="114"/>
        <v>1</v>
      </c>
      <c r="AC18" s="7">
        <f t="shared" si="23"/>
        <v>1</v>
      </c>
      <c r="AD18" s="7">
        <f t="shared" ref="AD18:AF18" si="115">IF(AE18=1,1,RANDBETWEEN(0,1))</f>
        <v>1</v>
      </c>
      <c r="AE18" s="7">
        <f t="shared" si="115"/>
        <v>1</v>
      </c>
      <c r="AF18" s="7">
        <f t="shared" si="115"/>
        <v>1</v>
      </c>
      <c r="AG18" s="7">
        <f t="shared" si="25"/>
        <v>0</v>
      </c>
    </row>
    <row r="19">
      <c r="A19" s="4" t="s">
        <v>84</v>
      </c>
      <c r="B19" s="4" t="s">
        <v>85</v>
      </c>
      <c r="C19" s="4" t="s">
        <v>86</v>
      </c>
      <c r="D19" s="5">
        <v>184035.0</v>
      </c>
      <c r="E19" s="6">
        <f t="shared" si="7"/>
        <v>989</v>
      </c>
      <c r="F19" s="7">
        <f t="shared" ref="F19:G19" si="116">ROUND(RAND(),2)</f>
        <v>0.77</v>
      </c>
      <c r="G19" s="7">
        <f t="shared" si="116"/>
        <v>0.99</v>
      </c>
      <c r="H19" s="7">
        <f t="shared" si="9"/>
        <v>2</v>
      </c>
      <c r="I19" s="7">
        <f t="shared" si="10"/>
        <v>7217</v>
      </c>
      <c r="J19" s="7">
        <f t="shared" si="11"/>
        <v>44149</v>
      </c>
      <c r="K19" s="7" t="str">
        <f t="shared" si="12"/>
        <v>B</v>
      </c>
      <c r="L19" s="7" t="str">
        <f t="shared" si="13"/>
        <v>Transformative change</v>
      </c>
      <c r="M19" s="7" t="str">
        <f t="shared" si="14"/>
        <v>High</v>
      </c>
      <c r="N19" s="7">
        <f t="shared" si="15"/>
        <v>1049711</v>
      </c>
      <c r="O19" s="7">
        <f t="shared" si="16"/>
        <v>938606.7742</v>
      </c>
      <c r="P19" s="7">
        <f t="shared" ref="P19:Q19" si="117">RANDBETWEEN(0,22)</f>
        <v>1</v>
      </c>
      <c r="Q19" s="7">
        <f t="shared" si="117"/>
        <v>20</v>
      </c>
      <c r="R19" s="7">
        <f t="shared" ref="R19:T19" si="118">IF(S19=1,1,RANDBETWEEN(0,1))</f>
        <v>1</v>
      </c>
      <c r="S19" s="7">
        <f t="shared" si="118"/>
        <v>1</v>
      </c>
      <c r="T19" s="7">
        <f t="shared" si="118"/>
        <v>1</v>
      </c>
      <c r="U19" s="7">
        <f t="shared" si="19"/>
        <v>1</v>
      </c>
      <c r="V19" s="7">
        <f t="shared" ref="V19:X19" si="119">IF(W19=1,1,RANDBETWEEN(0,1))</f>
        <v>1</v>
      </c>
      <c r="W19" s="7">
        <f t="shared" si="119"/>
        <v>1</v>
      </c>
      <c r="X19" s="7">
        <f t="shared" si="119"/>
        <v>1</v>
      </c>
      <c r="Y19" s="7">
        <f t="shared" si="21"/>
        <v>1</v>
      </c>
      <c r="Z19" s="7">
        <f t="shared" ref="Z19:AB19" si="120">IF(AA19=1,1,RANDBETWEEN(0,1))</f>
        <v>1</v>
      </c>
      <c r="AA19" s="7">
        <f t="shared" si="120"/>
        <v>1</v>
      </c>
      <c r="AB19" s="7">
        <f t="shared" si="120"/>
        <v>1</v>
      </c>
      <c r="AC19" s="7">
        <f t="shared" si="23"/>
        <v>1</v>
      </c>
      <c r="AD19" s="7">
        <f t="shared" ref="AD19:AF19" si="121">IF(AE19=1,1,RANDBETWEEN(0,1))</f>
        <v>0</v>
      </c>
      <c r="AE19" s="7">
        <f t="shared" si="121"/>
        <v>0</v>
      </c>
      <c r="AF19" s="7">
        <f t="shared" si="121"/>
        <v>0</v>
      </c>
      <c r="AG19" s="7">
        <f t="shared" si="25"/>
        <v>0</v>
      </c>
    </row>
    <row r="20">
      <c r="A20" s="4" t="s">
        <v>87</v>
      </c>
      <c r="B20" s="4" t="s">
        <v>88</v>
      </c>
      <c r="C20" s="4" t="s">
        <v>89</v>
      </c>
      <c r="D20" s="5">
        <v>23265.0</v>
      </c>
      <c r="E20" s="6">
        <f t="shared" si="7"/>
        <v>1081</v>
      </c>
      <c r="F20" s="7">
        <f t="shared" ref="F20:G20" si="122">ROUND(RAND(),2)</f>
        <v>0.23</v>
      </c>
      <c r="G20" s="7">
        <f t="shared" si="122"/>
        <v>0.98</v>
      </c>
      <c r="H20" s="7">
        <f t="shared" si="9"/>
        <v>3</v>
      </c>
      <c r="I20" s="7">
        <f t="shared" si="10"/>
        <v>37732</v>
      </c>
      <c r="J20" s="7">
        <f t="shared" si="11"/>
        <v>16507</v>
      </c>
      <c r="K20" s="7" t="str">
        <f t="shared" si="12"/>
        <v>E</v>
      </c>
      <c r="L20" s="7" t="str">
        <f t="shared" si="13"/>
        <v>Transformative change</v>
      </c>
      <c r="M20" s="7" t="str">
        <f t="shared" si="14"/>
        <v>High</v>
      </c>
      <c r="N20" s="7">
        <f t="shared" si="15"/>
        <v>1099108</v>
      </c>
      <c r="O20" s="7">
        <f t="shared" si="16"/>
        <v>441342.8565</v>
      </c>
      <c r="P20" s="7">
        <f t="shared" ref="P20:Q20" si="123">RANDBETWEEN(0,22)</f>
        <v>20</v>
      </c>
      <c r="Q20" s="7">
        <f t="shared" si="123"/>
        <v>6</v>
      </c>
      <c r="R20" s="7">
        <f t="shared" ref="R20:T20" si="124">IF(S20=1,1,RANDBETWEEN(0,1))</f>
        <v>0</v>
      </c>
      <c r="S20" s="7">
        <f t="shared" si="124"/>
        <v>0</v>
      </c>
      <c r="T20" s="7">
        <f t="shared" si="124"/>
        <v>0</v>
      </c>
      <c r="U20" s="7">
        <f t="shared" si="19"/>
        <v>0</v>
      </c>
      <c r="V20" s="7">
        <f t="shared" ref="V20:X20" si="125">IF(W20=1,1,RANDBETWEEN(0,1))</f>
        <v>1</v>
      </c>
      <c r="W20" s="7">
        <f t="shared" si="125"/>
        <v>1</v>
      </c>
      <c r="X20" s="7">
        <f t="shared" si="125"/>
        <v>1</v>
      </c>
      <c r="Y20" s="7">
        <f t="shared" si="21"/>
        <v>1</v>
      </c>
      <c r="Z20" s="7">
        <f t="shared" ref="Z20:AB20" si="126">IF(AA20=1,1,RANDBETWEEN(0,1))</f>
        <v>1</v>
      </c>
      <c r="AA20" s="7">
        <f t="shared" si="126"/>
        <v>1</v>
      </c>
      <c r="AB20" s="7">
        <f t="shared" si="126"/>
        <v>1</v>
      </c>
      <c r="AC20" s="7">
        <f t="shared" si="23"/>
        <v>1</v>
      </c>
      <c r="AD20" s="7">
        <f t="shared" ref="AD20:AF20" si="127">IF(AE20=1,1,RANDBETWEEN(0,1))</f>
        <v>1</v>
      </c>
      <c r="AE20" s="7">
        <f t="shared" si="127"/>
        <v>1</v>
      </c>
      <c r="AF20" s="7">
        <f t="shared" si="127"/>
        <v>1</v>
      </c>
      <c r="AG20" s="7">
        <f t="shared" si="25"/>
        <v>1</v>
      </c>
    </row>
    <row r="21">
      <c r="A21" s="4" t="s">
        <v>90</v>
      </c>
      <c r="B21" s="4" t="s">
        <v>91</v>
      </c>
      <c r="C21" s="4" t="s">
        <v>92</v>
      </c>
      <c r="D21" s="5">
        <v>346162.0</v>
      </c>
      <c r="E21" s="6">
        <f t="shared" si="7"/>
        <v>6073.02</v>
      </c>
      <c r="F21" s="7">
        <f t="shared" ref="F21:G21" si="128">ROUND(RAND(),2)</f>
        <v>0.71</v>
      </c>
      <c r="G21" s="7">
        <f t="shared" si="128"/>
        <v>0.61</v>
      </c>
      <c r="H21" s="7">
        <f t="shared" si="9"/>
        <v>2</v>
      </c>
      <c r="I21" s="7">
        <f t="shared" si="10"/>
        <v>79977</v>
      </c>
      <c r="J21" s="7">
        <f t="shared" si="11"/>
        <v>52743</v>
      </c>
      <c r="K21" s="7" t="str">
        <f t="shared" si="12"/>
        <v>B</v>
      </c>
      <c r="L21" s="7" t="str">
        <f t="shared" si="13"/>
        <v>Transformative change</v>
      </c>
      <c r="M21" s="7" t="str">
        <f t="shared" si="14"/>
        <v>Medium</v>
      </c>
      <c r="N21" s="7">
        <f t="shared" si="15"/>
        <v>858656</v>
      </c>
      <c r="O21" s="7">
        <f t="shared" si="16"/>
        <v>617880.7366</v>
      </c>
      <c r="P21" s="7">
        <f t="shared" ref="P21:Q21" si="129">RANDBETWEEN(0,22)</f>
        <v>7</v>
      </c>
      <c r="Q21" s="7">
        <f t="shared" si="129"/>
        <v>7</v>
      </c>
      <c r="R21" s="7">
        <f t="shared" ref="R21:T21" si="130">IF(S21=1,1,RANDBETWEEN(0,1))</f>
        <v>1</v>
      </c>
      <c r="S21" s="7">
        <f t="shared" si="130"/>
        <v>1</v>
      </c>
      <c r="T21" s="7">
        <f t="shared" si="130"/>
        <v>1</v>
      </c>
      <c r="U21" s="7">
        <f t="shared" si="19"/>
        <v>0</v>
      </c>
      <c r="V21" s="7">
        <f t="shared" ref="V21:X21" si="131">IF(W21=1,1,RANDBETWEEN(0,1))</f>
        <v>1</v>
      </c>
      <c r="W21" s="7">
        <f t="shared" si="131"/>
        <v>1</v>
      </c>
      <c r="X21" s="7">
        <f t="shared" si="131"/>
        <v>1</v>
      </c>
      <c r="Y21" s="7">
        <f t="shared" si="21"/>
        <v>1</v>
      </c>
      <c r="Z21" s="7">
        <f t="shared" ref="Z21:AB21" si="132">IF(AA21=1,1,RANDBETWEEN(0,1))</f>
        <v>1</v>
      </c>
      <c r="AA21" s="7">
        <f t="shared" si="132"/>
        <v>0</v>
      </c>
      <c r="AB21" s="7">
        <f t="shared" si="132"/>
        <v>0</v>
      </c>
      <c r="AC21" s="7">
        <f t="shared" si="23"/>
        <v>0</v>
      </c>
      <c r="AD21" s="7">
        <f t="shared" ref="AD21:AF21" si="133">IF(AE21=1,1,RANDBETWEEN(0,1))</f>
        <v>1</v>
      </c>
      <c r="AE21" s="7">
        <f t="shared" si="133"/>
        <v>1</v>
      </c>
      <c r="AF21" s="7">
        <f t="shared" si="133"/>
        <v>1</v>
      </c>
      <c r="AG21" s="7">
        <f t="shared" si="25"/>
        <v>0</v>
      </c>
    </row>
    <row r="22">
      <c r="A22" s="4" t="s">
        <v>93</v>
      </c>
      <c r="B22" s="4" t="s">
        <v>94</v>
      </c>
      <c r="C22" s="4" t="s">
        <v>95</v>
      </c>
      <c r="D22" s="5">
        <v>8699.0</v>
      </c>
      <c r="E22" s="6">
        <f t="shared" si="7"/>
        <v>832</v>
      </c>
      <c r="F22" s="7">
        <f t="shared" ref="F22:G22" si="134">ROUND(RAND(),2)</f>
        <v>0.16</v>
      </c>
      <c r="G22" s="7">
        <f t="shared" si="134"/>
        <v>0.46</v>
      </c>
      <c r="H22" s="7">
        <f t="shared" si="9"/>
        <v>2</v>
      </c>
      <c r="I22" s="7">
        <f t="shared" si="10"/>
        <v>30157</v>
      </c>
      <c r="J22" s="7">
        <f t="shared" si="11"/>
        <v>54291</v>
      </c>
      <c r="K22" s="7" t="str">
        <f t="shared" si="12"/>
        <v>E</v>
      </c>
      <c r="L22" s="7" t="str">
        <f t="shared" si="13"/>
        <v>Transformative change</v>
      </c>
      <c r="M22" s="7" t="str">
        <f t="shared" si="14"/>
        <v>High</v>
      </c>
      <c r="N22" s="7">
        <f t="shared" si="15"/>
        <v>3412314</v>
      </c>
      <c r="O22" s="7">
        <f t="shared" si="16"/>
        <v>2085186.056</v>
      </c>
      <c r="P22" s="7">
        <f t="shared" ref="P22:Q22" si="135">RANDBETWEEN(0,22)</f>
        <v>5</v>
      </c>
      <c r="Q22" s="7">
        <f t="shared" si="135"/>
        <v>22</v>
      </c>
      <c r="R22" s="7">
        <f t="shared" ref="R22:T22" si="136">IF(S22=1,1,RANDBETWEEN(0,1))</f>
        <v>1</v>
      </c>
      <c r="S22" s="7">
        <f t="shared" si="136"/>
        <v>1</v>
      </c>
      <c r="T22" s="7">
        <f t="shared" si="136"/>
        <v>1</v>
      </c>
      <c r="U22" s="7">
        <f t="shared" si="19"/>
        <v>0</v>
      </c>
      <c r="V22" s="7">
        <f t="shared" ref="V22:X22" si="137">IF(W22=1,1,RANDBETWEEN(0,1))</f>
        <v>1</v>
      </c>
      <c r="W22" s="7">
        <f t="shared" si="137"/>
        <v>1</v>
      </c>
      <c r="X22" s="7">
        <f t="shared" si="137"/>
        <v>1</v>
      </c>
      <c r="Y22" s="7">
        <f t="shared" si="21"/>
        <v>0</v>
      </c>
      <c r="Z22" s="7">
        <f t="shared" ref="Z22:AB22" si="138">IF(AA22=1,1,RANDBETWEEN(0,1))</f>
        <v>1</v>
      </c>
      <c r="AA22" s="7">
        <f t="shared" si="138"/>
        <v>1</v>
      </c>
      <c r="AB22" s="7">
        <f t="shared" si="138"/>
        <v>1</v>
      </c>
      <c r="AC22" s="7">
        <f t="shared" si="23"/>
        <v>1</v>
      </c>
      <c r="AD22" s="7">
        <f t="shared" ref="AD22:AF22" si="139">IF(AE22=1,1,RANDBETWEEN(0,1))</f>
        <v>1</v>
      </c>
      <c r="AE22" s="7">
        <f t="shared" si="139"/>
        <v>1</v>
      </c>
      <c r="AF22" s="7">
        <f t="shared" si="139"/>
        <v>1</v>
      </c>
      <c r="AG22" s="7">
        <f t="shared" si="25"/>
        <v>0</v>
      </c>
    </row>
    <row r="23">
      <c r="A23" s="4" t="s">
        <v>96</v>
      </c>
      <c r="B23" s="4" t="s">
        <v>97</v>
      </c>
      <c r="C23" s="4" t="s">
        <v>98</v>
      </c>
      <c r="D23" s="5">
        <v>18346.0</v>
      </c>
      <c r="E23" s="6">
        <f t="shared" si="7"/>
        <v>1049</v>
      </c>
      <c r="F23" s="7">
        <f t="shared" ref="F23:G23" si="140">ROUND(RAND(),2)</f>
        <v>0.27</v>
      </c>
      <c r="G23" s="7">
        <f t="shared" si="140"/>
        <v>0.26</v>
      </c>
      <c r="H23" s="7">
        <f t="shared" si="9"/>
        <v>3</v>
      </c>
      <c r="I23" s="7">
        <f t="shared" si="10"/>
        <v>49410</v>
      </c>
      <c r="J23" s="7">
        <f t="shared" si="11"/>
        <v>49340</v>
      </c>
      <c r="K23" s="7" t="str">
        <f t="shared" si="12"/>
        <v>F</v>
      </c>
      <c r="L23" s="7" t="str">
        <f t="shared" si="13"/>
        <v>Transformative change</v>
      </c>
      <c r="M23" s="7" t="str">
        <f t="shared" si="14"/>
        <v>Low</v>
      </c>
      <c r="N23" s="7">
        <f t="shared" si="15"/>
        <v>866606</v>
      </c>
      <c r="O23" s="7">
        <f t="shared" si="16"/>
        <v>23286.93827</v>
      </c>
      <c r="P23" s="7">
        <f t="shared" ref="P23:Q23" si="141">RANDBETWEEN(0,22)</f>
        <v>3</v>
      </c>
      <c r="Q23" s="7">
        <f t="shared" si="141"/>
        <v>4</v>
      </c>
      <c r="R23" s="7">
        <f t="shared" ref="R23:T23" si="142">IF(S23=1,1,RANDBETWEEN(0,1))</f>
        <v>1</v>
      </c>
      <c r="S23" s="7">
        <f t="shared" si="142"/>
        <v>1</v>
      </c>
      <c r="T23" s="7">
        <f t="shared" si="142"/>
        <v>1</v>
      </c>
      <c r="U23" s="7">
        <f t="shared" si="19"/>
        <v>1</v>
      </c>
      <c r="V23" s="7">
        <f t="shared" ref="V23:X23" si="143">IF(W23=1,1,RANDBETWEEN(0,1))</f>
        <v>0</v>
      </c>
      <c r="W23" s="7">
        <f t="shared" si="143"/>
        <v>0</v>
      </c>
      <c r="X23" s="7">
        <f t="shared" si="143"/>
        <v>0</v>
      </c>
      <c r="Y23" s="7">
        <f t="shared" si="21"/>
        <v>0</v>
      </c>
      <c r="Z23" s="7">
        <f t="shared" ref="Z23:AB23" si="144">IF(AA23=1,1,RANDBETWEEN(0,1))</f>
        <v>1</v>
      </c>
      <c r="AA23" s="7">
        <f t="shared" si="144"/>
        <v>1</v>
      </c>
      <c r="AB23" s="7">
        <f t="shared" si="144"/>
        <v>1</v>
      </c>
      <c r="AC23" s="7">
        <f t="shared" si="23"/>
        <v>1</v>
      </c>
      <c r="AD23" s="7">
        <f t="shared" ref="AD23:AF23" si="145">IF(AE23=1,1,RANDBETWEEN(0,1))</f>
        <v>1</v>
      </c>
      <c r="AE23" s="7">
        <f t="shared" si="145"/>
        <v>1</v>
      </c>
      <c r="AF23" s="7">
        <f t="shared" si="145"/>
        <v>1</v>
      </c>
      <c r="AG23" s="7">
        <f t="shared" si="25"/>
        <v>1</v>
      </c>
    </row>
    <row r="24">
      <c r="A24" s="4" t="s">
        <v>99</v>
      </c>
      <c r="B24" s="4" t="s">
        <v>100</v>
      </c>
      <c r="C24" s="4" t="s">
        <v>95</v>
      </c>
      <c r="D24" s="5">
        <v>17503.0</v>
      </c>
      <c r="E24" s="6">
        <f t="shared" si="7"/>
        <v>1048</v>
      </c>
      <c r="F24" s="7">
        <f t="shared" ref="F24:G24" si="146">ROUND(RAND(),2)</f>
        <v>0.7</v>
      </c>
      <c r="G24" s="7">
        <f t="shared" si="146"/>
        <v>0.92</v>
      </c>
      <c r="H24" s="7">
        <f t="shared" si="9"/>
        <v>1</v>
      </c>
      <c r="I24" s="7">
        <f t="shared" si="10"/>
        <v>29360</v>
      </c>
      <c r="J24" s="7">
        <f t="shared" si="11"/>
        <v>43813</v>
      </c>
      <c r="K24" s="7" t="str">
        <f t="shared" si="12"/>
        <v>F</v>
      </c>
      <c r="L24" s="7" t="str">
        <f t="shared" si="13"/>
        <v>Transformative change</v>
      </c>
      <c r="M24" s="7" t="str">
        <f t="shared" si="14"/>
        <v>High</v>
      </c>
      <c r="N24" s="7">
        <f t="shared" si="15"/>
        <v>111444</v>
      </c>
      <c r="O24" s="7">
        <f t="shared" si="16"/>
        <v>26700.11624</v>
      </c>
      <c r="P24" s="7">
        <f t="shared" ref="P24:Q24" si="147">RANDBETWEEN(0,22)</f>
        <v>2</v>
      </c>
      <c r="Q24" s="7">
        <f t="shared" si="147"/>
        <v>7</v>
      </c>
      <c r="R24" s="7">
        <f t="shared" ref="R24:T24" si="148">IF(S24=1,1,RANDBETWEEN(0,1))</f>
        <v>1</v>
      </c>
      <c r="S24" s="7">
        <f t="shared" si="148"/>
        <v>1</v>
      </c>
      <c r="T24" s="7">
        <f t="shared" si="148"/>
        <v>0</v>
      </c>
      <c r="U24" s="7">
        <f t="shared" si="19"/>
        <v>0</v>
      </c>
      <c r="V24" s="7">
        <f t="shared" ref="V24:X24" si="149">IF(W24=1,1,RANDBETWEEN(0,1))</f>
        <v>1</v>
      </c>
      <c r="W24" s="7">
        <f t="shared" si="149"/>
        <v>1</v>
      </c>
      <c r="X24" s="7">
        <f t="shared" si="149"/>
        <v>1</v>
      </c>
      <c r="Y24" s="7">
        <f t="shared" si="21"/>
        <v>1</v>
      </c>
      <c r="Z24" s="7">
        <f t="shared" ref="Z24:AB24" si="150">IF(AA24=1,1,RANDBETWEEN(0,1))</f>
        <v>1</v>
      </c>
      <c r="AA24" s="7">
        <f t="shared" si="150"/>
        <v>1</v>
      </c>
      <c r="AB24" s="7">
        <f t="shared" si="150"/>
        <v>1</v>
      </c>
      <c r="AC24" s="7">
        <f t="shared" si="23"/>
        <v>0</v>
      </c>
      <c r="AD24" s="7">
        <f t="shared" ref="AD24:AF24" si="151">IF(AE24=1,1,RANDBETWEEN(0,1))</f>
        <v>1</v>
      </c>
      <c r="AE24" s="7">
        <f t="shared" si="151"/>
        <v>1</v>
      </c>
      <c r="AF24" s="7">
        <f t="shared" si="151"/>
        <v>0</v>
      </c>
      <c r="AG24" s="7">
        <f t="shared" si="25"/>
        <v>0</v>
      </c>
    </row>
    <row r="25">
      <c r="A25" s="4" t="s">
        <v>101</v>
      </c>
      <c r="B25" s="4" t="s">
        <v>102</v>
      </c>
      <c r="C25" s="4" t="s">
        <v>103</v>
      </c>
      <c r="D25" s="5">
        <v>18902.0</v>
      </c>
      <c r="E25" s="6">
        <f t="shared" si="7"/>
        <v>905</v>
      </c>
      <c r="F25" s="7">
        <f t="shared" ref="F25:G25" si="152">ROUND(RAND(),2)</f>
        <v>0.44</v>
      </c>
      <c r="G25" s="7">
        <f t="shared" si="152"/>
        <v>0.56</v>
      </c>
      <c r="H25" s="7">
        <f t="shared" si="9"/>
        <v>5</v>
      </c>
      <c r="I25" s="7">
        <f t="shared" si="10"/>
        <v>7675</v>
      </c>
      <c r="J25" s="7">
        <f t="shared" si="11"/>
        <v>48778</v>
      </c>
      <c r="K25" s="7" t="str">
        <f t="shared" si="12"/>
        <v>A</v>
      </c>
      <c r="L25" s="7" t="str">
        <f t="shared" si="13"/>
        <v>Transformative change</v>
      </c>
      <c r="M25" s="7" t="str">
        <f t="shared" si="14"/>
        <v>Medium</v>
      </c>
      <c r="N25" s="7">
        <f t="shared" si="15"/>
        <v>2828061</v>
      </c>
      <c r="O25" s="7">
        <f t="shared" si="16"/>
        <v>2788253.915</v>
      </c>
      <c r="P25" s="7">
        <f t="shared" ref="P25:Q25" si="153">RANDBETWEEN(0,22)</f>
        <v>15</v>
      </c>
      <c r="Q25" s="7">
        <f t="shared" si="153"/>
        <v>17</v>
      </c>
      <c r="R25" s="7">
        <f t="shared" ref="R25:T25" si="154">IF(S25=1,1,RANDBETWEEN(0,1))</f>
        <v>1</v>
      </c>
      <c r="S25" s="7">
        <f t="shared" si="154"/>
        <v>1</v>
      </c>
      <c r="T25" s="7">
        <f t="shared" si="154"/>
        <v>0</v>
      </c>
      <c r="U25" s="7">
        <f t="shared" si="19"/>
        <v>0</v>
      </c>
      <c r="V25" s="7">
        <f t="shared" ref="V25:X25" si="155">IF(W25=1,1,RANDBETWEEN(0,1))</f>
        <v>1</v>
      </c>
      <c r="W25" s="7">
        <f t="shared" si="155"/>
        <v>1</v>
      </c>
      <c r="X25" s="7">
        <f t="shared" si="155"/>
        <v>1</v>
      </c>
      <c r="Y25" s="7">
        <f t="shared" si="21"/>
        <v>1</v>
      </c>
      <c r="Z25" s="7">
        <f t="shared" ref="Z25:AB25" si="156">IF(AA25=1,1,RANDBETWEEN(0,1))</f>
        <v>1</v>
      </c>
      <c r="AA25" s="7">
        <f t="shared" si="156"/>
        <v>1</v>
      </c>
      <c r="AB25" s="7">
        <f t="shared" si="156"/>
        <v>1</v>
      </c>
      <c r="AC25" s="7">
        <f t="shared" si="23"/>
        <v>0</v>
      </c>
      <c r="AD25" s="7">
        <f t="shared" ref="AD25:AF25" si="157">IF(AE25=1,1,RANDBETWEEN(0,1))</f>
        <v>1</v>
      </c>
      <c r="AE25" s="7">
        <f t="shared" si="157"/>
        <v>1</v>
      </c>
      <c r="AF25" s="7">
        <f t="shared" si="157"/>
        <v>0</v>
      </c>
      <c r="AG25" s="7">
        <f t="shared" si="25"/>
        <v>0</v>
      </c>
    </row>
    <row r="26">
      <c r="A26" s="4" t="s">
        <v>104</v>
      </c>
      <c r="B26" s="4" t="s">
        <v>105</v>
      </c>
      <c r="C26" s="4" t="s">
        <v>106</v>
      </c>
      <c r="D26" s="5">
        <v>5670.0</v>
      </c>
      <c r="E26" s="6">
        <f t="shared" si="7"/>
        <v>930</v>
      </c>
      <c r="F26" s="7">
        <f t="shared" ref="F26:G26" si="158">ROUND(RAND(),2)</f>
        <v>0.07</v>
      </c>
      <c r="G26" s="7">
        <f t="shared" si="158"/>
        <v>0.52</v>
      </c>
      <c r="H26" s="7">
        <f t="shared" si="9"/>
        <v>1</v>
      </c>
      <c r="I26" s="7">
        <f t="shared" si="10"/>
        <v>24502</v>
      </c>
      <c r="J26" s="7">
        <f t="shared" si="11"/>
        <v>28518</v>
      </c>
      <c r="K26" s="7" t="str">
        <f t="shared" si="12"/>
        <v>F</v>
      </c>
      <c r="L26" s="7" t="str">
        <f t="shared" si="13"/>
        <v>Transformative change</v>
      </c>
      <c r="M26" s="7" t="str">
        <f t="shared" si="14"/>
        <v>High</v>
      </c>
      <c r="N26" s="7">
        <f t="shared" si="15"/>
        <v>3763104</v>
      </c>
      <c r="O26" s="7">
        <f t="shared" si="16"/>
        <v>3011455.968</v>
      </c>
      <c r="P26" s="7">
        <f t="shared" ref="P26:Q26" si="159">RANDBETWEEN(0,22)</f>
        <v>13</v>
      </c>
      <c r="Q26" s="7">
        <f t="shared" si="159"/>
        <v>1</v>
      </c>
      <c r="R26" s="7">
        <f t="shared" ref="R26:T26" si="160">IF(S26=1,1,RANDBETWEEN(0,1))</f>
        <v>1</v>
      </c>
      <c r="S26" s="7">
        <f t="shared" si="160"/>
        <v>1</v>
      </c>
      <c r="T26" s="7">
        <f t="shared" si="160"/>
        <v>1</v>
      </c>
      <c r="U26" s="7">
        <f t="shared" si="19"/>
        <v>1</v>
      </c>
      <c r="V26" s="7">
        <f t="shared" ref="V26:X26" si="161">IF(W26=1,1,RANDBETWEEN(0,1))</f>
        <v>1</v>
      </c>
      <c r="W26" s="7">
        <f t="shared" si="161"/>
        <v>0</v>
      </c>
      <c r="X26" s="7">
        <f t="shared" si="161"/>
        <v>0</v>
      </c>
      <c r="Y26" s="7">
        <f t="shared" si="21"/>
        <v>0</v>
      </c>
      <c r="Z26" s="7">
        <f t="shared" ref="Z26:AB26" si="162">IF(AA26=1,1,RANDBETWEEN(0,1))</f>
        <v>1</v>
      </c>
      <c r="AA26" s="7">
        <f t="shared" si="162"/>
        <v>1</v>
      </c>
      <c r="AB26" s="7">
        <f t="shared" si="162"/>
        <v>1</v>
      </c>
      <c r="AC26" s="7">
        <f t="shared" si="23"/>
        <v>0</v>
      </c>
      <c r="AD26" s="7">
        <f t="shared" ref="AD26:AF26" si="163">IF(AE26=1,1,RANDBETWEEN(0,1))</f>
        <v>1</v>
      </c>
      <c r="AE26" s="7">
        <f t="shared" si="163"/>
        <v>1</v>
      </c>
      <c r="AF26" s="7">
        <f t="shared" si="163"/>
        <v>1</v>
      </c>
      <c r="AG26" s="7">
        <f t="shared" si="25"/>
        <v>0</v>
      </c>
    </row>
    <row r="27">
      <c r="A27" s="4" t="s">
        <v>107</v>
      </c>
      <c r="B27" s="4" t="s">
        <v>108</v>
      </c>
      <c r="C27" s="4" t="s">
        <v>109</v>
      </c>
      <c r="D27" s="5">
        <v>50696.0</v>
      </c>
      <c r="E27" s="6">
        <f t="shared" si="7"/>
        <v>396.06</v>
      </c>
      <c r="F27" s="7">
        <f t="shared" ref="F27:G27" si="164">ROUND(RAND(),2)</f>
        <v>0.98</v>
      </c>
      <c r="G27" s="7">
        <f t="shared" si="164"/>
        <v>0.49</v>
      </c>
      <c r="H27" s="7">
        <f t="shared" si="9"/>
        <v>2</v>
      </c>
      <c r="I27" s="7">
        <f t="shared" si="10"/>
        <v>35987</v>
      </c>
      <c r="J27" s="7">
        <f t="shared" si="11"/>
        <v>41976</v>
      </c>
      <c r="K27" s="7" t="str">
        <f t="shared" si="12"/>
        <v>G</v>
      </c>
      <c r="L27" s="7" t="str">
        <f t="shared" si="13"/>
        <v>Transformative change</v>
      </c>
      <c r="M27" s="7" t="str">
        <f t="shared" si="14"/>
        <v>High</v>
      </c>
      <c r="N27" s="7">
        <f t="shared" si="15"/>
        <v>712488</v>
      </c>
      <c r="O27" s="7">
        <f t="shared" si="16"/>
        <v>681760.2221</v>
      </c>
      <c r="P27" s="7">
        <f t="shared" ref="P27:Q27" si="165">RANDBETWEEN(0,22)</f>
        <v>11</v>
      </c>
      <c r="Q27" s="7">
        <f t="shared" si="165"/>
        <v>2</v>
      </c>
      <c r="R27" s="7">
        <f t="shared" ref="R27:T27" si="166">IF(S27=1,1,RANDBETWEEN(0,1))</f>
        <v>1</v>
      </c>
      <c r="S27" s="7">
        <f t="shared" si="166"/>
        <v>1</v>
      </c>
      <c r="T27" s="7">
        <f t="shared" si="166"/>
        <v>1</v>
      </c>
      <c r="U27" s="7">
        <f t="shared" si="19"/>
        <v>0</v>
      </c>
      <c r="V27" s="7">
        <f t="shared" ref="V27:X27" si="167">IF(W27=1,1,RANDBETWEEN(0,1))</f>
        <v>1</v>
      </c>
      <c r="W27" s="7">
        <f t="shared" si="167"/>
        <v>1</v>
      </c>
      <c r="X27" s="7">
        <f t="shared" si="167"/>
        <v>1</v>
      </c>
      <c r="Y27" s="7">
        <f t="shared" si="21"/>
        <v>1</v>
      </c>
      <c r="Z27" s="7">
        <f t="shared" ref="Z27:AB27" si="168">IF(AA27=1,1,RANDBETWEEN(0,1))</f>
        <v>1</v>
      </c>
      <c r="AA27" s="7">
        <f t="shared" si="168"/>
        <v>1</v>
      </c>
      <c r="AB27" s="7">
        <f t="shared" si="168"/>
        <v>1</v>
      </c>
      <c r="AC27" s="7">
        <f t="shared" si="23"/>
        <v>1</v>
      </c>
      <c r="AD27" s="7">
        <f t="shared" ref="AD27:AF27" si="169">IF(AE27=1,1,RANDBETWEEN(0,1))</f>
        <v>1</v>
      </c>
      <c r="AE27" s="7">
        <f t="shared" si="169"/>
        <v>0</v>
      </c>
      <c r="AF27" s="7">
        <f t="shared" si="169"/>
        <v>0</v>
      </c>
      <c r="AG27" s="7">
        <f t="shared" si="25"/>
        <v>0</v>
      </c>
    </row>
    <row r="28">
      <c r="A28" s="4" t="s">
        <v>110</v>
      </c>
      <c r="B28" s="4" t="s">
        <v>111</v>
      </c>
      <c r="C28" s="4" t="s">
        <v>112</v>
      </c>
      <c r="D28" s="5">
        <v>16670.0</v>
      </c>
      <c r="E28" s="6">
        <f t="shared" si="7"/>
        <v>1036</v>
      </c>
      <c r="F28" s="7">
        <f t="shared" ref="F28:G28" si="170">ROUND(RAND(),2)</f>
        <v>0.39</v>
      </c>
      <c r="G28" s="7">
        <f t="shared" si="170"/>
        <v>0.36</v>
      </c>
      <c r="H28" s="7">
        <f t="shared" si="9"/>
        <v>2</v>
      </c>
      <c r="I28" s="7">
        <f t="shared" si="10"/>
        <v>29344</v>
      </c>
      <c r="J28" s="7">
        <f t="shared" si="11"/>
        <v>51876</v>
      </c>
      <c r="K28" s="7" t="str">
        <f t="shared" si="12"/>
        <v>D</v>
      </c>
      <c r="L28" s="7" t="str">
        <f t="shared" si="13"/>
        <v>Transformative change</v>
      </c>
      <c r="M28" s="7" t="str">
        <f t="shared" si="14"/>
        <v>Medium</v>
      </c>
      <c r="N28" s="7">
        <f t="shared" si="15"/>
        <v>3737508</v>
      </c>
      <c r="O28" s="7">
        <f t="shared" si="16"/>
        <v>1324752.976</v>
      </c>
      <c r="P28" s="7">
        <f t="shared" ref="P28:Q28" si="171">RANDBETWEEN(0,22)</f>
        <v>20</v>
      </c>
      <c r="Q28" s="7">
        <f t="shared" si="171"/>
        <v>6</v>
      </c>
      <c r="R28" s="7">
        <f t="shared" ref="R28:T28" si="172">IF(S28=1,1,RANDBETWEEN(0,1))</f>
        <v>1</v>
      </c>
      <c r="S28" s="7">
        <f t="shared" si="172"/>
        <v>1</v>
      </c>
      <c r="T28" s="7">
        <f t="shared" si="172"/>
        <v>1</v>
      </c>
      <c r="U28" s="7">
        <f t="shared" si="19"/>
        <v>1</v>
      </c>
      <c r="V28" s="7">
        <f t="shared" ref="V28:X28" si="173">IF(W28=1,1,RANDBETWEEN(0,1))</f>
        <v>1</v>
      </c>
      <c r="W28" s="7">
        <f t="shared" si="173"/>
        <v>1</v>
      </c>
      <c r="X28" s="7">
        <f t="shared" si="173"/>
        <v>1</v>
      </c>
      <c r="Y28" s="7">
        <f t="shared" si="21"/>
        <v>1</v>
      </c>
      <c r="Z28" s="7">
        <f t="shared" ref="Z28:AB28" si="174">IF(AA28=1,1,RANDBETWEEN(0,1))</f>
        <v>1</v>
      </c>
      <c r="AA28" s="7">
        <f t="shared" si="174"/>
        <v>0</v>
      </c>
      <c r="AB28" s="7">
        <f t="shared" si="174"/>
        <v>0</v>
      </c>
      <c r="AC28" s="7">
        <f t="shared" si="23"/>
        <v>0</v>
      </c>
      <c r="AD28" s="7">
        <f t="shared" ref="AD28:AF28" si="175">IF(AE28=1,1,RANDBETWEEN(0,1))</f>
        <v>1</v>
      </c>
      <c r="AE28" s="7">
        <f t="shared" si="175"/>
        <v>1</v>
      </c>
      <c r="AF28" s="7">
        <f t="shared" si="175"/>
        <v>1</v>
      </c>
      <c r="AG28" s="7">
        <f t="shared" si="25"/>
        <v>0</v>
      </c>
    </row>
    <row r="29">
      <c r="A29" s="4" t="s">
        <v>113</v>
      </c>
      <c r="B29" s="4" t="s">
        <v>114</v>
      </c>
      <c r="C29" s="4" t="s">
        <v>95</v>
      </c>
      <c r="D29" s="5">
        <v>6941.0</v>
      </c>
      <c r="E29" s="6">
        <f t="shared" si="7"/>
        <v>857</v>
      </c>
      <c r="F29" s="7">
        <f t="shared" ref="F29:G29" si="176">ROUND(RAND(),2)</f>
        <v>0.25</v>
      </c>
      <c r="G29" s="7">
        <f t="shared" si="176"/>
        <v>0.91</v>
      </c>
      <c r="H29" s="7">
        <f t="shared" si="9"/>
        <v>3</v>
      </c>
      <c r="I29" s="7">
        <f t="shared" si="10"/>
        <v>5849</v>
      </c>
      <c r="J29" s="7">
        <f t="shared" si="11"/>
        <v>75542</v>
      </c>
      <c r="K29" s="7" t="str">
        <f t="shared" si="12"/>
        <v>G</v>
      </c>
      <c r="L29" s="7" t="str">
        <f t="shared" si="13"/>
        <v>Transformative change</v>
      </c>
      <c r="M29" s="7" t="str">
        <f t="shared" si="14"/>
        <v>Low</v>
      </c>
      <c r="N29" s="7">
        <f t="shared" si="15"/>
        <v>151018</v>
      </c>
      <c r="O29" s="7">
        <f t="shared" si="16"/>
        <v>149929.316</v>
      </c>
      <c r="P29" s="7">
        <f t="shared" ref="P29:Q29" si="177">RANDBETWEEN(0,22)</f>
        <v>20</v>
      </c>
      <c r="Q29" s="7">
        <f t="shared" si="177"/>
        <v>7</v>
      </c>
      <c r="R29" s="7">
        <f t="shared" ref="R29:T29" si="178">IF(S29=1,1,RANDBETWEEN(0,1))</f>
        <v>1</v>
      </c>
      <c r="S29" s="7">
        <f t="shared" si="178"/>
        <v>1</v>
      </c>
      <c r="T29" s="7">
        <f t="shared" si="178"/>
        <v>1</v>
      </c>
      <c r="U29" s="7">
        <f t="shared" si="19"/>
        <v>1</v>
      </c>
      <c r="V29" s="7">
        <f t="shared" ref="V29:X29" si="179">IF(W29=1,1,RANDBETWEEN(0,1))</f>
        <v>1</v>
      </c>
      <c r="W29" s="7">
        <f t="shared" si="179"/>
        <v>1</v>
      </c>
      <c r="X29" s="7">
        <f t="shared" si="179"/>
        <v>1</v>
      </c>
      <c r="Y29" s="7">
        <f t="shared" si="21"/>
        <v>0</v>
      </c>
      <c r="Z29" s="7">
        <f t="shared" ref="Z29:AB29" si="180">IF(AA29=1,1,RANDBETWEEN(0,1))</f>
        <v>1</v>
      </c>
      <c r="AA29" s="7">
        <f t="shared" si="180"/>
        <v>1</v>
      </c>
      <c r="AB29" s="7">
        <f t="shared" si="180"/>
        <v>1</v>
      </c>
      <c r="AC29" s="7">
        <f t="shared" si="23"/>
        <v>1</v>
      </c>
      <c r="AD29" s="7">
        <f t="shared" ref="AD29:AF29" si="181">IF(AE29=1,1,RANDBETWEEN(0,1))</f>
        <v>0</v>
      </c>
      <c r="AE29" s="7">
        <f t="shared" si="181"/>
        <v>0</v>
      </c>
      <c r="AF29" s="7">
        <f t="shared" si="181"/>
        <v>0</v>
      </c>
      <c r="AG29" s="7">
        <f t="shared" si="25"/>
        <v>0</v>
      </c>
    </row>
    <row r="30">
      <c r="A30" s="4" t="s">
        <v>115</v>
      </c>
      <c r="B30" s="4" t="s">
        <v>116</v>
      </c>
      <c r="C30" s="4" t="s">
        <v>117</v>
      </c>
      <c r="D30" s="5">
        <v>108146.0</v>
      </c>
      <c r="E30" s="6">
        <f t="shared" si="7"/>
        <v>814</v>
      </c>
      <c r="F30" s="7">
        <f t="shared" ref="F30:G30" si="182">ROUND(RAND(),2)</f>
        <v>0.08</v>
      </c>
      <c r="G30" s="7">
        <f t="shared" si="182"/>
        <v>0.05</v>
      </c>
      <c r="H30" s="7">
        <f t="shared" si="9"/>
        <v>5</v>
      </c>
      <c r="I30" s="7">
        <f t="shared" si="10"/>
        <v>89300</v>
      </c>
      <c r="J30" s="7">
        <f t="shared" si="11"/>
        <v>38891</v>
      </c>
      <c r="K30" s="7" t="str">
        <f t="shared" si="12"/>
        <v>C</v>
      </c>
      <c r="L30" s="7" t="str">
        <f t="shared" si="13"/>
        <v>High ambition</v>
      </c>
      <c r="M30" s="7" t="str">
        <f t="shared" si="14"/>
        <v>Low</v>
      </c>
      <c r="N30" s="7">
        <f t="shared" si="15"/>
        <v>593342</v>
      </c>
      <c r="O30" s="7">
        <f t="shared" si="16"/>
        <v>280893.2446</v>
      </c>
      <c r="P30" s="7">
        <f t="shared" ref="P30:Q30" si="183">RANDBETWEEN(0,22)</f>
        <v>8</v>
      </c>
      <c r="Q30" s="7">
        <f t="shared" si="183"/>
        <v>15</v>
      </c>
      <c r="R30" s="7">
        <f t="shared" ref="R30:T30" si="184">IF(S30=1,1,RANDBETWEEN(0,1))</f>
        <v>1</v>
      </c>
      <c r="S30" s="7">
        <f t="shared" si="184"/>
        <v>1</v>
      </c>
      <c r="T30" s="7">
        <f t="shared" si="184"/>
        <v>1</v>
      </c>
      <c r="U30" s="7">
        <f t="shared" si="19"/>
        <v>1</v>
      </c>
      <c r="V30" s="7">
        <f t="shared" ref="V30:X30" si="185">IF(W30=1,1,RANDBETWEEN(0,1))</f>
        <v>1</v>
      </c>
      <c r="W30" s="7">
        <f t="shared" si="185"/>
        <v>1</v>
      </c>
      <c r="X30" s="7">
        <f t="shared" si="185"/>
        <v>1</v>
      </c>
      <c r="Y30" s="7">
        <f t="shared" si="21"/>
        <v>1</v>
      </c>
      <c r="Z30" s="7">
        <f t="shared" ref="Z30:AB30" si="186">IF(AA30=1,1,RANDBETWEEN(0,1))</f>
        <v>1</v>
      </c>
      <c r="AA30" s="7">
        <f t="shared" si="186"/>
        <v>1</v>
      </c>
      <c r="AB30" s="7">
        <f t="shared" si="186"/>
        <v>1</v>
      </c>
      <c r="AC30" s="7">
        <f t="shared" si="23"/>
        <v>1</v>
      </c>
      <c r="AD30" s="7">
        <f t="shared" ref="AD30:AF30" si="187">IF(AE30=1,1,RANDBETWEEN(0,1))</f>
        <v>1</v>
      </c>
      <c r="AE30" s="7">
        <f t="shared" si="187"/>
        <v>1</v>
      </c>
      <c r="AF30" s="7">
        <f t="shared" si="187"/>
        <v>1</v>
      </c>
      <c r="AG30" s="7">
        <f t="shared" si="25"/>
        <v>1</v>
      </c>
    </row>
    <row r="31">
      <c r="A31" s="4" t="s">
        <v>118</v>
      </c>
      <c r="B31" s="4" t="s">
        <v>119</v>
      </c>
      <c r="C31" s="4" t="s">
        <v>120</v>
      </c>
      <c r="D31" s="5">
        <v>457645.0</v>
      </c>
      <c r="E31" s="6">
        <f t="shared" si="7"/>
        <v>1207.51</v>
      </c>
      <c r="F31" s="7">
        <f t="shared" ref="F31:G31" si="188">ROUND(RAND(),2)</f>
        <v>0.35</v>
      </c>
      <c r="G31" s="7">
        <f t="shared" si="188"/>
        <v>0.17</v>
      </c>
      <c r="H31" s="7">
        <f t="shared" si="9"/>
        <v>3</v>
      </c>
      <c r="I31" s="7">
        <f t="shared" si="10"/>
        <v>19769</v>
      </c>
      <c r="J31" s="7">
        <f t="shared" si="11"/>
        <v>9154</v>
      </c>
      <c r="K31" s="7" t="str">
        <f t="shared" si="12"/>
        <v>B</v>
      </c>
      <c r="L31" s="7" t="str">
        <f t="shared" si="13"/>
        <v>Transformative change</v>
      </c>
      <c r="M31" s="7" t="str">
        <f t="shared" si="14"/>
        <v>Medium</v>
      </c>
      <c r="N31" s="7">
        <f t="shared" si="15"/>
        <v>1116049</v>
      </c>
      <c r="O31" s="7">
        <f t="shared" si="16"/>
        <v>816044.8408</v>
      </c>
      <c r="P31" s="7">
        <f t="shared" ref="P31:Q31" si="189">RANDBETWEEN(0,22)</f>
        <v>19</v>
      </c>
      <c r="Q31" s="7">
        <f t="shared" si="189"/>
        <v>18</v>
      </c>
      <c r="R31" s="7">
        <f t="shared" ref="R31:T31" si="190">IF(S31=1,1,RANDBETWEEN(0,1))</f>
        <v>1</v>
      </c>
      <c r="S31" s="7">
        <f t="shared" si="190"/>
        <v>1</v>
      </c>
      <c r="T31" s="7">
        <f t="shared" si="190"/>
        <v>0</v>
      </c>
      <c r="U31" s="7">
        <f t="shared" si="19"/>
        <v>0</v>
      </c>
      <c r="V31" s="7">
        <f t="shared" ref="V31:X31" si="191">IF(W31=1,1,RANDBETWEEN(0,1))</f>
        <v>1</v>
      </c>
      <c r="W31" s="7">
        <f t="shared" si="191"/>
        <v>1</v>
      </c>
      <c r="X31" s="7">
        <f t="shared" si="191"/>
        <v>1</v>
      </c>
      <c r="Y31" s="7">
        <f t="shared" si="21"/>
        <v>1</v>
      </c>
      <c r="Z31" s="7">
        <f t="shared" ref="Z31:AB31" si="192">IF(AA31=1,1,RANDBETWEEN(0,1))</f>
        <v>1</v>
      </c>
      <c r="AA31" s="7">
        <f t="shared" si="192"/>
        <v>1</v>
      </c>
      <c r="AB31" s="7">
        <f t="shared" si="192"/>
        <v>1</v>
      </c>
      <c r="AC31" s="7">
        <f t="shared" si="23"/>
        <v>1</v>
      </c>
      <c r="AD31" s="7">
        <f t="shared" ref="AD31:AF31" si="193">IF(AE31=1,1,RANDBETWEEN(0,1))</f>
        <v>1</v>
      </c>
      <c r="AE31" s="7">
        <f t="shared" si="193"/>
        <v>1</v>
      </c>
      <c r="AF31" s="7">
        <f t="shared" si="193"/>
        <v>1</v>
      </c>
      <c r="AG31" s="7">
        <f t="shared" si="25"/>
        <v>1</v>
      </c>
    </row>
    <row r="32">
      <c r="A32" s="4" t="s">
        <v>121</v>
      </c>
      <c r="B32" s="4" t="s">
        <v>122</v>
      </c>
      <c r="C32" s="4" t="s">
        <v>123</v>
      </c>
      <c r="D32" s="5">
        <v>19133.0</v>
      </c>
      <c r="E32" s="6">
        <f t="shared" si="7"/>
        <v>1010</v>
      </c>
      <c r="F32" s="7">
        <f t="shared" ref="F32:G32" si="194">ROUND(RAND(),2)</f>
        <v>0.45</v>
      </c>
      <c r="G32" s="7">
        <f t="shared" si="194"/>
        <v>0.44</v>
      </c>
      <c r="H32" s="7">
        <f t="shared" si="9"/>
        <v>5</v>
      </c>
      <c r="I32" s="7">
        <f t="shared" si="10"/>
        <v>45544</v>
      </c>
      <c r="J32" s="7">
        <f t="shared" si="11"/>
        <v>7611</v>
      </c>
      <c r="K32" s="7" t="str">
        <f t="shared" si="12"/>
        <v>C</v>
      </c>
      <c r="L32" s="7" t="str">
        <f t="shared" si="13"/>
        <v>Transformative change</v>
      </c>
      <c r="M32" s="7" t="str">
        <f t="shared" si="14"/>
        <v>Medium</v>
      </c>
      <c r="N32" s="7">
        <f t="shared" si="15"/>
        <v>3145341</v>
      </c>
      <c r="O32" s="7">
        <f t="shared" si="16"/>
        <v>1269832.029</v>
      </c>
      <c r="P32" s="7">
        <f t="shared" ref="P32:Q32" si="195">RANDBETWEEN(0,22)</f>
        <v>17</v>
      </c>
      <c r="Q32" s="7">
        <f t="shared" si="195"/>
        <v>9</v>
      </c>
      <c r="R32" s="7">
        <f t="shared" ref="R32:T32" si="196">IF(S32=1,1,RANDBETWEEN(0,1))</f>
        <v>1</v>
      </c>
      <c r="S32" s="7">
        <f t="shared" si="196"/>
        <v>1</v>
      </c>
      <c r="T32" s="7">
        <f t="shared" si="196"/>
        <v>1</v>
      </c>
      <c r="U32" s="7">
        <f t="shared" si="19"/>
        <v>1</v>
      </c>
      <c r="V32" s="7">
        <f t="shared" ref="V32:X32" si="197">IF(W32=1,1,RANDBETWEEN(0,1))</f>
        <v>1</v>
      </c>
      <c r="W32" s="7">
        <f t="shared" si="197"/>
        <v>1</v>
      </c>
      <c r="X32" s="7">
        <f t="shared" si="197"/>
        <v>1</v>
      </c>
      <c r="Y32" s="7">
        <f t="shared" si="21"/>
        <v>1</v>
      </c>
      <c r="Z32" s="7">
        <f t="shared" ref="Z32:AB32" si="198">IF(AA32=1,1,RANDBETWEEN(0,1))</f>
        <v>1</v>
      </c>
      <c r="AA32" s="7">
        <f t="shared" si="198"/>
        <v>1</v>
      </c>
      <c r="AB32" s="7">
        <f t="shared" si="198"/>
        <v>1</v>
      </c>
      <c r="AC32" s="7">
        <f t="shared" si="23"/>
        <v>1</v>
      </c>
      <c r="AD32" s="7">
        <f t="shared" ref="AD32:AF32" si="199">IF(AE32=1,1,RANDBETWEEN(0,1))</f>
        <v>1</v>
      </c>
      <c r="AE32" s="7">
        <f t="shared" si="199"/>
        <v>1</v>
      </c>
      <c r="AF32" s="7">
        <f t="shared" si="199"/>
        <v>1</v>
      </c>
      <c r="AG32" s="7">
        <f t="shared" si="25"/>
        <v>1</v>
      </c>
    </row>
    <row r="33">
      <c r="A33" s="4" t="s">
        <v>124</v>
      </c>
      <c r="B33" s="4" t="s">
        <v>125</v>
      </c>
      <c r="C33" s="4" t="s">
        <v>62</v>
      </c>
      <c r="D33" s="5">
        <v>261473.0</v>
      </c>
      <c r="E33" s="6">
        <f t="shared" si="7"/>
        <v>908</v>
      </c>
      <c r="F33" s="7">
        <f t="shared" ref="F33:G33" si="200">ROUND(RAND(),2)</f>
        <v>0.98</v>
      </c>
      <c r="G33" s="7">
        <f t="shared" si="200"/>
        <v>0.99</v>
      </c>
      <c r="H33" s="7">
        <f t="shared" si="9"/>
        <v>4</v>
      </c>
      <c r="I33" s="7">
        <f t="shared" si="10"/>
        <v>71448</v>
      </c>
      <c r="J33" s="7">
        <f t="shared" si="11"/>
        <v>17214</v>
      </c>
      <c r="K33" s="7" t="str">
        <f t="shared" si="12"/>
        <v>G</v>
      </c>
      <c r="L33" s="7" t="str">
        <f t="shared" si="13"/>
        <v>Transformative change</v>
      </c>
      <c r="M33" s="7" t="str">
        <f t="shared" si="14"/>
        <v>Low</v>
      </c>
      <c r="N33" s="7">
        <f t="shared" si="15"/>
        <v>884804</v>
      </c>
      <c r="O33" s="7">
        <f t="shared" si="16"/>
        <v>250042.3595</v>
      </c>
      <c r="P33" s="7">
        <f t="shared" ref="P33:Q33" si="201">RANDBETWEEN(0,22)</f>
        <v>10</v>
      </c>
      <c r="Q33" s="7">
        <f t="shared" si="201"/>
        <v>6</v>
      </c>
      <c r="R33" s="7">
        <f t="shared" ref="R33:T33" si="202">IF(S33=1,1,RANDBETWEEN(0,1))</f>
        <v>1</v>
      </c>
      <c r="S33" s="7">
        <f t="shared" si="202"/>
        <v>1</v>
      </c>
      <c r="T33" s="7">
        <f t="shared" si="202"/>
        <v>1</v>
      </c>
      <c r="U33" s="7">
        <f t="shared" si="19"/>
        <v>0</v>
      </c>
      <c r="V33" s="7">
        <f t="shared" ref="V33:X33" si="203">IF(W33=1,1,RANDBETWEEN(0,1))</f>
        <v>1</v>
      </c>
      <c r="W33" s="7">
        <f t="shared" si="203"/>
        <v>1</v>
      </c>
      <c r="X33" s="7">
        <f t="shared" si="203"/>
        <v>1</v>
      </c>
      <c r="Y33" s="7">
        <f t="shared" si="21"/>
        <v>0</v>
      </c>
      <c r="Z33" s="7">
        <f t="shared" ref="Z33:AB33" si="204">IF(AA33=1,1,RANDBETWEEN(0,1))</f>
        <v>1</v>
      </c>
      <c r="AA33" s="7">
        <f t="shared" si="204"/>
        <v>1</v>
      </c>
      <c r="AB33" s="7">
        <f t="shared" si="204"/>
        <v>1</v>
      </c>
      <c r="AC33" s="7">
        <f t="shared" si="23"/>
        <v>1</v>
      </c>
      <c r="AD33" s="7">
        <f t="shared" ref="AD33:AF33" si="205">IF(AE33=1,1,RANDBETWEEN(0,1))</f>
        <v>1</v>
      </c>
      <c r="AE33" s="7">
        <f t="shared" si="205"/>
        <v>1</v>
      </c>
      <c r="AF33" s="7">
        <f t="shared" si="205"/>
        <v>1</v>
      </c>
      <c r="AG33" s="7">
        <f t="shared" si="25"/>
        <v>0</v>
      </c>
    </row>
    <row r="34">
      <c r="A34" s="4" t="s">
        <v>126</v>
      </c>
      <c r="B34" s="4" t="s">
        <v>127</v>
      </c>
      <c r="C34" s="4" t="s">
        <v>128</v>
      </c>
      <c r="D34" s="5">
        <v>7672.0</v>
      </c>
      <c r="E34" s="6">
        <f t="shared" si="7"/>
        <v>1061</v>
      </c>
      <c r="F34" s="7">
        <f t="shared" ref="F34:G34" si="206">ROUND(RAND(),2)</f>
        <v>0.07</v>
      </c>
      <c r="G34" s="7">
        <f t="shared" si="206"/>
        <v>0.91</v>
      </c>
      <c r="H34" s="7">
        <f t="shared" si="9"/>
        <v>2</v>
      </c>
      <c r="I34" s="7">
        <f t="shared" si="10"/>
        <v>40779</v>
      </c>
      <c r="J34" s="7">
        <f t="shared" si="11"/>
        <v>19397</v>
      </c>
      <c r="K34" s="7" t="str">
        <f t="shared" si="12"/>
        <v>F</v>
      </c>
      <c r="L34" s="7" t="str">
        <f t="shared" si="13"/>
        <v>Transformative change</v>
      </c>
      <c r="M34" s="7" t="str">
        <f t="shared" si="14"/>
        <v>Medium</v>
      </c>
      <c r="N34" s="7">
        <f t="shared" si="15"/>
        <v>2290606</v>
      </c>
      <c r="O34" s="7">
        <f t="shared" si="16"/>
        <v>1084480.423</v>
      </c>
      <c r="P34" s="7">
        <f t="shared" ref="P34:Q34" si="207">RANDBETWEEN(0,22)</f>
        <v>0</v>
      </c>
      <c r="Q34" s="7">
        <f t="shared" si="207"/>
        <v>21</v>
      </c>
      <c r="R34" s="7">
        <f t="shared" ref="R34:T34" si="208">IF(S34=1,1,RANDBETWEEN(0,1))</f>
        <v>1</v>
      </c>
      <c r="S34" s="7">
        <f t="shared" si="208"/>
        <v>1</v>
      </c>
      <c r="T34" s="7">
        <f t="shared" si="208"/>
        <v>1</v>
      </c>
      <c r="U34" s="7">
        <f t="shared" si="19"/>
        <v>1</v>
      </c>
      <c r="V34" s="7">
        <f t="shared" ref="V34:X34" si="209">IF(W34=1,1,RANDBETWEEN(0,1))</f>
        <v>1</v>
      </c>
      <c r="W34" s="7">
        <f t="shared" si="209"/>
        <v>1</v>
      </c>
      <c r="X34" s="7">
        <f t="shared" si="209"/>
        <v>1</v>
      </c>
      <c r="Y34" s="7">
        <f t="shared" si="21"/>
        <v>1</v>
      </c>
      <c r="Z34" s="7">
        <f t="shared" ref="Z34:AB34" si="210">IF(AA34=1,1,RANDBETWEEN(0,1))</f>
        <v>1</v>
      </c>
      <c r="AA34" s="7">
        <f t="shared" si="210"/>
        <v>1</v>
      </c>
      <c r="AB34" s="7">
        <f t="shared" si="210"/>
        <v>1</v>
      </c>
      <c r="AC34" s="7">
        <f t="shared" si="23"/>
        <v>0</v>
      </c>
      <c r="AD34" s="7">
        <f t="shared" ref="AD34:AF34" si="211">IF(AE34=1,1,RANDBETWEEN(0,1))</f>
        <v>1</v>
      </c>
      <c r="AE34" s="7">
        <f t="shared" si="211"/>
        <v>0</v>
      </c>
      <c r="AF34" s="7">
        <f t="shared" si="211"/>
        <v>0</v>
      </c>
      <c r="AG34" s="7">
        <f t="shared" si="25"/>
        <v>0</v>
      </c>
    </row>
    <row r="35">
      <c r="A35" s="4" t="s">
        <v>129</v>
      </c>
      <c r="B35" s="4" t="s">
        <v>130</v>
      </c>
      <c r="C35" s="4" t="s">
        <v>131</v>
      </c>
      <c r="D35" s="5">
        <v>51061.0</v>
      </c>
      <c r="E35" s="6">
        <f t="shared" si="7"/>
        <v>871</v>
      </c>
      <c r="F35" s="7">
        <f t="shared" ref="F35:G35" si="212">ROUND(RAND(),2)</f>
        <v>0.24</v>
      </c>
      <c r="G35" s="7">
        <f t="shared" si="212"/>
        <v>0.51</v>
      </c>
      <c r="H35" s="7">
        <f t="shared" si="9"/>
        <v>3</v>
      </c>
      <c r="I35" s="7">
        <f t="shared" si="10"/>
        <v>66497</v>
      </c>
      <c r="J35" s="7">
        <f t="shared" si="11"/>
        <v>19910</v>
      </c>
      <c r="K35" s="7" t="str">
        <f t="shared" si="12"/>
        <v>F</v>
      </c>
      <c r="L35" s="7" t="str">
        <f t="shared" si="13"/>
        <v>Transformative change</v>
      </c>
      <c r="M35" s="7" t="str">
        <f t="shared" si="14"/>
        <v>Medium</v>
      </c>
      <c r="N35" s="7">
        <f t="shared" si="15"/>
        <v>1037070</v>
      </c>
      <c r="O35" s="7">
        <f t="shared" si="16"/>
        <v>675493.066</v>
      </c>
      <c r="P35" s="7">
        <f t="shared" ref="P35:Q35" si="213">RANDBETWEEN(0,22)</f>
        <v>8</v>
      </c>
      <c r="Q35" s="7">
        <f t="shared" si="213"/>
        <v>6</v>
      </c>
      <c r="R35" s="7">
        <f t="shared" ref="R35:T35" si="214">IF(S35=1,1,RANDBETWEEN(0,1))</f>
        <v>1</v>
      </c>
      <c r="S35" s="7">
        <f t="shared" si="214"/>
        <v>1</v>
      </c>
      <c r="T35" s="7">
        <f t="shared" si="214"/>
        <v>1</v>
      </c>
      <c r="U35" s="7">
        <f t="shared" si="19"/>
        <v>1</v>
      </c>
      <c r="V35" s="7">
        <f t="shared" ref="V35:X35" si="215">IF(W35=1,1,RANDBETWEEN(0,1))</f>
        <v>1</v>
      </c>
      <c r="W35" s="7">
        <f t="shared" si="215"/>
        <v>1</v>
      </c>
      <c r="X35" s="7">
        <f t="shared" si="215"/>
        <v>1</v>
      </c>
      <c r="Y35" s="7">
        <f t="shared" si="21"/>
        <v>1</v>
      </c>
      <c r="Z35" s="7">
        <f t="shared" ref="Z35:AB35" si="216">IF(AA35=1,1,RANDBETWEEN(0,1))</f>
        <v>1</v>
      </c>
      <c r="AA35" s="7">
        <f t="shared" si="216"/>
        <v>0</v>
      </c>
      <c r="AB35" s="7">
        <f t="shared" si="216"/>
        <v>0</v>
      </c>
      <c r="AC35" s="7">
        <f t="shared" si="23"/>
        <v>0</v>
      </c>
      <c r="AD35" s="7">
        <f t="shared" ref="AD35:AF35" si="217">IF(AE35=1,1,RANDBETWEEN(0,1))</f>
        <v>1</v>
      </c>
      <c r="AE35" s="7">
        <f t="shared" si="217"/>
        <v>1</v>
      </c>
      <c r="AF35" s="7">
        <f t="shared" si="217"/>
        <v>1</v>
      </c>
      <c r="AG35" s="7">
        <f t="shared" si="25"/>
        <v>1</v>
      </c>
    </row>
    <row r="36">
      <c r="A36" s="4" t="s">
        <v>132</v>
      </c>
      <c r="B36" s="4" t="s">
        <v>133</v>
      </c>
      <c r="C36" s="4" t="s">
        <v>134</v>
      </c>
      <c r="D36" s="5">
        <v>14223.0</v>
      </c>
      <c r="E36" s="6">
        <f t="shared" si="7"/>
        <v>982</v>
      </c>
      <c r="F36" s="7">
        <f t="shared" ref="F36:G36" si="218">ROUND(RAND(),2)</f>
        <v>0.36</v>
      </c>
      <c r="G36" s="7">
        <f t="shared" si="218"/>
        <v>0.1</v>
      </c>
      <c r="H36" s="7">
        <f t="shared" si="9"/>
        <v>1</v>
      </c>
      <c r="I36" s="7">
        <f t="shared" si="10"/>
        <v>82658</v>
      </c>
      <c r="J36" s="7">
        <f t="shared" si="11"/>
        <v>67455</v>
      </c>
      <c r="K36" s="7" t="str">
        <f t="shared" si="12"/>
        <v>F</v>
      </c>
      <c r="L36" s="7" t="str">
        <f t="shared" si="13"/>
        <v>High ambition</v>
      </c>
      <c r="M36" s="7" t="str">
        <f t="shared" si="14"/>
        <v>Low</v>
      </c>
      <c r="N36" s="7">
        <f t="shared" si="15"/>
        <v>3163658</v>
      </c>
      <c r="O36" s="7">
        <f t="shared" si="16"/>
        <v>1379993.833</v>
      </c>
      <c r="P36" s="7">
        <f t="shared" ref="P36:Q36" si="219">RANDBETWEEN(0,22)</f>
        <v>12</v>
      </c>
      <c r="Q36" s="7">
        <f t="shared" si="219"/>
        <v>21</v>
      </c>
      <c r="R36" s="7">
        <f t="shared" ref="R36:T36" si="220">IF(S36=1,1,RANDBETWEEN(0,1))</f>
        <v>1</v>
      </c>
      <c r="S36" s="7">
        <f t="shared" si="220"/>
        <v>1</v>
      </c>
      <c r="T36" s="7">
        <f t="shared" si="220"/>
        <v>1</v>
      </c>
      <c r="U36" s="7">
        <f t="shared" si="19"/>
        <v>1</v>
      </c>
      <c r="V36" s="7">
        <f t="shared" ref="V36:X36" si="221">IF(W36=1,1,RANDBETWEEN(0,1))</f>
        <v>1</v>
      </c>
      <c r="W36" s="7">
        <f t="shared" si="221"/>
        <v>0</v>
      </c>
      <c r="X36" s="7">
        <f t="shared" si="221"/>
        <v>0</v>
      </c>
      <c r="Y36" s="7">
        <f t="shared" si="21"/>
        <v>0</v>
      </c>
      <c r="Z36" s="7">
        <f t="shared" ref="Z36:AB36" si="222">IF(AA36=1,1,RANDBETWEEN(0,1))</f>
        <v>1</v>
      </c>
      <c r="AA36" s="7">
        <f t="shared" si="222"/>
        <v>1</v>
      </c>
      <c r="AB36" s="7">
        <f t="shared" si="222"/>
        <v>1</v>
      </c>
      <c r="AC36" s="7">
        <f t="shared" si="23"/>
        <v>1</v>
      </c>
      <c r="AD36" s="7">
        <f t="shared" ref="AD36:AF36" si="223">IF(AE36=1,1,RANDBETWEEN(0,1))</f>
        <v>1</v>
      </c>
      <c r="AE36" s="7">
        <f t="shared" si="223"/>
        <v>1</v>
      </c>
      <c r="AF36" s="7">
        <f t="shared" si="223"/>
        <v>1</v>
      </c>
      <c r="AG36" s="7">
        <f t="shared" si="25"/>
        <v>1</v>
      </c>
    </row>
    <row r="37">
      <c r="A37" s="4" t="s">
        <v>135</v>
      </c>
      <c r="B37" s="4" t="s">
        <v>136</v>
      </c>
      <c r="C37" s="4" t="s">
        <v>137</v>
      </c>
      <c r="D37" s="5">
        <v>93776.0</v>
      </c>
      <c r="E37" s="6">
        <f t="shared" si="7"/>
        <v>805</v>
      </c>
      <c r="F37" s="7">
        <f t="shared" ref="F37:G37" si="224">ROUND(RAND(),2)</f>
        <v>0.68</v>
      </c>
      <c r="G37" s="7">
        <f t="shared" si="224"/>
        <v>0.6</v>
      </c>
      <c r="H37" s="7">
        <f t="shared" si="9"/>
        <v>4</v>
      </c>
      <c r="I37" s="7">
        <f t="shared" si="10"/>
        <v>40640</v>
      </c>
      <c r="J37" s="7">
        <f t="shared" si="11"/>
        <v>6621</v>
      </c>
      <c r="K37" s="7" t="str">
        <f t="shared" si="12"/>
        <v>G</v>
      </c>
      <c r="L37" s="7" t="str">
        <f t="shared" si="13"/>
        <v>Transformative change</v>
      </c>
      <c r="M37" s="7" t="str">
        <f t="shared" si="14"/>
        <v>Low</v>
      </c>
      <c r="N37" s="7">
        <f t="shared" si="15"/>
        <v>1701607</v>
      </c>
      <c r="O37" s="7">
        <f t="shared" si="16"/>
        <v>101125.9284</v>
      </c>
      <c r="P37" s="7">
        <f t="shared" ref="P37:Q37" si="225">RANDBETWEEN(0,22)</f>
        <v>19</v>
      </c>
      <c r="Q37" s="7">
        <f t="shared" si="225"/>
        <v>10</v>
      </c>
      <c r="R37" s="7">
        <f t="shared" ref="R37:T37" si="226">IF(S37=1,1,RANDBETWEEN(0,1))</f>
        <v>1</v>
      </c>
      <c r="S37" s="7">
        <f t="shared" si="226"/>
        <v>1</v>
      </c>
      <c r="T37" s="7">
        <f t="shared" si="226"/>
        <v>1</v>
      </c>
      <c r="U37" s="7">
        <f t="shared" si="19"/>
        <v>1</v>
      </c>
      <c r="V37" s="7">
        <f t="shared" ref="V37:X37" si="227">IF(W37=1,1,RANDBETWEEN(0,1))</f>
        <v>1</v>
      </c>
      <c r="W37" s="7">
        <f t="shared" si="227"/>
        <v>1</v>
      </c>
      <c r="X37" s="7">
        <f t="shared" si="227"/>
        <v>1</v>
      </c>
      <c r="Y37" s="7">
        <f t="shared" si="21"/>
        <v>1</v>
      </c>
      <c r="Z37" s="7">
        <f t="shared" ref="Z37:AB37" si="228">IF(AA37=1,1,RANDBETWEEN(0,1))</f>
        <v>1</v>
      </c>
      <c r="AA37" s="7">
        <f t="shared" si="228"/>
        <v>1</v>
      </c>
      <c r="AB37" s="7">
        <f t="shared" si="228"/>
        <v>1</v>
      </c>
      <c r="AC37" s="7">
        <f t="shared" si="23"/>
        <v>0</v>
      </c>
      <c r="AD37" s="7">
        <f t="shared" ref="AD37:AF37" si="229">IF(AE37=1,1,RANDBETWEEN(0,1))</f>
        <v>1</v>
      </c>
      <c r="AE37" s="7">
        <f t="shared" si="229"/>
        <v>1</v>
      </c>
      <c r="AF37" s="7">
        <f t="shared" si="229"/>
        <v>0</v>
      </c>
      <c r="AG37" s="7">
        <f t="shared" si="25"/>
        <v>0</v>
      </c>
    </row>
    <row r="38">
      <c r="A38" s="4" t="s">
        <v>138</v>
      </c>
      <c r="B38" s="4" t="s">
        <v>139</v>
      </c>
      <c r="C38" s="4" t="s">
        <v>140</v>
      </c>
      <c r="D38" s="5">
        <v>11389.0</v>
      </c>
      <c r="E38" s="6">
        <f t="shared" si="7"/>
        <v>1024</v>
      </c>
      <c r="F38" s="7">
        <f t="shared" ref="F38:G38" si="230">ROUND(RAND(),2)</f>
        <v>0.99</v>
      </c>
      <c r="G38" s="7">
        <f t="shared" si="230"/>
        <v>0.43</v>
      </c>
      <c r="H38" s="7">
        <f t="shared" si="9"/>
        <v>5</v>
      </c>
      <c r="I38" s="7">
        <f t="shared" si="10"/>
        <v>56963</v>
      </c>
      <c r="J38" s="7">
        <f t="shared" si="11"/>
        <v>31852</v>
      </c>
      <c r="K38" s="7" t="str">
        <f t="shared" si="12"/>
        <v>D</v>
      </c>
      <c r="L38" s="7" t="str">
        <f t="shared" si="13"/>
        <v>Transformative change</v>
      </c>
      <c r="M38" s="7" t="str">
        <f t="shared" si="14"/>
        <v>High</v>
      </c>
      <c r="N38" s="7">
        <f t="shared" si="15"/>
        <v>817400</v>
      </c>
      <c r="O38" s="7">
        <f t="shared" si="16"/>
        <v>675014.4207</v>
      </c>
      <c r="P38" s="7">
        <f t="shared" ref="P38:Q38" si="231">RANDBETWEEN(0,22)</f>
        <v>9</v>
      </c>
      <c r="Q38" s="7">
        <f t="shared" si="231"/>
        <v>13</v>
      </c>
      <c r="R38" s="7">
        <f t="shared" ref="R38:T38" si="232">IF(S38=1,1,RANDBETWEEN(0,1))</f>
        <v>1</v>
      </c>
      <c r="S38" s="7">
        <f t="shared" si="232"/>
        <v>1</v>
      </c>
      <c r="T38" s="7">
        <f t="shared" si="232"/>
        <v>1</v>
      </c>
      <c r="U38" s="7">
        <f t="shared" si="19"/>
        <v>1</v>
      </c>
      <c r="V38" s="7">
        <f t="shared" ref="V38:X38" si="233">IF(W38=1,1,RANDBETWEEN(0,1))</f>
        <v>1</v>
      </c>
      <c r="W38" s="7">
        <f t="shared" si="233"/>
        <v>1</v>
      </c>
      <c r="X38" s="7">
        <f t="shared" si="233"/>
        <v>0</v>
      </c>
      <c r="Y38" s="7">
        <f t="shared" si="21"/>
        <v>0</v>
      </c>
      <c r="Z38" s="7">
        <f t="shared" ref="Z38:AB38" si="234">IF(AA38=1,1,RANDBETWEEN(0,1))</f>
        <v>1</v>
      </c>
      <c r="AA38" s="7">
        <f t="shared" si="234"/>
        <v>1</v>
      </c>
      <c r="AB38" s="7">
        <f t="shared" si="234"/>
        <v>1</v>
      </c>
      <c r="AC38" s="7">
        <f t="shared" si="23"/>
        <v>1</v>
      </c>
      <c r="AD38" s="7">
        <f t="shared" ref="AD38:AF38" si="235">IF(AE38=1,1,RANDBETWEEN(0,1))</f>
        <v>0</v>
      </c>
      <c r="AE38" s="7">
        <f t="shared" si="235"/>
        <v>0</v>
      </c>
      <c r="AF38" s="7">
        <f t="shared" si="235"/>
        <v>0</v>
      </c>
      <c r="AG38" s="7">
        <f t="shared" si="25"/>
        <v>0</v>
      </c>
    </row>
    <row r="39">
      <c r="A39" s="4" t="s">
        <v>141</v>
      </c>
      <c r="B39" s="4" t="s">
        <v>142</v>
      </c>
      <c r="C39" s="4" t="s">
        <v>143</v>
      </c>
      <c r="D39" s="5">
        <v>14553.0</v>
      </c>
      <c r="E39" s="6">
        <f t="shared" si="7"/>
        <v>948</v>
      </c>
      <c r="F39" s="7">
        <f t="shared" ref="F39:G39" si="236">ROUND(RAND(),2)</f>
        <v>0.73</v>
      </c>
      <c r="G39" s="7">
        <f t="shared" si="236"/>
        <v>0.79</v>
      </c>
      <c r="H39" s="7">
        <f t="shared" si="9"/>
        <v>2</v>
      </c>
      <c r="I39" s="7">
        <f t="shared" si="10"/>
        <v>36202</v>
      </c>
      <c r="J39" s="7">
        <f t="shared" si="11"/>
        <v>8296</v>
      </c>
      <c r="K39" s="7" t="str">
        <f t="shared" si="12"/>
        <v>F</v>
      </c>
      <c r="L39" s="7" t="str">
        <f t="shared" si="13"/>
        <v>Transformative change</v>
      </c>
      <c r="M39" s="7" t="str">
        <f t="shared" si="14"/>
        <v>Low</v>
      </c>
      <c r="N39" s="7">
        <f t="shared" si="15"/>
        <v>2122061</v>
      </c>
      <c r="O39" s="7">
        <f t="shared" si="16"/>
        <v>1966190.664</v>
      </c>
      <c r="P39" s="7">
        <f t="shared" ref="P39:Q39" si="237">RANDBETWEEN(0,22)</f>
        <v>7</v>
      </c>
      <c r="Q39" s="7">
        <f t="shared" si="237"/>
        <v>11</v>
      </c>
      <c r="R39" s="7">
        <f t="shared" ref="R39:T39" si="238">IF(S39=1,1,RANDBETWEEN(0,1))</f>
        <v>1</v>
      </c>
      <c r="S39" s="7">
        <f t="shared" si="238"/>
        <v>1</v>
      </c>
      <c r="T39" s="7">
        <f t="shared" si="238"/>
        <v>1</v>
      </c>
      <c r="U39" s="7">
        <f t="shared" si="19"/>
        <v>1</v>
      </c>
      <c r="V39" s="7">
        <f t="shared" ref="V39:X39" si="239">IF(W39=1,1,RANDBETWEEN(0,1))</f>
        <v>1</v>
      </c>
      <c r="W39" s="7">
        <f t="shared" si="239"/>
        <v>1</v>
      </c>
      <c r="X39" s="7">
        <f t="shared" si="239"/>
        <v>0</v>
      </c>
      <c r="Y39" s="7">
        <f t="shared" si="21"/>
        <v>0</v>
      </c>
      <c r="Z39" s="7">
        <f t="shared" ref="Z39:AB39" si="240">IF(AA39=1,1,RANDBETWEEN(0,1))</f>
        <v>1</v>
      </c>
      <c r="AA39" s="7">
        <f t="shared" si="240"/>
        <v>1</v>
      </c>
      <c r="AB39" s="7">
        <f t="shared" si="240"/>
        <v>1</v>
      </c>
      <c r="AC39" s="7">
        <f t="shared" si="23"/>
        <v>1</v>
      </c>
      <c r="AD39" s="7">
        <f t="shared" ref="AD39:AF39" si="241">IF(AE39=1,1,RANDBETWEEN(0,1))</f>
        <v>1</v>
      </c>
      <c r="AE39" s="7">
        <f t="shared" si="241"/>
        <v>1</v>
      </c>
      <c r="AF39" s="7">
        <f t="shared" si="241"/>
        <v>1</v>
      </c>
      <c r="AG39" s="7">
        <f t="shared" si="25"/>
        <v>1</v>
      </c>
    </row>
    <row r="40">
      <c r="A40" s="4" t="s">
        <v>144</v>
      </c>
      <c r="B40" s="4" t="s">
        <v>145</v>
      </c>
      <c r="C40" s="4" t="s">
        <v>146</v>
      </c>
      <c r="D40" s="5">
        <v>11856.0</v>
      </c>
      <c r="E40" s="6">
        <f t="shared" si="7"/>
        <v>1034</v>
      </c>
      <c r="F40" s="7">
        <f t="shared" ref="F40:G40" si="242">ROUND(RAND(),2)</f>
        <v>0.35</v>
      </c>
      <c r="G40" s="7">
        <f t="shared" si="242"/>
        <v>0.87</v>
      </c>
      <c r="H40" s="7">
        <f t="shared" si="9"/>
        <v>5</v>
      </c>
      <c r="I40" s="7">
        <f t="shared" si="10"/>
        <v>21207</v>
      </c>
      <c r="J40" s="7">
        <f t="shared" si="11"/>
        <v>66035</v>
      </c>
      <c r="K40" s="7" t="str">
        <f t="shared" si="12"/>
        <v>B</v>
      </c>
      <c r="L40" s="7" t="str">
        <f t="shared" si="13"/>
        <v>Transformative change</v>
      </c>
      <c r="M40" s="7" t="str">
        <f t="shared" si="14"/>
        <v>High</v>
      </c>
      <c r="N40" s="7">
        <f t="shared" si="15"/>
        <v>3958818</v>
      </c>
      <c r="O40" s="7">
        <f t="shared" si="16"/>
        <v>220157.6817</v>
      </c>
      <c r="P40" s="7">
        <f t="shared" ref="P40:Q40" si="243">RANDBETWEEN(0,22)</f>
        <v>6</v>
      </c>
      <c r="Q40" s="7">
        <f t="shared" si="243"/>
        <v>17</v>
      </c>
      <c r="R40" s="7">
        <f t="shared" ref="R40:T40" si="244">IF(S40=1,1,RANDBETWEEN(0,1))</f>
        <v>1</v>
      </c>
      <c r="S40" s="7">
        <f t="shared" si="244"/>
        <v>1</v>
      </c>
      <c r="T40" s="7">
        <f t="shared" si="244"/>
        <v>1</v>
      </c>
      <c r="U40" s="7">
        <f t="shared" si="19"/>
        <v>1</v>
      </c>
      <c r="V40" s="7">
        <f t="shared" ref="V40:X40" si="245">IF(W40=1,1,RANDBETWEEN(0,1))</f>
        <v>1</v>
      </c>
      <c r="W40" s="7">
        <f t="shared" si="245"/>
        <v>1</v>
      </c>
      <c r="X40" s="7">
        <f t="shared" si="245"/>
        <v>1</v>
      </c>
      <c r="Y40" s="7">
        <f t="shared" si="21"/>
        <v>1</v>
      </c>
      <c r="Z40" s="7">
        <f t="shared" ref="Z40:AB40" si="246">IF(AA40=1,1,RANDBETWEEN(0,1))</f>
        <v>1</v>
      </c>
      <c r="AA40" s="7">
        <f t="shared" si="246"/>
        <v>1</v>
      </c>
      <c r="AB40" s="7">
        <f t="shared" si="246"/>
        <v>1</v>
      </c>
      <c r="AC40" s="7">
        <f t="shared" si="23"/>
        <v>1</v>
      </c>
      <c r="AD40" s="7">
        <f t="shared" ref="AD40:AF40" si="247">IF(AE40=1,1,RANDBETWEEN(0,1))</f>
        <v>1</v>
      </c>
      <c r="AE40" s="7">
        <f t="shared" si="247"/>
        <v>1</v>
      </c>
      <c r="AF40" s="7">
        <f t="shared" si="247"/>
        <v>1</v>
      </c>
      <c r="AG40" s="7">
        <f t="shared" si="25"/>
        <v>1</v>
      </c>
    </row>
    <row r="41">
      <c r="A41" s="4" t="s">
        <v>147</v>
      </c>
      <c r="B41" s="4" t="s">
        <v>148</v>
      </c>
      <c r="C41" s="4" t="s">
        <v>149</v>
      </c>
      <c r="D41" s="5">
        <v>72796.0</v>
      </c>
      <c r="E41" s="6">
        <f t="shared" si="7"/>
        <v>884</v>
      </c>
      <c r="F41" s="7">
        <f t="shared" ref="F41:G41" si="248">ROUND(RAND(),2)</f>
        <v>0.5</v>
      </c>
      <c r="G41" s="7">
        <f t="shared" si="248"/>
        <v>0.11</v>
      </c>
      <c r="H41" s="7">
        <f t="shared" si="9"/>
        <v>3</v>
      </c>
      <c r="I41" s="7">
        <f t="shared" si="10"/>
        <v>58339</v>
      </c>
      <c r="J41" s="7">
        <f t="shared" si="11"/>
        <v>5870</v>
      </c>
      <c r="K41" s="7" t="str">
        <f t="shared" si="12"/>
        <v>A</v>
      </c>
      <c r="L41" s="7" t="str">
        <f t="shared" si="13"/>
        <v>Transformative change</v>
      </c>
      <c r="M41" s="7" t="str">
        <f t="shared" si="14"/>
        <v>Medium</v>
      </c>
      <c r="N41" s="7">
        <f t="shared" si="15"/>
        <v>2274266</v>
      </c>
      <c r="O41" s="7">
        <f t="shared" si="16"/>
        <v>878664.168</v>
      </c>
      <c r="P41" s="7">
        <f t="shared" ref="P41:Q41" si="249">RANDBETWEEN(0,22)</f>
        <v>16</v>
      </c>
      <c r="Q41" s="7">
        <f t="shared" si="249"/>
        <v>16</v>
      </c>
      <c r="R41" s="7">
        <f t="shared" ref="R41:T41" si="250">IF(S41=1,1,RANDBETWEEN(0,1))</f>
        <v>1</v>
      </c>
      <c r="S41" s="7">
        <f t="shared" si="250"/>
        <v>1</v>
      </c>
      <c r="T41" s="7">
        <f t="shared" si="250"/>
        <v>1</v>
      </c>
      <c r="U41" s="7">
        <f t="shared" si="19"/>
        <v>0</v>
      </c>
      <c r="V41" s="7">
        <f t="shared" ref="V41:X41" si="251">IF(W41=1,1,RANDBETWEEN(0,1))</f>
        <v>1</v>
      </c>
      <c r="W41" s="7">
        <f t="shared" si="251"/>
        <v>1</v>
      </c>
      <c r="X41" s="7">
        <f t="shared" si="251"/>
        <v>1</v>
      </c>
      <c r="Y41" s="7">
        <f t="shared" si="21"/>
        <v>1</v>
      </c>
      <c r="Z41" s="7">
        <f t="shared" ref="Z41:AB41" si="252">IF(AA41=1,1,RANDBETWEEN(0,1))</f>
        <v>1</v>
      </c>
      <c r="AA41" s="7">
        <f t="shared" si="252"/>
        <v>1</v>
      </c>
      <c r="AB41" s="7">
        <f t="shared" si="252"/>
        <v>1</v>
      </c>
      <c r="AC41" s="7">
        <f t="shared" si="23"/>
        <v>0</v>
      </c>
      <c r="AD41" s="7">
        <f t="shared" ref="AD41:AF41" si="253">IF(AE41=1,1,RANDBETWEEN(0,1))</f>
        <v>1</v>
      </c>
      <c r="AE41" s="7">
        <f t="shared" si="253"/>
        <v>1</v>
      </c>
      <c r="AF41" s="7">
        <f t="shared" si="253"/>
        <v>1</v>
      </c>
      <c r="AG41" s="7">
        <f t="shared" si="25"/>
        <v>1</v>
      </c>
    </row>
    <row r="42">
      <c r="A42" s="4" t="s">
        <v>150</v>
      </c>
      <c r="B42" s="4" t="s">
        <v>151</v>
      </c>
      <c r="C42" s="4" t="s">
        <v>152</v>
      </c>
      <c r="D42" s="5">
        <v>7633.0</v>
      </c>
      <c r="E42" s="6">
        <f t="shared" si="7"/>
        <v>918</v>
      </c>
      <c r="F42" s="7">
        <f t="shared" ref="F42:G42" si="254">ROUND(RAND(),2)</f>
        <v>0.2</v>
      </c>
      <c r="G42" s="7">
        <f t="shared" si="254"/>
        <v>0.04</v>
      </c>
      <c r="H42" s="7">
        <f t="shared" si="9"/>
        <v>2</v>
      </c>
      <c r="I42" s="7">
        <f t="shared" si="10"/>
        <v>37743</v>
      </c>
      <c r="J42" s="7">
        <f t="shared" si="11"/>
        <v>14111</v>
      </c>
      <c r="K42" s="7" t="str">
        <f t="shared" si="12"/>
        <v>C</v>
      </c>
      <c r="L42" s="7" t="str">
        <f t="shared" si="13"/>
        <v>Transformative change</v>
      </c>
      <c r="M42" s="7" t="str">
        <f t="shared" si="14"/>
        <v>Medium</v>
      </c>
      <c r="N42" s="7">
        <f t="shared" si="15"/>
        <v>2294034</v>
      </c>
      <c r="O42" s="7">
        <f t="shared" si="16"/>
        <v>1436290.521</v>
      </c>
      <c r="P42" s="7">
        <f t="shared" ref="P42:Q42" si="255">RANDBETWEEN(0,22)</f>
        <v>15</v>
      </c>
      <c r="Q42" s="7">
        <f t="shared" si="255"/>
        <v>17</v>
      </c>
      <c r="R42" s="7">
        <f t="shared" ref="R42:T42" si="256">IF(S42=1,1,RANDBETWEEN(0,1))</f>
        <v>1</v>
      </c>
      <c r="S42" s="7">
        <f t="shared" si="256"/>
        <v>1</v>
      </c>
      <c r="T42" s="7">
        <f t="shared" si="256"/>
        <v>1</v>
      </c>
      <c r="U42" s="7">
        <f t="shared" si="19"/>
        <v>1</v>
      </c>
      <c r="V42" s="7">
        <f t="shared" ref="V42:X42" si="257">IF(W42=1,1,RANDBETWEEN(0,1))</f>
        <v>1</v>
      </c>
      <c r="W42" s="7">
        <f t="shared" si="257"/>
        <v>1</v>
      </c>
      <c r="X42" s="7">
        <f t="shared" si="257"/>
        <v>1</v>
      </c>
      <c r="Y42" s="7">
        <f t="shared" si="21"/>
        <v>1</v>
      </c>
      <c r="Z42" s="7">
        <f t="shared" ref="Z42:AB42" si="258">IF(AA42=1,1,RANDBETWEEN(0,1))</f>
        <v>1</v>
      </c>
      <c r="AA42" s="7">
        <f t="shared" si="258"/>
        <v>1</v>
      </c>
      <c r="AB42" s="7">
        <f t="shared" si="258"/>
        <v>1</v>
      </c>
      <c r="AC42" s="7">
        <f t="shared" si="23"/>
        <v>1</v>
      </c>
      <c r="AD42" s="7">
        <f t="shared" ref="AD42:AF42" si="259">IF(AE42=1,1,RANDBETWEEN(0,1))</f>
        <v>1</v>
      </c>
      <c r="AE42" s="7">
        <f t="shared" si="259"/>
        <v>1</v>
      </c>
      <c r="AF42" s="7">
        <f t="shared" si="259"/>
        <v>1</v>
      </c>
      <c r="AG42" s="7">
        <f t="shared" si="25"/>
        <v>0</v>
      </c>
    </row>
    <row r="43">
      <c r="A43" s="4" t="s">
        <v>153</v>
      </c>
      <c r="B43" s="4" t="s">
        <v>154</v>
      </c>
      <c r="C43" s="4" t="s">
        <v>155</v>
      </c>
      <c r="D43" s="5">
        <v>11891.0</v>
      </c>
      <c r="E43" s="6">
        <f t="shared" si="7"/>
        <v>828</v>
      </c>
      <c r="F43" s="7">
        <f t="shared" ref="F43:G43" si="260">ROUND(RAND(),2)</f>
        <v>0.85</v>
      </c>
      <c r="G43" s="7">
        <f t="shared" si="260"/>
        <v>0.55</v>
      </c>
      <c r="H43" s="7">
        <f t="shared" si="9"/>
        <v>5</v>
      </c>
      <c r="I43" s="7">
        <f t="shared" si="10"/>
        <v>40963</v>
      </c>
      <c r="J43" s="7">
        <f t="shared" si="11"/>
        <v>1929</v>
      </c>
      <c r="K43" s="7" t="str">
        <f t="shared" si="12"/>
        <v>B</v>
      </c>
      <c r="L43" s="7" t="str">
        <f t="shared" si="13"/>
        <v>Transformative change</v>
      </c>
      <c r="M43" s="7" t="str">
        <f t="shared" si="14"/>
        <v>High</v>
      </c>
      <c r="N43" s="7">
        <f t="shared" si="15"/>
        <v>1603735</v>
      </c>
      <c r="O43" s="7">
        <f t="shared" si="16"/>
        <v>929928.7419</v>
      </c>
      <c r="P43" s="7">
        <f t="shared" ref="P43:Q43" si="261">RANDBETWEEN(0,22)</f>
        <v>8</v>
      </c>
      <c r="Q43" s="7">
        <f t="shared" si="261"/>
        <v>19</v>
      </c>
      <c r="R43" s="7">
        <f t="shared" ref="R43:T43" si="262">IF(S43=1,1,RANDBETWEEN(0,1))</f>
        <v>1</v>
      </c>
      <c r="S43" s="7">
        <f t="shared" si="262"/>
        <v>1</v>
      </c>
      <c r="T43" s="7">
        <f t="shared" si="262"/>
        <v>1</v>
      </c>
      <c r="U43" s="7">
        <f t="shared" si="19"/>
        <v>1</v>
      </c>
      <c r="V43" s="7">
        <f t="shared" ref="V43:X43" si="263">IF(W43=1,1,RANDBETWEEN(0,1))</f>
        <v>1</v>
      </c>
      <c r="W43" s="7">
        <f t="shared" si="263"/>
        <v>1</v>
      </c>
      <c r="X43" s="7">
        <f t="shared" si="263"/>
        <v>1</v>
      </c>
      <c r="Y43" s="7">
        <f t="shared" si="21"/>
        <v>0</v>
      </c>
      <c r="Z43" s="7">
        <f t="shared" ref="Z43:AB43" si="264">IF(AA43=1,1,RANDBETWEEN(0,1))</f>
        <v>1</v>
      </c>
      <c r="AA43" s="7">
        <f t="shared" si="264"/>
        <v>1</v>
      </c>
      <c r="AB43" s="7">
        <f t="shared" si="264"/>
        <v>1</v>
      </c>
      <c r="AC43" s="7">
        <f t="shared" si="23"/>
        <v>0</v>
      </c>
      <c r="AD43" s="7">
        <f t="shared" ref="AD43:AF43" si="265">IF(AE43=1,1,RANDBETWEEN(0,1))</f>
        <v>1</v>
      </c>
      <c r="AE43" s="7">
        <f t="shared" si="265"/>
        <v>1</v>
      </c>
      <c r="AF43" s="7">
        <f t="shared" si="265"/>
        <v>1</v>
      </c>
      <c r="AG43" s="7">
        <f t="shared" si="25"/>
        <v>0</v>
      </c>
    </row>
    <row r="44">
      <c r="A44" s="4" t="s">
        <v>156</v>
      </c>
      <c r="B44" s="4" t="s">
        <v>157</v>
      </c>
      <c r="C44" s="4" t="s">
        <v>95</v>
      </c>
      <c r="D44" s="5">
        <v>9767.0</v>
      </c>
      <c r="E44" s="6">
        <f t="shared" si="7"/>
        <v>906</v>
      </c>
      <c r="F44" s="7">
        <f t="shared" ref="F44:G44" si="266">ROUND(RAND(),2)</f>
        <v>0.72</v>
      </c>
      <c r="G44" s="7">
        <f t="shared" si="266"/>
        <v>1</v>
      </c>
      <c r="H44" s="7">
        <f t="shared" si="9"/>
        <v>5</v>
      </c>
      <c r="I44" s="7">
        <f t="shared" si="10"/>
        <v>31004</v>
      </c>
      <c r="J44" s="7">
        <f t="shared" si="11"/>
        <v>28929</v>
      </c>
      <c r="K44" s="7" t="str">
        <f t="shared" si="12"/>
        <v>F</v>
      </c>
      <c r="L44" s="7" t="str">
        <f t="shared" si="13"/>
        <v>Transformative change</v>
      </c>
      <c r="M44" s="7" t="str">
        <f t="shared" si="14"/>
        <v>Low</v>
      </c>
      <c r="N44" s="7">
        <f t="shared" si="15"/>
        <v>1140899</v>
      </c>
      <c r="O44" s="7">
        <f t="shared" si="16"/>
        <v>732604.3349</v>
      </c>
      <c r="P44" s="7">
        <f t="shared" ref="P44:Q44" si="267">RANDBETWEEN(0,22)</f>
        <v>15</v>
      </c>
      <c r="Q44" s="7">
        <f t="shared" si="267"/>
        <v>8</v>
      </c>
      <c r="R44" s="7">
        <f t="shared" ref="R44:T44" si="268">IF(S44=1,1,RANDBETWEEN(0,1))</f>
        <v>0</v>
      </c>
      <c r="S44" s="7">
        <f t="shared" si="268"/>
        <v>0</v>
      </c>
      <c r="T44" s="7">
        <f t="shared" si="268"/>
        <v>0</v>
      </c>
      <c r="U44" s="7">
        <f t="shared" si="19"/>
        <v>0</v>
      </c>
      <c r="V44" s="7">
        <f t="shared" ref="V44:X44" si="269">IF(W44=1,1,RANDBETWEEN(0,1))</f>
        <v>1</v>
      </c>
      <c r="W44" s="7">
        <f t="shared" si="269"/>
        <v>1</v>
      </c>
      <c r="X44" s="7">
        <f t="shared" si="269"/>
        <v>0</v>
      </c>
      <c r="Y44" s="7">
        <f t="shared" si="21"/>
        <v>0</v>
      </c>
      <c r="Z44" s="7">
        <f t="shared" ref="Z44:AB44" si="270">IF(AA44=1,1,RANDBETWEEN(0,1))</f>
        <v>1</v>
      </c>
      <c r="AA44" s="7">
        <f t="shared" si="270"/>
        <v>1</v>
      </c>
      <c r="AB44" s="7">
        <f t="shared" si="270"/>
        <v>1</v>
      </c>
      <c r="AC44" s="7">
        <f t="shared" si="23"/>
        <v>1</v>
      </c>
      <c r="AD44" s="7">
        <f t="shared" ref="AD44:AF44" si="271">IF(AE44=1,1,RANDBETWEEN(0,1))</f>
        <v>1</v>
      </c>
      <c r="AE44" s="7">
        <f t="shared" si="271"/>
        <v>1</v>
      </c>
      <c r="AF44" s="7">
        <f t="shared" si="271"/>
        <v>1</v>
      </c>
      <c r="AG44" s="7">
        <f t="shared" si="25"/>
        <v>1</v>
      </c>
    </row>
    <row r="45">
      <c r="A45" s="4" t="s">
        <v>158</v>
      </c>
      <c r="B45" s="4" t="s">
        <v>159</v>
      </c>
      <c r="C45" s="4" t="s">
        <v>160</v>
      </c>
      <c r="D45" s="5">
        <v>19467.0</v>
      </c>
      <c r="E45" s="6">
        <f t="shared" si="7"/>
        <v>813</v>
      </c>
      <c r="F45" s="7">
        <f t="shared" ref="F45:G45" si="272">ROUND(RAND(),2)</f>
        <v>0.77</v>
      </c>
      <c r="G45" s="7">
        <f t="shared" si="272"/>
        <v>0.07</v>
      </c>
      <c r="H45" s="7">
        <f t="shared" si="9"/>
        <v>2</v>
      </c>
      <c r="I45" s="7">
        <f t="shared" si="10"/>
        <v>42172</v>
      </c>
      <c r="J45" s="7">
        <f t="shared" si="11"/>
        <v>9052</v>
      </c>
      <c r="K45" s="7" t="str">
        <f t="shared" si="12"/>
        <v>F</v>
      </c>
      <c r="L45" s="7" t="str">
        <f t="shared" si="13"/>
        <v>Transformative change</v>
      </c>
      <c r="M45" s="7" t="str">
        <f t="shared" si="14"/>
        <v>Medium</v>
      </c>
      <c r="N45" s="7">
        <f t="shared" si="15"/>
        <v>1308549</v>
      </c>
      <c r="O45" s="7">
        <f t="shared" si="16"/>
        <v>1063639.179</v>
      </c>
      <c r="P45" s="7">
        <f t="shared" ref="P45:Q45" si="273">RANDBETWEEN(0,22)</f>
        <v>14</v>
      </c>
      <c r="Q45" s="7">
        <f t="shared" si="273"/>
        <v>11</v>
      </c>
      <c r="R45" s="7">
        <f t="shared" ref="R45:T45" si="274">IF(S45=1,1,RANDBETWEEN(0,1))</f>
        <v>0</v>
      </c>
      <c r="S45" s="7">
        <f t="shared" si="274"/>
        <v>0</v>
      </c>
      <c r="T45" s="7">
        <f t="shared" si="274"/>
        <v>0</v>
      </c>
      <c r="U45" s="7">
        <f t="shared" si="19"/>
        <v>0</v>
      </c>
      <c r="V45" s="7">
        <f t="shared" ref="V45:X45" si="275">IF(W45=1,1,RANDBETWEEN(0,1))</f>
        <v>1</v>
      </c>
      <c r="W45" s="7">
        <f t="shared" si="275"/>
        <v>1</v>
      </c>
      <c r="X45" s="7">
        <f t="shared" si="275"/>
        <v>1</v>
      </c>
      <c r="Y45" s="7">
        <f t="shared" si="21"/>
        <v>1</v>
      </c>
      <c r="Z45" s="7">
        <f t="shared" ref="Z45:AB45" si="276">IF(AA45=1,1,RANDBETWEEN(0,1))</f>
        <v>1</v>
      </c>
      <c r="AA45" s="7">
        <f t="shared" si="276"/>
        <v>1</v>
      </c>
      <c r="AB45" s="7">
        <f t="shared" si="276"/>
        <v>1</v>
      </c>
      <c r="AC45" s="7">
        <f t="shared" si="23"/>
        <v>0</v>
      </c>
      <c r="AD45" s="7">
        <f t="shared" ref="AD45:AF45" si="277">IF(AE45=1,1,RANDBETWEEN(0,1))</f>
        <v>1</v>
      </c>
      <c r="AE45" s="7">
        <f t="shared" si="277"/>
        <v>1</v>
      </c>
      <c r="AF45" s="7">
        <f t="shared" si="277"/>
        <v>1</v>
      </c>
      <c r="AG45" s="7">
        <f t="shared" si="25"/>
        <v>0</v>
      </c>
    </row>
    <row r="46">
      <c r="A46" s="4" t="s">
        <v>161</v>
      </c>
      <c r="B46" s="4" t="s">
        <v>162</v>
      </c>
      <c r="C46" s="4" t="s">
        <v>95</v>
      </c>
      <c r="D46" s="5">
        <v>16315.0</v>
      </c>
      <c r="E46" s="6">
        <f t="shared" si="7"/>
        <v>960</v>
      </c>
      <c r="F46" s="7">
        <f t="shared" ref="F46:G46" si="278">ROUND(RAND(),2)</f>
        <v>0.96</v>
      </c>
      <c r="G46" s="7">
        <f t="shared" si="278"/>
        <v>0.55</v>
      </c>
      <c r="H46" s="7">
        <f t="shared" si="9"/>
        <v>3</v>
      </c>
      <c r="I46" s="7">
        <f t="shared" si="10"/>
        <v>9144</v>
      </c>
      <c r="J46" s="7">
        <f t="shared" si="11"/>
        <v>80662</v>
      </c>
      <c r="K46" s="7" t="str">
        <f t="shared" si="12"/>
        <v>B</v>
      </c>
      <c r="L46" s="7" t="str">
        <f t="shared" si="13"/>
        <v>Transformative change</v>
      </c>
      <c r="M46" s="7" t="str">
        <f t="shared" si="14"/>
        <v>Medium</v>
      </c>
      <c r="N46" s="7">
        <f t="shared" si="15"/>
        <v>3184302</v>
      </c>
      <c r="O46" s="7">
        <f t="shared" si="16"/>
        <v>2760321.008</v>
      </c>
      <c r="P46" s="7">
        <f t="shared" ref="P46:Q46" si="279">RANDBETWEEN(0,22)</f>
        <v>21</v>
      </c>
      <c r="Q46" s="7">
        <f t="shared" si="279"/>
        <v>22</v>
      </c>
      <c r="R46" s="7">
        <f t="shared" ref="R46:T46" si="280">IF(S46=1,1,RANDBETWEEN(0,1))</f>
        <v>1</v>
      </c>
      <c r="S46" s="7">
        <f t="shared" si="280"/>
        <v>1</v>
      </c>
      <c r="T46" s="7">
        <f t="shared" si="280"/>
        <v>1</v>
      </c>
      <c r="U46" s="7">
        <f t="shared" si="19"/>
        <v>1</v>
      </c>
      <c r="V46" s="7">
        <f t="shared" ref="V46:X46" si="281">IF(W46=1,1,RANDBETWEEN(0,1))</f>
        <v>1</v>
      </c>
      <c r="W46" s="7">
        <f t="shared" si="281"/>
        <v>1</v>
      </c>
      <c r="X46" s="7">
        <f t="shared" si="281"/>
        <v>1</v>
      </c>
      <c r="Y46" s="7">
        <f t="shared" si="21"/>
        <v>1</v>
      </c>
      <c r="Z46" s="7">
        <f t="shared" ref="Z46:AB46" si="282">IF(AA46=1,1,RANDBETWEEN(0,1))</f>
        <v>1</v>
      </c>
      <c r="AA46" s="7">
        <f t="shared" si="282"/>
        <v>1</v>
      </c>
      <c r="AB46" s="7">
        <f t="shared" si="282"/>
        <v>1</v>
      </c>
      <c r="AC46" s="7">
        <f t="shared" si="23"/>
        <v>1</v>
      </c>
      <c r="AD46" s="7">
        <f t="shared" ref="AD46:AF46" si="283">IF(AE46=1,1,RANDBETWEEN(0,1))</f>
        <v>1</v>
      </c>
      <c r="AE46" s="7">
        <f t="shared" si="283"/>
        <v>1</v>
      </c>
      <c r="AF46" s="7">
        <f t="shared" si="283"/>
        <v>1</v>
      </c>
      <c r="AG46" s="7">
        <f t="shared" si="25"/>
        <v>0</v>
      </c>
    </row>
    <row r="47">
      <c r="A47" s="4" t="s">
        <v>163</v>
      </c>
      <c r="B47" s="4" t="s">
        <v>164</v>
      </c>
      <c r="C47" s="4" t="s">
        <v>165</v>
      </c>
      <c r="D47" s="5">
        <v>16969.0</v>
      </c>
      <c r="E47" s="6">
        <f t="shared" si="7"/>
        <v>1039</v>
      </c>
      <c r="F47" s="7">
        <f t="shared" ref="F47:G47" si="284">ROUND(RAND(),2)</f>
        <v>0.77</v>
      </c>
      <c r="G47" s="7">
        <f t="shared" si="284"/>
        <v>0.99</v>
      </c>
      <c r="H47" s="7">
        <f t="shared" si="9"/>
        <v>5</v>
      </c>
      <c r="I47" s="7">
        <f t="shared" si="10"/>
        <v>51725</v>
      </c>
      <c r="J47" s="7">
        <f t="shared" si="11"/>
        <v>6926</v>
      </c>
      <c r="K47" s="7" t="str">
        <f t="shared" si="12"/>
        <v>G</v>
      </c>
      <c r="L47" s="7" t="str">
        <f t="shared" si="13"/>
        <v>Transformative change</v>
      </c>
      <c r="M47" s="7" t="str">
        <f t="shared" si="14"/>
        <v>Medium</v>
      </c>
      <c r="N47" s="7">
        <f t="shared" si="15"/>
        <v>545043</v>
      </c>
      <c r="O47" s="7">
        <f t="shared" si="16"/>
        <v>362924.9322</v>
      </c>
      <c r="P47" s="7">
        <f t="shared" ref="P47:Q47" si="285">RANDBETWEEN(0,22)</f>
        <v>13</v>
      </c>
      <c r="Q47" s="7">
        <f t="shared" si="285"/>
        <v>16</v>
      </c>
      <c r="R47" s="7">
        <f t="shared" ref="R47:T47" si="286">IF(S47=1,1,RANDBETWEEN(0,1))</f>
        <v>1</v>
      </c>
      <c r="S47" s="7">
        <f t="shared" si="286"/>
        <v>1</v>
      </c>
      <c r="T47" s="7">
        <f t="shared" si="286"/>
        <v>0</v>
      </c>
      <c r="U47" s="7">
        <f t="shared" si="19"/>
        <v>0</v>
      </c>
      <c r="V47" s="7">
        <f t="shared" ref="V47:X47" si="287">IF(W47=1,1,RANDBETWEEN(0,1))</f>
        <v>1</v>
      </c>
      <c r="W47" s="7">
        <f t="shared" si="287"/>
        <v>1</v>
      </c>
      <c r="X47" s="7">
        <f t="shared" si="287"/>
        <v>1</v>
      </c>
      <c r="Y47" s="7">
        <f t="shared" si="21"/>
        <v>1</v>
      </c>
      <c r="Z47" s="7">
        <f t="shared" ref="Z47:AB47" si="288">IF(AA47=1,1,RANDBETWEEN(0,1))</f>
        <v>1</v>
      </c>
      <c r="AA47" s="7">
        <f t="shared" si="288"/>
        <v>1</v>
      </c>
      <c r="AB47" s="7">
        <f t="shared" si="288"/>
        <v>1</v>
      </c>
      <c r="AC47" s="7">
        <f t="shared" si="23"/>
        <v>0</v>
      </c>
      <c r="AD47" s="7">
        <f t="shared" ref="AD47:AF47" si="289">IF(AE47=1,1,RANDBETWEEN(0,1))</f>
        <v>1</v>
      </c>
      <c r="AE47" s="7">
        <f t="shared" si="289"/>
        <v>1</v>
      </c>
      <c r="AF47" s="7">
        <f t="shared" si="289"/>
        <v>1</v>
      </c>
      <c r="AG47" s="7">
        <f t="shared" si="25"/>
        <v>1</v>
      </c>
    </row>
    <row r="48">
      <c r="A48" s="4" t="s">
        <v>166</v>
      </c>
      <c r="B48" s="4" t="s">
        <v>167</v>
      </c>
      <c r="C48" s="4" t="s">
        <v>168</v>
      </c>
      <c r="D48" s="5">
        <v>14235.0</v>
      </c>
      <c r="E48" s="6">
        <f t="shared" si="7"/>
        <v>940</v>
      </c>
      <c r="F48" s="7">
        <f t="shared" ref="F48:G48" si="290">ROUND(RAND(),2)</f>
        <v>0.83</v>
      </c>
      <c r="G48" s="7">
        <f t="shared" si="290"/>
        <v>0.45</v>
      </c>
      <c r="H48" s="7">
        <f t="shared" si="9"/>
        <v>5</v>
      </c>
      <c r="I48" s="7">
        <f t="shared" si="10"/>
        <v>91072</v>
      </c>
      <c r="J48" s="7">
        <f t="shared" si="11"/>
        <v>52705</v>
      </c>
      <c r="K48" s="7" t="str">
        <f t="shared" si="12"/>
        <v>D</v>
      </c>
      <c r="L48" s="7" t="str">
        <f t="shared" si="13"/>
        <v>Transformative change</v>
      </c>
      <c r="M48" s="7" t="str">
        <f t="shared" si="14"/>
        <v>High</v>
      </c>
      <c r="N48" s="7">
        <f t="shared" si="15"/>
        <v>2517811</v>
      </c>
      <c r="O48" s="7">
        <f t="shared" si="16"/>
        <v>910704.5153</v>
      </c>
      <c r="P48" s="7">
        <f t="shared" ref="P48:Q48" si="291">RANDBETWEEN(0,22)</f>
        <v>19</v>
      </c>
      <c r="Q48" s="7">
        <f t="shared" si="291"/>
        <v>4</v>
      </c>
      <c r="R48" s="7">
        <f t="shared" ref="R48:T48" si="292">IF(S48=1,1,RANDBETWEEN(0,1))</f>
        <v>1</v>
      </c>
      <c r="S48" s="7">
        <f t="shared" si="292"/>
        <v>1</v>
      </c>
      <c r="T48" s="7">
        <f t="shared" si="292"/>
        <v>1</v>
      </c>
      <c r="U48" s="7">
        <f t="shared" si="19"/>
        <v>1</v>
      </c>
      <c r="V48" s="7">
        <f t="shared" ref="V48:X48" si="293">IF(W48=1,1,RANDBETWEEN(0,1))</f>
        <v>1</v>
      </c>
      <c r="W48" s="7">
        <f t="shared" si="293"/>
        <v>1</v>
      </c>
      <c r="X48" s="7">
        <f t="shared" si="293"/>
        <v>1</v>
      </c>
      <c r="Y48" s="7">
        <f t="shared" si="21"/>
        <v>1</v>
      </c>
      <c r="Z48" s="7">
        <f t="shared" ref="Z48:AB48" si="294">IF(AA48=1,1,RANDBETWEEN(0,1))</f>
        <v>1</v>
      </c>
      <c r="AA48" s="7">
        <f t="shared" si="294"/>
        <v>1</v>
      </c>
      <c r="AB48" s="7">
        <f t="shared" si="294"/>
        <v>1</v>
      </c>
      <c r="AC48" s="7">
        <f t="shared" si="23"/>
        <v>1</v>
      </c>
      <c r="AD48" s="7">
        <f t="shared" ref="AD48:AF48" si="295">IF(AE48=1,1,RANDBETWEEN(0,1))</f>
        <v>1</v>
      </c>
      <c r="AE48" s="7">
        <f t="shared" si="295"/>
        <v>1</v>
      </c>
      <c r="AF48" s="7">
        <f t="shared" si="295"/>
        <v>1</v>
      </c>
      <c r="AG48" s="7">
        <f t="shared" si="25"/>
        <v>0</v>
      </c>
    </row>
    <row r="49">
      <c r="A49" s="4" t="s">
        <v>169</v>
      </c>
      <c r="B49" s="4" t="s">
        <v>170</v>
      </c>
      <c r="C49" s="4" t="s">
        <v>171</v>
      </c>
      <c r="D49" s="5">
        <v>441183.0</v>
      </c>
      <c r="E49" s="6">
        <f t="shared" si="7"/>
        <v>1148.91</v>
      </c>
      <c r="F49" s="7">
        <f t="shared" ref="F49:G49" si="296">ROUND(RAND(),2)</f>
        <v>0.93</v>
      </c>
      <c r="G49" s="7">
        <f t="shared" si="296"/>
        <v>0.17</v>
      </c>
      <c r="H49" s="7">
        <f t="shared" si="9"/>
        <v>5</v>
      </c>
      <c r="I49" s="7">
        <f t="shared" si="10"/>
        <v>40057</v>
      </c>
      <c r="J49" s="7">
        <f t="shared" si="11"/>
        <v>39218</v>
      </c>
      <c r="K49" s="7" t="str">
        <f t="shared" si="12"/>
        <v>B</v>
      </c>
      <c r="L49" s="7" t="str">
        <f t="shared" si="13"/>
        <v>Transformative change</v>
      </c>
      <c r="M49" s="7" t="str">
        <f t="shared" si="14"/>
        <v>Low</v>
      </c>
      <c r="N49" s="7">
        <f t="shared" si="15"/>
        <v>2557329</v>
      </c>
      <c r="O49" s="7">
        <f t="shared" si="16"/>
        <v>739792.6612</v>
      </c>
      <c r="P49" s="7">
        <f t="shared" ref="P49:Q49" si="297">RANDBETWEEN(0,22)</f>
        <v>5</v>
      </c>
      <c r="Q49" s="7">
        <f t="shared" si="297"/>
        <v>11</v>
      </c>
      <c r="R49" s="7">
        <f t="shared" ref="R49:T49" si="298">IF(S49=1,1,RANDBETWEEN(0,1))</f>
        <v>1</v>
      </c>
      <c r="S49" s="7">
        <f t="shared" si="298"/>
        <v>1</v>
      </c>
      <c r="T49" s="7">
        <f t="shared" si="298"/>
        <v>1</v>
      </c>
      <c r="U49" s="7">
        <f t="shared" si="19"/>
        <v>0</v>
      </c>
      <c r="V49" s="7">
        <f t="shared" ref="V49:X49" si="299">IF(W49=1,1,RANDBETWEEN(0,1))</f>
        <v>1</v>
      </c>
      <c r="W49" s="7">
        <f t="shared" si="299"/>
        <v>1</v>
      </c>
      <c r="X49" s="7">
        <f t="shared" si="299"/>
        <v>1</v>
      </c>
      <c r="Y49" s="7">
        <f t="shared" si="21"/>
        <v>1</v>
      </c>
      <c r="Z49" s="7">
        <f t="shared" ref="Z49:AB49" si="300">IF(AA49=1,1,RANDBETWEEN(0,1))</f>
        <v>1</v>
      </c>
      <c r="AA49" s="7">
        <f t="shared" si="300"/>
        <v>1</v>
      </c>
      <c r="AB49" s="7">
        <f t="shared" si="300"/>
        <v>1</v>
      </c>
      <c r="AC49" s="7">
        <f t="shared" si="23"/>
        <v>1</v>
      </c>
      <c r="AD49" s="7">
        <f t="shared" ref="AD49:AF49" si="301">IF(AE49=1,1,RANDBETWEEN(0,1))</f>
        <v>1</v>
      </c>
      <c r="AE49" s="7">
        <f t="shared" si="301"/>
        <v>1</v>
      </c>
      <c r="AF49" s="7">
        <f t="shared" si="301"/>
        <v>0</v>
      </c>
      <c r="AG49" s="7">
        <f t="shared" si="25"/>
        <v>0</v>
      </c>
    </row>
    <row r="50">
      <c r="A50" s="4" t="s">
        <v>172</v>
      </c>
      <c r="B50" s="4" t="s">
        <v>173</v>
      </c>
      <c r="C50" s="4" t="s">
        <v>174</v>
      </c>
      <c r="D50" s="5">
        <v>82796.0</v>
      </c>
      <c r="E50" s="6">
        <f t="shared" si="7"/>
        <v>858</v>
      </c>
      <c r="F50" s="7">
        <f t="shared" ref="F50:G50" si="302">ROUND(RAND(),2)</f>
        <v>0.02</v>
      </c>
      <c r="G50" s="7">
        <f t="shared" si="302"/>
        <v>0.8</v>
      </c>
      <c r="H50" s="7">
        <f t="shared" si="9"/>
        <v>3</v>
      </c>
      <c r="I50" s="7">
        <f t="shared" si="10"/>
        <v>37469</v>
      </c>
      <c r="J50" s="7">
        <f t="shared" si="11"/>
        <v>35470</v>
      </c>
      <c r="K50" s="7" t="str">
        <f t="shared" si="12"/>
        <v>F</v>
      </c>
      <c r="L50" s="7" t="str">
        <f t="shared" si="13"/>
        <v>Transformative change</v>
      </c>
      <c r="M50" s="7" t="str">
        <f t="shared" si="14"/>
        <v>High</v>
      </c>
      <c r="N50" s="7">
        <f t="shared" si="15"/>
        <v>1060008</v>
      </c>
      <c r="O50" s="7">
        <f t="shared" si="16"/>
        <v>17378.63784</v>
      </c>
      <c r="P50" s="7">
        <f t="shared" ref="P50:Q50" si="303">RANDBETWEEN(0,22)</f>
        <v>12</v>
      </c>
      <c r="Q50" s="7">
        <f t="shared" si="303"/>
        <v>11</v>
      </c>
      <c r="R50" s="7">
        <f t="shared" ref="R50:T50" si="304">IF(S50=1,1,RANDBETWEEN(0,1))</f>
        <v>1</v>
      </c>
      <c r="S50" s="7">
        <f t="shared" si="304"/>
        <v>1</v>
      </c>
      <c r="T50" s="7">
        <f t="shared" si="304"/>
        <v>1</v>
      </c>
      <c r="U50" s="7">
        <f t="shared" si="19"/>
        <v>0</v>
      </c>
      <c r="V50" s="7">
        <f t="shared" ref="V50:X50" si="305">IF(W50=1,1,RANDBETWEEN(0,1))</f>
        <v>1</v>
      </c>
      <c r="W50" s="7">
        <f t="shared" si="305"/>
        <v>1</v>
      </c>
      <c r="X50" s="7">
        <f t="shared" si="305"/>
        <v>1</v>
      </c>
      <c r="Y50" s="7">
        <f t="shared" si="21"/>
        <v>0</v>
      </c>
      <c r="Z50" s="7">
        <f t="shared" ref="Z50:AB50" si="306">IF(AA50=1,1,RANDBETWEEN(0,1))</f>
        <v>1</v>
      </c>
      <c r="AA50" s="7">
        <f t="shared" si="306"/>
        <v>0</v>
      </c>
      <c r="AB50" s="7">
        <f t="shared" si="306"/>
        <v>0</v>
      </c>
      <c r="AC50" s="7">
        <f t="shared" si="23"/>
        <v>0</v>
      </c>
      <c r="AD50" s="7">
        <f t="shared" ref="AD50:AF50" si="307">IF(AE50=1,1,RANDBETWEEN(0,1))</f>
        <v>1</v>
      </c>
      <c r="AE50" s="7">
        <f t="shared" si="307"/>
        <v>1</v>
      </c>
      <c r="AF50" s="7">
        <f t="shared" si="307"/>
        <v>0</v>
      </c>
      <c r="AG50" s="7">
        <f t="shared" si="25"/>
        <v>0</v>
      </c>
    </row>
    <row r="51">
      <c r="A51" s="4" t="s">
        <v>175</v>
      </c>
      <c r="B51" s="4" t="s">
        <v>176</v>
      </c>
      <c r="C51" s="4" t="s">
        <v>177</v>
      </c>
      <c r="D51" s="5">
        <v>82692.0</v>
      </c>
      <c r="E51" s="6">
        <f t="shared" si="7"/>
        <v>825</v>
      </c>
      <c r="F51" s="7">
        <f t="shared" ref="F51:G51" si="308">ROUND(RAND(),2)</f>
        <v>0.82</v>
      </c>
      <c r="G51" s="7">
        <f t="shared" si="308"/>
        <v>0.36</v>
      </c>
      <c r="H51" s="7">
        <f t="shared" si="9"/>
        <v>5</v>
      </c>
      <c r="I51" s="7">
        <f t="shared" si="10"/>
        <v>45208</v>
      </c>
      <c r="J51" s="7">
        <f t="shared" si="11"/>
        <v>38619</v>
      </c>
      <c r="K51" s="7" t="str">
        <f t="shared" si="12"/>
        <v>E</v>
      </c>
      <c r="L51" s="7" t="str">
        <f t="shared" si="13"/>
        <v>Transformative change</v>
      </c>
      <c r="M51" s="7" t="str">
        <f t="shared" si="14"/>
        <v>Medium</v>
      </c>
      <c r="N51" s="7">
        <f t="shared" si="15"/>
        <v>1883839</v>
      </c>
      <c r="O51" s="7">
        <f t="shared" si="16"/>
        <v>1205758.83</v>
      </c>
      <c r="P51" s="7">
        <f t="shared" ref="P51:Q51" si="309">RANDBETWEEN(0,22)</f>
        <v>17</v>
      </c>
      <c r="Q51" s="7">
        <f t="shared" si="309"/>
        <v>21</v>
      </c>
      <c r="R51" s="7">
        <f t="shared" ref="R51:T51" si="310">IF(S51=1,1,RANDBETWEEN(0,1))</f>
        <v>0</v>
      </c>
      <c r="S51" s="7">
        <f t="shared" si="310"/>
        <v>0</v>
      </c>
      <c r="T51" s="7">
        <f t="shared" si="310"/>
        <v>0</v>
      </c>
      <c r="U51" s="7">
        <f t="shared" si="19"/>
        <v>0</v>
      </c>
      <c r="V51" s="7">
        <f t="shared" ref="V51:X51" si="311">IF(W51=1,1,RANDBETWEEN(0,1))</f>
        <v>1</v>
      </c>
      <c r="W51" s="7">
        <f t="shared" si="311"/>
        <v>0</v>
      </c>
      <c r="X51" s="7">
        <f t="shared" si="311"/>
        <v>0</v>
      </c>
      <c r="Y51" s="7">
        <f t="shared" si="21"/>
        <v>0</v>
      </c>
      <c r="Z51" s="7">
        <f t="shared" ref="Z51:AB51" si="312">IF(AA51=1,1,RANDBETWEEN(0,1))</f>
        <v>1</v>
      </c>
      <c r="AA51" s="7">
        <f t="shared" si="312"/>
        <v>1</v>
      </c>
      <c r="AB51" s="7">
        <f t="shared" si="312"/>
        <v>1</v>
      </c>
      <c r="AC51" s="7">
        <f t="shared" si="23"/>
        <v>1</v>
      </c>
      <c r="AD51" s="7">
        <f t="shared" ref="AD51:AF51" si="313">IF(AE51=1,1,RANDBETWEEN(0,1))</f>
        <v>1</v>
      </c>
      <c r="AE51" s="7">
        <f t="shared" si="313"/>
        <v>1</v>
      </c>
      <c r="AF51" s="7">
        <f t="shared" si="313"/>
        <v>1</v>
      </c>
      <c r="AG51" s="7">
        <f t="shared" si="25"/>
        <v>1</v>
      </c>
    </row>
    <row r="52">
      <c r="A52" s="4" t="s">
        <v>178</v>
      </c>
      <c r="B52" s="4" t="s">
        <v>179</v>
      </c>
      <c r="C52" s="4" t="s">
        <v>180</v>
      </c>
      <c r="D52" s="5">
        <v>11342.0</v>
      </c>
      <c r="E52" s="6">
        <f t="shared" si="7"/>
        <v>818</v>
      </c>
      <c r="F52" s="7">
        <f t="shared" ref="F52:G52" si="314">ROUND(RAND(),2)</f>
        <v>0.78</v>
      </c>
      <c r="G52" s="7">
        <f t="shared" si="314"/>
        <v>0.06</v>
      </c>
      <c r="H52" s="7">
        <f t="shared" si="9"/>
        <v>1</v>
      </c>
      <c r="I52" s="7">
        <f t="shared" si="10"/>
        <v>10615</v>
      </c>
      <c r="J52" s="7">
        <f t="shared" si="11"/>
        <v>8220</v>
      </c>
      <c r="K52" s="7" t="str">
        <f t="shared" si="12"/>
        <v>C</v>
      </c>
      <c r="L52" s="7" t="str">
        <f t="shared" si="13"/>
        <v>Transformative change</v>
      </c>
      <c r="M52" s="7" t="str">
        <f t="shared" si="14"/>
        <v>High</v>
      </c>
      <c r="N52" s="7">
        <f t="shared" si="15"/>
        <v>3421199</v>
      </c>
      <c r="O52" s="7">
        <f t="shared" si="16"/>
        <v>3295660.856</v>
      </c>
      <c r="P52" s="7">
        <f t="shared" ref="P52:Q52" si="315">RANDBETWEEN(0,22)</f>
        <v>11</v>
      </c>
      <c r="Q52" s="7">
        <f t="shared" si="315"/>
        <v>14</v>
      </c>
      <c r="R52" s="7">
        <f t="shared" ref="R52:T52" si="316">IF(S52=1,1,RANDBETWEEN(0,1))</f>
        <v>1</v>
      </c>
      <c r="S52" s="7">
        <f t="shared" si="316"/>
        <v>1</v>
      </c>
      <c r="T52" s="7">
        <f t="shared" si="316"/>
        <v>1</v>
      </c>
      <c r="U52" s="7">
        <f t="shared" si="19"/>
        <v>1</v>
      </c>
      <c r="V52" s="7">
        <f t="shared" ref="V52:X52" si="317">IF(W52=1,1,RANDBETWEEN(0,1))</f>
        <v>1</v>
      </c>
      <c r="W52" s="7">
        <f t="shared" si="317"/>
        <v>1</v>
      </c>
      <c r="X52" s="7">
        <f t="shared" si="317"/>
        <v>1</v>
      </c>
      <c r="Y52" s="7">
        <f t="shared" si="21"/>
        <v>0</v>
      </c>
      <c r="Z52" s="7">
        <f t="shared" ref="Z52:AB52" si="318">IF(AA52=1,1,RANDBETWEEN(0,1))</f>
        <v>1</v>
      </c>
      <c r="AA52" s="7">
        <f t="shared" si="318"/>
        <v>1</v>
      </c>
      <c r="AB52" s="7">
        <f t="shared" si="318"/>
        <v>1</v>
      </c>
      <c r="AC52" s="7">
        <f t="shared" si="23"/>
        <v>0</v>
      </c>
      <c r="AD52" s="7">
        <f t="shared" ref="AD52:AF52" si="319">IF(AE52=1,1,RANDBETWEEN(0,1))</f>
        <v>1</v>
      </c>
      <c r="AE52" s="7">
        <f t="shared" si="319"/>
        <v>1</v>
      </c>
      <c r="AF52" s="7">
        <f t="shared" si="319"/>
        <v>1</v>
      </c>
      <c r="AG52" s="7">
        <f t="shared" si="25"/>
        <v>0</v>
      </c>
    </row>
    <row r="53">
      <c r="A53" s="4" t="s">
        <v>181</v>
      </c>
      <c r="B53" s="4" t="s">
        <v>182</v>
      </c>
      <c r="C53" s="4" t="s">
        <v>183</v>
      </c>
      <c r="D53" s="5">
        <v>15291.0</v>
      </c>
      <c r="E53" s="6">
        <f t="shared" si="7"/>
        <v>995</v>
      </c>
      <c r="F53" s="7">
        <f t="shared" ref="F53:G53" si="320">ROUND(RAND(),2)</f>
        <v>0.06</v>
      </c>
      <c r="G53" s="7">
        <f t="shared" si="320"/>
        <v>0.77</v>
      </c>
      <c r="H53" s="7">
        <f t="shared" si="9"/>
        <v>3</v>
      </c>
      <c r="I53" s="7">
        <f t="shared" si="10"/>
        <v>21473</v>
      </c>
      <c r="J53" s="7">
        <f t="shared" si="11"/>
        <v>61519</v>
      </c>
      <c r="K53" s="7" t="str">
        <f t="shared" si="12"/>
        <v>A</v>
      </c>
      <c r="L53" s="7" t="str">
        <f t="shared" si="13"/>
        <v>Transformative change</v>
      </c>
      <c r="M53" s="7" t="str">
        <f t="shared" si="14"/>
        <v>Medium</v>
      </c>
      <c r="N53" s="7">
        <f t="shared" si="15"/>
        <v>1772669</v>
      </c>
      <c r="O53" s="7">
        <f t="shared" si="16"/>
        <v>1138665.368</v>
      </c>
      <c r="P53" s="7">
        <f t="shared" ref="P53:Q53" si="321">RANDBETWEEN(0,22)</f>
        <v>21</v>
      </c>
      <c r="Q53" s="7">
        <f t="shared" si="321"/>
        <v>7</v>
      </c>
      <c r="R53" s="7">
        <f t="shared" ref="R53:T53" si="322">IF(S53=1,1,RANDBETWEEN(0,1))</f>
        <v>1</v>
      </c>
      <c r="S53" s="7">
        <f t="shared" si="322"/>
        <v>1</v>
      </c>
      <c r="T53" s="7">
        <f t="shared" si="322"/>
        <v>1</v>
      </c>
      <c r="U53" s="7">
        <f t="shared" si="19"/>
        <v>1</v>
      </c>
      <c r="V53" s="7">
        <f t="shared" ref="V53:X53" si="323">IF(W53=1,1,RANDBETWEEN(0,1))</f>
        <v>1</v>
      </c>
      <c r="W53" s="7">
        <f t="shared" si="323"/>
        <v>1</v>
      </c>
      <c r="X53" s="7">
        <f t="shared" si="323"/>
        <v>1</v>
      </c>
      <c r="Y53" s="7">
        <f t="shared" si="21"/>
        <v>0</v>
      </c>
      <c r="Z53" s="7">
        <f t="shared" ref="Z53:AB53" si="324">IF(AA53=1,1,RANDBETWEEN(0,1))</f>
        <v>1</v>
      </c>
      <c r="AA53" s="7">
        <f t="shared" si="324"/>
        <v>1</v>
      </c>
      <c r="AB53" s="7">
        <f t="shared" si="324"/>
        <v>0</v>
      </c>
      <c r="AC53" s="7">
        <f t="shared" si="23"/>
        <v>0</v>
      </c>
      <c r="AD53" s="7">
        <f t="shared" ref="AD53:AF53" si="325">IF(AE53=1,1,RANDBETWEEN(0,1))</f>
        <v>1</v>
      </c>
      <c r="AE53" s="7">
        <f t="shared" si="325"/>
        <v>1</v>
      </c>
      <c r="AF53" s="7">
        <f t="shared" si="325"/>
        <v>1</v>
      </c>
      <c r="AG53" s="7">
        <f t="shared" si="25"/>
        <v>1</v>
      </c>
    </row>
    <row r="54">
      <c r="A54" s="4" t="s">
        <v>184</v>
      </c>
      <c r="B54" s="4" t="s">
        <v>185</v>
      </c>
      <c r="C54" s="4" t="s">
        <v>186</v>
      </c>
      <c r="D54" s="5">
        <v>9912.0</v>
      </c>
      <c r="E54" s="6">
        <f t="shared" si="7"/>
        <v>1062</v>
      </c>
      <c r="F54" s="7">
        <f t="shared" ref="F54:G54" si="326">ROUND(RAND(),2)</f>
        <v>0.29</v>
      </c>
      <c r="G54" s="7">
        <f t="shared" si="326"/>
        <v>0.82</v>
      </c>
      <c r="H54" s="7">
        <f t="shared" si="9"/>
        <v>2</v>
      </c>
      <c r="I54" s="7">
        <f t="shared" si="10"/>
        <v>41887</v>
      </c>
      <c r="J54" s="7">
        <f t="shared" si="11"/>
        <v>1391</v>
      </c>
      <c r="K54" s="7" t="str">
        <f t="shared" si="12"/>
        <v>F</v>
      </c>
      <c r="L54" s="7" t="str">
        <f t="shared" si="13"/>
        <v>High ambition</v>
      </c>
      <c r="M54" s="7" t="str">
        <f t="shared" si="14"/>
        <v>Low</v>
      </c>
      <c r="N54" s="7">
        <f t="shared" si="15"/>
        <v>559726</v>
      </c>
      <c r="O54" s="7">
        <f t="shared" si="16"/>
        <v>410679.2813</v>
      </c>
      <c r="P54" s="7">
        <f t="shared" ref="P54:Q54" si="327">RANDBETWEEN(0,22)</f>
        <v>7</v>
      </c>
      <c r="Q54" s="7">
        <f t="shared" si="327"/>
        <v>2</v>
      </c>
      <c r="R54" s="7">
        <f t="shared" ref="R54:T54" si="328">IF(S54=1,1,RANDBETWEEN(0,1))</f>
        <v>1</v>
      </c>
      <c r="S54" s="7">
        <f t="shared" si="328"/>
        <v>1</v>
      </c>
      <c r="T54" s="7">
        <f t="shared" si="328"/>
        <v>1</v>
      </c>
      <c r="U54" s="7">
        <f t="shared" si="19"/>
        <v>0</v>
      </c>
      <c r="V54" s="7">
        <f t="shared" ref="V54:X54" si="329">IF(W54=1,1,RANDBETWEEN(0,1))</f>
        <v>1</v>
      </c>
      <c r="W54" s="7">
        <f t="shared" si="329"/>
        <v>1</v>
      </c>
      <c r="X54" s="7">
        <f t="shared" si="329"/>
        <v>1</v>
      </c>
      <c r="Y54" s="7">
        <f t="shared" si="21"/>
        <v>1</v>
      </c>
      <c r="Z54" s="7">
        <f t="shared" ref="Z54:AB54" si="330">IF(AA54=1,1,RANDBETWEEN(0,1))</f>
        <v>1</v>
      </c>
      <c r="AA54" s="7">
        <f t="shared" si="330"/>
        <v>1</v>
      </c>
      <c r="AB54" s="7">
        <f t="shared" si="330"/>
        <v>1</v>
      </c>
      <c r="AC54" s="7">
        <f t="shared" si="23"/>
        <v>0</v>
      </c>
      <c r="AD54" s="7">
        <f t="shared" ref="AD54:AF54" si="331">IF(AE54=1,1,RANDBETWEEN(0,1))</f>
        <v>1</v>
      </c>
      <c r="AE54" s="7">
        <f t="shared" si="331"/>
        <v>1</v>
      </c>
      <c r="AF54" s="7">
        <f t="shared" si="331"/>
        <v>1</v>
      </c>
      <c r="AG54" s="7">
        <f t="shared" si="25"/>
        <v>0</v>
      </c>
    </row>
    <row r="55">
      <c r="A55" s="4" t="s">
        <v>187</v>
      </c>
      <c r="B55" s="4" t="s">
        <v>188</v>
      </c>
      <c r="C55" s="4" t="s">
        <v>189</v>
      </c>
      <c r="D55" s="5">
        <v>32313.0</v>
      </c>
      <c r="E55" s="6">
        <f t="shared" si="7"/>
        <v>948</v>
      </c>
      <c r="F55" s="7">
        <f t="shared" ref="F55:G55" si="332">ROUND(RAND(),2)</f>
        <v>0.47</v>
      </c>
      <c r="G55" s="7">
        <f t="shared" si="332"/>
        <v>0.66</v>
      </c>
      <c r="H55" s="7">
        <f t="shared" si="9"/>
        <v>3</v>
      </c>
      <c r="I55" s="7">
        <f t="shared" si="10"/>
        <v>3221</v>
      </c>
      <c r="J55" s="7">
        <f t="shared" si="11"/>
        <v>53796</v>
      </c>
      <c r="K55" s="7" t="str">
        <f t="shared" si="12"/>
        <v>A</v>
      </c>
      <c r="L55" s="7" t="str">
        <f t="shared" si="13"/>
        <v>High ambition</v>
      </c>
      <c r="M55" s="7" t="str">
        <f t="shared" si="14"/>
        <v>Medium</v>
      </c>
      <c r="N55" s="7">
        <f t="shared" si="15"/>
        <v>3813122</v>
      </c>
      <c r="O55" s="7">
        <f t="shared" si="16"/>
        <v>2750276.908</v>
      </c>
      <c r="P55" s="7">
        <f t="shared" ref="P55:Q55" si="333">RANDBETWEEN(0,22)</f>
        <v>21</v>
      </c>
      <c r="Q55" s="7">
        <f t="shared" si="333"/>
        <v>15</v>
      </c>
      <c r="R55" s="7">
        <f t="shared" ref="R55:T55" si="334">IF(S55=1,1,RANDBETWEEN(0,1))</f>
        <v>1</v>
      </c>
      <c r="S55" s="7">
        <f t="shared" si="334"/>
        <v>1</v>
      </c>
      <c r="T55" s="7">
        <f t="shared" si="334"/>
        <v>1</v>
      </c>
      <c r="U55" s="7">
        <f t="shared" si="19"/>
        <v>0</v>
      </c>
      <c r="V55" s="7">
        <f t="shared" ref="V55:X55" si="335">IF(W55=1,1,RANDBETWEEN(0,1))</f>
        <v>1</v>
      </c>
      <c r="W55" s="7">
        <f t="shared" si="335"/>
        <v>1</v>
      </c>
      <c r="X55" s="7">
        <f t="shared" si="335"/>
        <v>1</v>
      </c>
      <c r="Y55" s="7">
        <f t="shared" si="21"/>
        <v>1</v>
      </c>
      <c r="Z55" s="7">
        <f t="shared" ref="Z55:AB55" si="336">IF(AA55=1,1,RANDBETWEEN(0,1))</f>
        <v>1</v>
      </c>
      <c r="AA55" s="7">
        <f t="shared" si="336"/>
        <v>1</v>
      </c>
      <c r="AB55" s="7">
        <f t="shared" si="336"/>
        <v>0</v>
      </c>
      <c r="AC55" s="7">
        <f t="shared" si="23"/>
        <v>0</v>
      </c>
      <c r="AD55" s="7">
        <f t="shared" ref="AD55:AF55" si="337">IF(AE55=1,1,RANDBETWEEN(0,1))</f>
        <v>1</v>
      </c>
      <c r="AE55" s="7">
        <f t="shared" si="337"/>
        <v>1</v>
      </c>
      <c r="AF55" s="7">
        <f t="shared" si="337"/>
        <v>1</v>
      </c>
      <c r="AG55" s="7">
        <f t="shared" si="25"/>
        <v>1</v>
      </c>
    </row>
    <row r="56">
      <c r="A56" s="4" t="s">
        <v>190</v>
      </c>
      <c r="B56" s="4" t="s">
        <v>191</v>
      </c>
      <c r="C56" s="4" t="s">
        <v>192</v>
      </c>
      <c r="D56" s="5">
        <v>19757.0</v>
      </c>
      <c r="E56" s="6">
        <f t="shared" si="7"/>
        <v>1046</v>
      </c>
      <c r="F56" s="7">
        <f t="shared" ref="F56:G56" si="338">ROUND(RAND(),2)</f>
        <v>0.49</v>
      </c>
      <c r="G56" s="7">
        <f t="shared" si="338"/>
        <v>0.9</v>
      </c>
      <c r="H56" s="7">
        <f t="shared" si="9"/>
        <v>2</v>
      </c>
      <c r="I56" s="7">
        <f t="shared" si="10"/>
        <v>21919</v>
      </c>
      <c r="J56" s="7">
        <f t="shared" si="11"/>
        <v>43859</v>
      </c>
      <c r="K56" s="7" t="str">
        <f t="shared" si="12"/>
        <v>C</v>
      </c>
      <c r="L56" s="7" t="str">
        <f t="shared" si="13"/>
        <v>Transformative change</v>
      </c>
      <c r="M56" s="7" t="str">
        <f t="shared" si="14"/>
        <v>Medium</v>
      </c>
      <c r="N56" s="7">
        <f t="shared" si="15"/>
        <v>2696381</v>
      </c>
      <c r="O56" s="7">
        <f t="shared" si="16"/>
        <v>1353890.469</v>
      </c>
      <c r="P56" s="7">
        <f t="shared" ref="P56:Q56" si="339">RANDBETWEEN(0,22)</f>
        <v>11</v>
      </c>
      <c r="Q56" s="7">
        <f t="shared" si="339"/>
        <v>4</v>
      </c>
      <c r="R56" s="7">
        <f t="shared" ref="R56:T56" si="340">IF(S56=1,1,RANDBETWEEN(0,1))</f>
        <v>1</v>
      </c>
      <c r="S56" s="7">
        <f t="shared" si="340"/>
        <v>1</v>
      </c>
      <c r="T56" s="7">
        <f t="shared" si="340"/>
        <v>1</v>
      </c>
      <c r="U56" s="7">
        <f t="shared" si="19"/>
        <v>1</v>
      </c>
      <c r="V56" s="7">
        <f t="shared" ref="V56:X56" si="341">IF(W56=1,1,RANDBETWEEN(0,1))</f>
        <v>1</v>
      </c>
      <c r="W56" s="7">
        <f t="shared" si="341"/>
        <v>1</v>
      </c>
      <c r="X56" s="7">
        <f t="shared" si="341"/>
        <v>1</v>
      </c>
      <c r="Y56" s="7">
        <f t="shared" si="21"/>
        <v>1</v>
      </c>
      <c r="Z56" s="7">
        <f t="shared" ref="Z56:AB56" si="342">IF(AA56=1,1,RANDBETWEEN(0,1))</f>
        <v>1</v>
      </c>
      <c r="AA56" s="7">
        <f t="shared" si="342"/>
        <v>1</v>
      </c>
      <c r="AB56" s="7">
        <f t="shared" si="342"/>
        <v>1</v>
      </c>
      <c r="AC56" s="7">
        <f t="shared" si="23"/>
        <v>1</v>
      </c>
      <c r="AD56" s="7">
        <f t="shared" ref="AD56:AF56" si="343">IF(AE56=1,1,RANDBETWEEN(0,1))</f>
        <v>1</v>
      </c>
      <c r="AE56" s="7">
        <f t="shared" si="343"/>
        <v>1</v>
      </c>
      <c r="AF56" s="7">
        <f t="shared" si="343"/>
        <v>0</v>
      </c>
      <c r="AG56" s="7">
        <f t="shared" si="25"/>
        <v>0</v>
      </c>
    </row>
    <row r="57">
      <c r="A57" s="4" t="s">
        <v>193</v>
      </c>
      <c r="B57" s="4" t="s">
        <v>194</v>
      </c>
      <c r="C57" s="4" t="s">
        <v>195</v>
      </c>
      <c r="D57" s="5">
        <v>15421.0</v>
      </c>
      <c r="E57" s="6">
        <f t="shared" si="7"/>
        <v>1063</v>
      </c>
      <c r="F57" s="7">
        <f t="shared" ref="F57:G57" si="344">ROUND(RAND(),2)</f>
        <v>0.98</v>
      </c>
      <c r="G57" s="7">
        <f t="shared" si="344"/>
        <v>0.25</v>
      </c>
      <c r="H57" s="7">
        <f t="shared" si="9"/>
        <v>1</v>
      </c>
      <c r="I57" s="7">
        <f t="shared" si="10"/>
        <v>51170</v>
      </c>
      <c r="J57" s="7">
        <f t="shared" si="11"/>
        <v>11038</v>
      </c>
      <c r="K57" s="7" t="str">
        <f t="shared" si="12"/>
        <v>E</v>
      </c>
      <c r="L57" s="7" t="str">
        <f t="shared" si="13"/>
        <v>Transformative change</v>
      </c>
      <c r="M57" s="7" t="str">
        <f t="shared" si="14"/>
        <v>High</v>
      </c>
      <c r="N57" s="7">
        <f t="shared" si="15"/>
        <v>84040</v>
      </c>
      <c r="O57" s="7">
        <f t="shared" si="16"/>
        <v>15773.29823</v>
      </c>
      <c r="P57" s="7">
        <f t="shared" ref="P57:Q57" si="345">RANDBETWEEN(0,22)</f>
        <v>1</v>
      </c>
      <c r="Q57" s="7">
        <f t="shared" si="345"/>
        <v>4</v>
      </c>
      <c r="R57" s="7">
        <f t="shared" ref="R57:T57" si="346">IF(S57=1,1,RANDBETWEEN(0,1))</f>
        <v>1</v>
      </c>
      <c r="S57" s="7">
        <f t="shared" si="346"/>
        <v>1</v>
      </c>
      <c r="T57" s="7">
        <f t="shared" si="346"/>
        <v>1</v>
      </c>
      <c r="U57" s="7">
        <f t="shared" si="19"/>
        <v>1</v>
      </c>
      <c r="V57" s="7">
        <f t="shared" ref="V57:X57" si="347">IF(W57=1,1,RANDBETWEEN(0,1))</f>
        <v>1</v>
      </c>
      <c r="W57" s="7">
        <f t="shared" si="347"/>
        <v>1</v>
      </c>
      <c r="X57" s="7">
        <f t="shared" si="347"/>
        <v>0</v>
      </c>
      <c r="Y57" s="7">
        <f t="shared" si="21"/>
        <v>0</v>
      </c>
      <c r="Z57" s="7">
        <f t="shared" ref="Z57:AB57" si="348">IF(AA57=1,1,RANDBETWEEN(0,1))</f>
        <v>1</v>
      </c>
      <c r="AA57" s="7">
        <f t="shared" si="348"/>
        <v>1</v>
      </c>
      <c r="AB57" s="7">
        <f t="shared" si="348"/>
        <v>1</v>
      </c>
      <c r="AC57" s="7">
        <f t="shared" si="23"/>
        <v>1</v>
      </c>
      <c r="AD57" s="7">
        <f t="shared" ref="AD57:AF57" si="349">IF(AE57=1,1,RANDBETWEEN(0,1))</f>
        <v>1</v>
      </c>
      <c r="AE57" s="7">
        <f t="shared" si="349"/>
        <v>1</v>
      </c>
      <c r="AF57" s="7">
        <f t="shared" si="349"/>
        <v>1</v>
      </c>
      <c r="AG57" s="7">
        <f t="shared" si="25"/>
        <v>1</v>
      </c>
    </row>
    <row r="58">
      <c r="A58" s="4" t="s">
        <v>196</v>
      </c>
      <c r="B58" s="4" t="s">
        <v>197</v>
      </c>
      <c r="C58" s="4" t="s">
        <v>198</v>
      </c>
      <c r="D58" s="5">
        <v>75675.0</v>
      </c>
      <c r="E58" s="6">
        <f t="shared" si="7"/>
        <v>1019</v>
      </c>
      <c r="F58" s="7">
        <f t="shared" ref="F58:G58" si="350">ROUND(RAND(),2)</f>
        <v>0.7</v>
      </c>
      <c r="G58" s="7">
        <f t="shared" si="350"/>
        <v>0.3</v>
      </c>
      <c r="H58" s="7">
        <f t="shared" si="9"/>
        <v>4</v>
      </c>
      <c r="I58" s="7">
        <f t="shared" si="10"/>
        <v>15555</v>
      </c>
      <c r="J58" s="7">
        <f t="shared" si="11"/>
        <v>55478</v>
      </c>
      <c r="K58" s="7" t="str">
        <f t="shared" si="12"/>
        <v>F</v>
      </c>
      <c r="L58" s="7" t="str">
        <f t="shared" si="13"/>
        <v>High ambition</v>
      </c>
      <c r="M58" s="7" t="str">
        <f t="shared" si="14"/>
        <v>Medium</v>
      </c>
      <c r="N58" s="7">
        <f t="shared" si="15"/>
        <v>2661906</v>
      </c>
      <c r="O58" s="7">
        <f t="shared" si="16"/>
        <v>596553.1088</v>
      </c>
      <c r="P58" s="7">
        <f t="shared" ref="P58:Q58" si="351">RANDBETWEEN(0,22)</f>
        <v>1</v>
      </c>
      <c r="Q58" s="7">
        <f t="shared" si="351"/>
        <v>16</v>
      </c>
      <c r="R58" s="7">
        <f t="shared" ref="R58:T58" si="352">IF(S58=1,1,RANDBETWEEN(0,1))</f>
        <v>1</v>
      </c>
      <c r="S58" s="7">
        <f t="shared" si="352"/>
        <v>1</v>
      </c>
      <c r="T58" s="7">
        <f t="shared" si="352"/>
        <v>1</v>
      </c>
      <c r="U58" s="7">
        <f t="shared" si="19"/>
        <v>1</v>
      </c>
      <c r="V58" s="7">
        <f t="shared" ref="V58:X58" si="353">IF(W58=1,1,RANDBETWEEN(0,1))</f>
        <v>1</v>
      </c>
      <c r="W58" s="7">
        <f t="shared" si="353"/>
        <v>1</v>
      </c>
      <c r="X58" s="7">
        <f t="shared" si="353"/>
        <v>1</v>
      </c>
      <c r="Y58" s="7">
        <f t="shared" si="21"/>
        <v>1</v>
      </c>
      <c r="Z58" s="7">
        <f t="shared" ref="Z58:AB58" si="354">IF(AA58=1,1,RANDBETWEEN(0,1))</f>
        <v>1</v>
      </c>
      <c r="AA58" s="7">
        <f t="shared" si="354"/>
        <v>1</v>
      </c>
      <c r="AB58" s="7">
        <f t="shared" si="354"/>
        <v>1</v>
      </c>
      <c r="AC58" s="7">
        <f t="shared" si="23"/>
        <v>1</v>
      </c>
      <c r="AD58" s="7">
        <f t="shared" ref="AD58:AF58" si="355">IF(AE58=1,1,RANDBETWEEN(0,1))</f>
        <v>1</v>
      </c>
      <c r="AE58" s="7">
        <f t="shared" si="355"/>
        <v>1</v>
      </c>
      <c r="AF58" s="7">
        <f t="shared" si="355"/>
        <v>0</v>
      </c>
      <c r="AG58" s="7">
        <f t="shared" si="25"/>
        <v>0</v>
      </c>
    </row>
    <row r="59">
      <c r="A59" s="4" t="s">
        <v>199</v>
      </c>
      <c r="B59" s="4" t="s">
        <v>200</v>
      </c>
      <c r="C59" s="4" t="s">
        <v>201</v>
      </c>
      <c r="D59" s="5">
        <v>6570.0</v>
      </c>
      <c r="E59" s="6">
        <f t="shared" si="7"/>
        <v>976</v>
      </c>
      <c r="F59" s="7">
        <f t="shared" ref="F59:G59" si="356">ROUND(RAND(),2)</f>
        <v>0.96</v>
      </c>
      <c r="G59" s="7">
        <f t="shared" si="356"/>
        <v>0.85</v>
      </c>
      <c r="H59" s="7">
        <f t="shared" si="9"/>
        <v>2</v>
      </c>
      <c r="I59" s="7">
        <f t="shared" si="10"/>
        <v>19604</v>
      </c>
      <c r="J59" s="7">
        <f t="shared" si="11"/>
        <v>670</v>
      </c>
      <c r="K59" s="7" t="str">
        <f t="shared" si="12"/>
        <v>D</v>
      </c>
      <c r="L59" s="7" t="str">
        <f t="shared" si="13"/>
        <v>Transformative change</v>
      </c>
      <c r="M59" s="7" t="str">
        <f t="shared" si="14"/>
        <v>Low</v>
      </c>
      <c r="N59" s="7">
        <f t="shared" si="15"/>
        <v>631410</v>
      </c>
      <c r="O59" s="7">
        <f t="shared" si="16"/>
        <v>322627.9016</v>
      </c>
      <c r="P59" s="7">
        <f t="shared" ref="P59:Q59" si="357">RANDBETWEEN(0,22)</f>
        <v>18</v>
      </c>
      <c r="Q59" s="7">
        <f t="shared" si="357"/>
        <v>0</v>
      </c>
      <c r="R59" s="7">
        <f t="shared" ref="R59:T59" si="358">IF(S59=1,1,RANDBETWEEN(0,1))</f>
        <v>1</v>
      </c>
      <c r="S59" s="7">
        <f t="shared" si="358"/>
        <v>1</v>
      </c>
      <c r="T59" s="7">
        <f t="shared" si="358"/>
        <v>1</v>
      </c>
      <c r="U59" s="7">
        <f t="shared" si="19"/>
        <v>1</v>
      </c>
      <c r="V59" s="7">
        <f t="shared" ref="V59:X59" si="359">IF(W59=1,1,RANDBETWEEN(0,1))</f>
        <v>1</v>
      </c>
      <c r="W59" s="7">
        <f t="shared" si="359"/>
        <v>1</v>
      </c>
      <c r="X59" s="7">
        <f t="shared" si="359"/>
        <v>1</v>
      </c>
      <c r="Y59" s="7">
        <f t="shared" si="21"/>
        <v>1</v>
      </c>
      <c r="Z59" s="7">
        <f t="shared" ref="Z59:AB59" si="360">IF(AA59=1,1,RANDBETWEEN(0,1))</f>
        <v>1</v>
      </c>
      <c r="AA59" s="7">
        <f t="shared" si="360"/>
        <v>1</v>
      </c>
      <c r="AB59" s="7">
        <f t="shared" si="360"/>
        <v>1</v>
      </c>
      <c r="AC59" s="7">
        <f t="shared" si="23"/>
        <v>0</v>
      </c>
      <c r="AD59" s="7">
        <f t="shared" ref="AD59:AF59" si="361">IF(AE59=1,1,RANDBETWEEN(0,1))</f>
        <v>1</v>
      </c>
      <c r="AE59" s="7">
        <f t="shared" si="361"/>
        <v>0</v>
      </c>
      <c r="AF59" s="7">
        <f t="shared" si="361"/>
        <v>0</v>
      </c>
      <c r="AG59" s="7">
        <f t="shared" si="25"/>
        <v>0</v>
      </c>
    </row>
    <row r="60">
      <c r="A60" s="4" t="s">
        <v>202</v>
      </c>
      <c r="B60" s="4" t="s">
        <v>203</v>
      </c>
      <c r="C60" s="4" t="s">
        <v>204</v>
      </c>
      <c r="D60" s="5">
        <v>9659.0</v>
      </c>
      <c r="E60" s="6">
        <f t="shared" si="7"/>
        <v>1010</v>
      </c>
      <c r="F60" s="7">
        <f t="shared" ref="F60:G60" si="362">ROUND(RAND(),2)</f>
        <v>0.69</v>
      </c>
      <c r="G60" s="7">
        <f t="shared" si="362"/>
        <v>0.03</v>
      </c>
      <c r="H60" s="7">
        <f t="shared" si="9"/>
        <v>2</v>
      </c>
      <c r="I60" s="7">
        <f t="shared" si="10"/>
        <v>28229</v>
      </c>
      <c r="J60" s="7">
        <f t="shared" si="11"/>
        <v>7491</v>
      </c>
      <c r="K60" s="7" t="str">
        <f t="shared" si="12"/>
        <v>D</v>
      </c>
      <c r="L60" s="7" t="str">
        <f t="shared" si="13"/>
        <v>Transformative change</v>
      </c>
      <c r="M60" s="7" t="str">
        <f t="shared" si="14"/>
        <v>High</v>
      </c>
      <c r="N60" s="7">
        <f t="shared" si="15"/>
        <v>527382</v>
      </c>
      <c r="O60" s="7">
        <f t="shared" si="16"/>
        <v>394543.9087</v>
      </c>
      <c r="P60" s="7">
        <f t="shared" ref="P60:Q60" si="363">RANDBETWEEN(0,22)</f>
        <v>16</v>
      </c>
      <c r="Q60" s="7">
        <f t="shared" si="363"/>
        <v>17</v>
      </c>
      <c r="R60" s="7">
        <f t="shared" ref="R60:T60" si="364">IF(S60=1,1,RANDBETWEEN(0,1))</f>
        <v>0</v>
      </c>
      <c r="S60" s="7">
        <f t="shared" si="364"/>
        <v>0</v>
      </c>
      <c r="T60" s="7">
        <f t="shared" si="364"/>
        <v>0</v>
      </c>
      <c r="U60" s="7">
        <f t="shared" si="19"/>
        <v>0</v>
      </c>
      <c r="V60" s="7">
        <f t="shared" ref="V60:X60" si="365">IF(W60=1,1,RANDBETWEEN(0,1))</f>
        <v>1</v>
      </c>
      <c r="W60" s="7">
        <f t="shared" si="365"/>
        <v>1</v>
      </c>
      <c r="X60" s="7">
        <f t="shared" si="365"/>
        <v>0</v>
      </c>
      <c r="Y60" s="7">
        <f t="shared" si="21"/>
        <v>0</v>
      </c>
      <c r="Z60" s="7">
        <f t="shared" ref="Z60:AB60" si="366">IF(AA60=1,1,RANDBETWEEN(0,1))</f>
        <v>1</v>
      </c>
      <c r="AA60" s="7">
        <f t="shared" si="366"/>
        <v>1</v>
      </c>
      <c r="AB60" s="7">
        <f t="shared" si="366"/>
        <v>1</v>
      </c>
      <c r="AC60" s="7">
        <f t="shared" si="23"/>
        <v>1</v>
      </c>
      <c r="AD60" s="7">
        <f t="shared" ref="AD60:AF60" si="367">IF(AE60=1,1,RANDBETWEEN(0,1))</f>
        <v>1</v>
      </c>
      <c r="AE60" s="7">
        <f t="shared" si="367"/>
        <v>1</v>
      </c>
      <c r="AF60" s="7">
        <f t="shared" si="367"/>
        <v>1</v>
      </c>
      <c r="AG60" s="7">
        <f t="shared" si="25"/>
        <v>0</v>
      </c>
    </row>
    <row r="61">
      <c r="A61" s="4" t="s">
        <v>205</v>
      </c>
      <c r="B61" s="4" t="s">
        <v>206</v>
      </c>
      <c r="C61" s="4" t="s">
        <v>207</v>
      </c>
      <c r="D61" s="5">
        <v>105444.0</v>
      </c>
      <c r="E61" s="6">
        <f t="shared" si="7"/>
        <v>840</v>
      </c>
      <c r="F61" s="7">
        <f t="shared" ref="F61:G61" si="368">ROUND(RAND(),2)</f>
        <v>0.5</v>
      </c>
      <c r="G61" s="7">
        <f t="shared" si="368"/>
        <v>0.74</v>
      </c>
      <c r="H61" s="7">
        <f t="shared" si="9"/>
        <v>5</v>
      </c>
      <c r="I61" s="7">
        <f t="shared" si="10"/>
        <v>75992</v>
      </c>
      <c r="J61" s="7">
        <f t="shared" si="11"/>
        <v>10821</v>
      </c>
      <c r="K61" s="7" t="str">
        <f t="shared" si="12"/>
        <v>B</v>
      </c>
      <c r="L61" s="7" t="str">
        <f t="shared" si="13"/>
        <v>Transformative change</v>
      </c>
      <c r="M61" s="7" t="str">
        <f t="shared" si="14"/>
        <v>High</v>
      </c>
      <c r="N61" s="7">
        <f t="shared" si="15"/>
        <v>916684</v>
      </c>
      <c r="O61" s="7">
        <f t="shared" si="16"/>
        <v>856189.7593</v>
      </c>
      <c r="P61" s="7">
        <f t="shared" ref="P61:Q61" si="369">RANDBETWEEN(0,22)</f>
        <v>2</v>
      </c>
      <c r="Q61" s="7">
        <f t="shared" si="369"/>
        <v>16</v>
      </c>
      <c r="R61" s="7">
        <f t="shared" ref="R61:T61" si="370">IF(S61=1,1,RANDBETWEEN(0,1))</f>
        <v>1</v>
      </c>
      <c r="S61" s="7">
        <f t="shared" si="370"/>
        <v>0</v>
      </c>
      <c r="T61" s="7">
        <f t="shared" si="370"/>
        <v>0</v>
      </c>
      <c r="U61" s="7">
        <f t="shared" si="19"/>
        <v>0</v>
      </c>
      <c r="V61" s="7">
        <f t="shared" ref="V61:X61" si="371">IF(W61=1,1,RANDBETWEEN(0,1))</f>
        <v>1</v>
      </c>
      <c r="W61" s="7">
        <f t="shared" si="371"/>
        <v>1</v>
      </c>
      <c r="X61" s="7">
        <f t="shared" si="371"/>
        <v>1</v>
      </c>
      <c r="Y61" s="7">
        <f t="shared" si="21"/>
        <v>1</v>
      </c>
      <c r="Z61" s="7">
        <f t="shared" ref="Z61:AB61" si="372">IF(AA61=1,1,RANDBETWEEN(0,1))</f>
        <v>1</v>
      </c>
      <c r="AA61" s="7">
        <f t="shared" si="372"/>
        <v>1</v>
      </c>
      <c r="AB61" s="7">
        <f t="shared" si="372"/>
        <v>1</v>
      </c>
      <c r="AC61" s="7">
        <f t="shared" si="23"/>
        <v>0</v>
      </c>
      <c r="AD61" s="7">
        <f t="shared" ref="AD61:AF61" si="373">IF(AE61=1,1,RANDBETWEEN(0,1))</f>
        <v>0</v>
      </c>
      <c r="AE61" s="7">
        <f t="shared" si="373"/>
        <v>0</v>
      </c>
      <c r="AF61" s="7">
        <f t="shared" si="373"/>
        <v>0</v>
      </c>
      <c r="AG61" s="7">
        <f t="shared" si="25"/>
        <v>0</v>
      </c>
    </row>
    <row r="62">
      <c r="A62" s="4" t="s">
        <v>208</v>
      </c>
      <c r="B62" s="4" t="s">
        <v>209</v>
      </c>
      <c r="C62" s="4" t="s">
        <v>210</v>
      </c>
      <c r="D62" s="5">
        <v>334950.0</v>
      </c>
      <c r="E62" s="6">
        <f t="shared" si="7"/>
        <v>1781.65</v>
      </c>
      <c r="F62" s="7">
        <f t="shared" ref="F62:G62" si="374">ROUND(RAND(),2)</f>
        <v>0.53</v>
      </c>
      <c r="G62" s="7">
        <f t="shared" si="374"/>
        <v>0.46</v>
      </c>
      <c r="H62" s="7">
        <f t="shared" si="9"/>
        <v>1</v>
      </c>
      <c r="I62" s="7">
        <f t="shared" si="10"/>
        <v>16685</v>
      </c>
      <c r="J62" s="7">
        <f t="shared" si="11"/>
        <v>3210</v>
      </c>
      <c r="K62" s="7" t="str">
        <f t="shared" si="12"/>
        <v>A</v>
      </c>
      <c r="L62" s="7" t="str">
        <f t="shared" si="13"/>
        <v>Transformative change</v>
      </c>
      <c r="M62" s="7" t="str">
        <f t="shared" si="14"/>
        <v>High</v>
      </c>
      <c r="N62" s="7">
        <f t="shared" si="15"/>
        <v>1112324</v>
      </c>
      <c r="O62" s="7">
        <f t="shared" si="16"/>
        <v>1016861.681</v>
      </c>
      <c r="P62" s="7">
        <f t="shared" ref="P62:Q62" si="375">RANDBETWEEN(0,22)</f>
        <v>4</v>
      </c>
      <c r="Q62" s="7">
        <f t="shared" si="375"/>
        <v>4</v>
      </c>
      <c r="R62" s="7">
        <f t="shared" ref="R62:T62" si="376">IF(S62=1,1,RANDBETWEEN(0,1))</f>
        <v>1</v>
      </c>
      <c r="S62" s="7">
        <f t="shared" si="376"/>
        <v>0</v>
      </c>
      <c r="T62" s="7">
        <f t="shared" si="376"/>
        <v>0</v>
      </c>
      <c r="U62" s="7">
        <f t="shared" si="19"/>
        <v>0</v>
      </c>
      <c r="V62" s="7">
        <f t="shared" ref="V62:X62" si="377">IF(W62=1,1,RANDBETWEEN(0,1))</f>
        <v>1</v>
      </c>
      <c r="W62" s="7">
        <f t="shared" si="377"/>
        <v>1</v>
      </c>
      <c r="X62" s="7">
        <f t="shared" si="377"/>
        <v>1</v>
      </c>
      <c r="Y62" s="7">
        <f t="shared" si="21"/>
        <v>1</v>
      </c>
      <c r="Z62" s="7">
        <f t="shared" ref="Z62:AB62" si="378">IF(AA62=1,1,RANDBETWEEN(0,1))</f>
        <v>1</v>
      </c>
      <c r="AA62" s="7">
        <f t="shared" si="378"/>
        <v>1</v>
      </c>
      <c r="AB62" s="7">
        <f t="shared" si="378"/>
        <v>1</v>
      </c>
      <c r="AC62" s="7">
        <f t="shared" si="23"/>
        <v>1</v>
      </c>
      <c r="AD62" s="7">
        <f t="shared" ref="AD62:AF62" si="379">IF(AE62=1,1,RANDBETWEEN(0,1))</f>
        <v>1</v>
      </c>
      <c r="AE62" s="7">
        <f t="shared" si="379"/>
        <v>1</v>
      </c>
      <c r="AF62" s="7">
        <f t="shared" si="379"/>
        <v>1</v>
      </c>
      <c r="AG62" s="7">
        <f t="shared" si="25"/>
        <v>1</v>
      </c>
    </row>
    <row r="63">
      <c r="A63" s="4" t="s">
        <v>211</v>
      </c>
      <c r="B63" s="4" t="s">
        <v>212</v>
      </c>
      <c r="C63" s="4" t="s">
        <v>213</v>
      </c>
      <c r="D63" s="5">
        <v>18878.0</v>
      </c>
      <c r="E63" s="6">
        <f t="shared" si="7"/>
        <v>1097</v>
      </c>
      <c r="F63" s="7">
        <f t="shared" ref="F63:G63" si="380">ROUND(RAND(),2)</f>
        <v>0.15</v>
      </c>
      <c r="G63" s="7">
        <f t="shared" si="380"/>
        <v>0.98</v>
      </c>
      <c r="H63" s="7">
        <f t="shared" si="9"/>
        <v>1</v>
      </c>
      <c r="I63" s="7">
        <f t="shared" si="10"/>
        <v>78972</v>
      </c>
      <c r="J63" s="7">
        <f t="shared" si="11"/>
        <v>53519</v>
      </c>
      <c r="K63" s="7" t="str">
        <f t="shared" si="12"/>
        <v>C</v>
      </c>
      <c r="L63" s="7" t="str">
        <f t="shared" si="13"/>
        <v>Transformative change</v>
      </c>
      <c r="M63" s="7" t="str">
        <f t="shared" si="14"/>
        <v>Low</v>
      </c>
      <c r="N63" s="7">
        <f t="shared" si="15"/>
        <v>1157788</v>
      </c>
      <c r="O63" s="7">
        <f t="shared" si="16"/>
        <v>491331.2186</v>
      </c>
      <c r="P63" s="7">
        <f t="shared" ref="P63:Q63" si="381">RANDBETWEEN(0,22)</f>
        <v>22</v>
      </c>
      <c r="Q63" s="7">
        <f t="shared" si="381"/>
        <v>0</v>
      </c>
      <c r="R63" s="7">
        <f t="shared" ref="R63:T63" si="382">IF(S63=1,1,RANDBETWEEN(0,1))</f>
        <v>1</v>
      </c>
      <c r="S63" s="7">
        <f t="shared" si="382"/>
        <v>1</v>
      </c>
      <c r="T63" s="7">
        <f t="shared" si="382"/>
        <v>1</v>
      </c>
      <c r="U63" s="7">
        <f t="shared" si="19"/>
        <v>1</v>
      </c>
      <c r="V63" s="7">
        <f t="shared" ref="V63:X63" si="383">IF(W63=1,1,RANDBETWEEN(0,1))</f>
        <v>1</v>
      </c>
      <c r="W63" s="7">
        <f t="shared" si="383"/>
        <v>1</v>
      </c>
      <c r="X63" s="7">
        <f t="shared" si="383"/>
        <v>1</v>
      </c>
      <c r="Y63" s="7">
        <f t="shared" si="21"/>
        <v>1</v>
      </c>
      <c r="Z63" s="7">
        <f t="shared" ref="Z63:AB63" si="384">IF(AA63=1,1,RANDBETWEEN(0,1))</f>
        <v>1</v>
      </c>
      <c r="AA63" s="7">
        <f t="shared" si="384"/>
        <v>1</v>
      </c>
      <c r="AB63" s="7">
        <f t="shared" si="384"/>
        <v>1</v>
      </c>
      <c r="AC63" s="7">
        <f t="shared" si="23"/>
        <v>1</v>
      </c>
      <c r="AD63" s="7">
        <f t="shared" ref="AD63:AF63" si="385">IF(AE63=1,1,RANDBETWEEN(0,1))</f>
        <v>1</v>
      </c>
      <c r="AE63" s="7">
        <f t="shared" si="385"/>
        <v>1</v>
      </c>
      <c r="AF63" s="7">
        <f t="shared" si="385"/>
        <v>1</v>
      </c>
      <c r="AG63" s="7">
        <f t="shared" si="25"/>
        <v>1</v>
      </c>
    </row>
    <row r="64">
      <c r="A64" s="4" t="s">
        <v>214</v>
      </c>
      <c r="B64" s="4" t="s">
        <v>215</v>
      </c>
      <c r="C64" s="4" t="s">
        <v>95</v>
      </c>
      <c r="D64" s="5">
        <v>71780.0</v>
      </c>
      <c r="E64" s="6">
        <f t="shared" si="7"/>
        <v>1058</v>
      </c>
      <c r="F64" s="7">
        <f t="shared" ref="F64:G64" si="386">ROUND(RAND(),2)</f>
        <v>0.5</v>
      </c>
      <c r="G64" s="7">
        <f t="shared" si="386"/>
        <v>0.4</v>
      </c>
      <c r="H64" s="7">
        <f t="shared" si="9"/>
        <v>5</v>
      </c>
      <c r="I64" s="7">
        <f t="shared" si="10"/>
        <v>44909</v>
      </c>
      <c r="J64" s="7">
        <f t="shared" si="11"/>
        <v>22643</v>
      </c>
      <c r="K64" s="7" t="str">
        <f t="shared" si="12"/>
        <v>A</v>
      </c>
      <c r="L64" s="7" t="str">
        <f t="shared" si="13"/>
        <v>Transformative change</v>
      </c>
      <c r="M64" s="7" t="str">
        <f t="shared" si="14"/>
        <v>High</v>
      </c>
      <c r="N64" s="7">
        <f t="shared" si="15"/>
        <v>1280230</v>
      </c>
      <c r="O64" s="7">
        <f t="shared" si="16"/>
        <v>650049.3838</v>
      </c>
      <c r="P64" s="7">
        <f t="shared" ref="P64:Q64" si="387">RANDBETWEEN(0,22)</f>
        <v>1</v>
      </c>
      <c r="Q64" s="7">
        <f t="shared" si="387"/>
        <v>10</v>
      </c>
      <c r="R64" s="7">
        <f t="shared" ref="R64:T64" si="388">IF(S64=1,1,RANDBETWEEN(0,1))</f>
        <v>1</v>
      </c>
      <c r="S64" s="7">
        <f t="shared" si="388"/>
        <v>1</v>
      </c>
      <c r="T64" s="7">
        <f t="shared" si="388"/>
        <v>1</v>
      </c>
      <c r="U64" s="7">
        <f t="shared" si="19"/>
        <v>1</v>
      </c>
      <c r="V64" s="7">
        <f t="shared" ref="V64:X64" si="389">IF(W64=1,1,RANDBETWEEN(0,1))</f>
        <v>1</v>
      </c>
      <c r="W64" s="7">
        <f t="shared" si="389"/>
        <v>1</v>
      </c>
      <c r="X64" s="7">
        <f t="shared" si="389"/>
        <v>1</v>
      </c>
      <c r="Y64" s="7">
        <f t="shared" si="21"/>
        <v>1</v>
      </c>
      <c r="Z64" s="7">
        <f t="shared" ref="Z64:AB64" si="390">IF(AA64=1,1,RANDBETWEEN(0,1))</f>
        <v>1</v>
      </c>
      <c r="AA64" s="7">
        <f t="shared" si="390"/>
        <v>1</v>
      </c>
      <c r="AB64" s="7">
        <f t="shared" si="390"/>
        <v>1</v>
      </c>
      <c r="AC64" s="7">
        <f t="shared" si="23"/>
        <v>1</v>
      </c>
      <c r="AD64" s="7">
        <f t="shared" ref="AD64:AF64" si="391">IF(AE64=1,1,RANDBETWEEN(0,1))</f>
        <v>1</v>
      </c>
      <c r="AE64" s="7">
        <f t="shared" si="391"/>
        <v>1</v>
      </c>
      <c r="AF64" s="7">
        <f t="shared" si="391"/>
        <v>1</v>
      </c>
      <c r="AG64" s="7">
        <f t="shared" si="25"/>
        <v>0</v>
      </c>
    </row>
    <row r="65">
      <c r="A65" s="4" t="s">
        <v>216</v>
      </c>
      <c r="B65" s="4" t="s">
        <v>217</v>
      </c>
      <c r="C65" s="4" t="s">
        <v>218</v>
      </c>
      <c r="D65" s="5">
        <v>6968.0</v>
      </c>
      <c r="E65" s="6">
        <f t="shared" si="7"/>
        <v>895</v>
      </c>
      <c r="F65" s="7">
        <f t="shared" ref="F65:G65" si="392">ROUND(RAND(),2)</f>
        <v>0.88</v>
      </c>
      <c r="G65" s="7">
        <f t="shared" si="392"/>
        <v>0.65</v>
      </c>
      <c r="H65" s="7">
        <f t="shared" si="9"/>
        <v>3</v>
      </c>
      <c r="I65" s="7">
        <f t="shared" si="10"/>
        <v>97499</v>
      </c>
      <c r="J65" s="7">
        <f t="shared" si="11"/>
        <v>71938</v>
      </c>
      <c r="K65" s="7" t="str">
        <f t="shared" si="12"/>
        <v>F</v>
      </c>
      <c r="L65" s="7" t="str">
        <f t="shared" si="13"/>
        <v>High ambition</v>
      </c>
      <c r="M65" s="7" t="str">
        <f t="shared" si="14"/>
        <v>High</v>
      </c>
      <c r="N65" s="7">
        <f t="shared" si="15"/>
        <v>2284305</v>
      </c>
      <c r="O65" s="7">
        <f t="shared" si="16"/>
        <v>298624.7953</v>
      </c>
      <c r="P65" s="7">
        <f t="shared" ref="P65:Q65" si="393">RANDBETWEEN(0,22)</f>
        <v>21</v>
      </c>
      <c r="Q65" s="7">
        <f t="shared" si="393"/>
        <v>15</v>
      </c>
      <c r="R65" s="7">
        <f t="shared" ref="R65:T65" si="394">IF(S65=1,1,RANDBETWEEN(0,1))</f>
        <v>1</v>
      </c>
      <c r="S65" s="7">
        <f t="shared" si="394"/>
        <v>1</v>
      </c>
      <c r="T65" s="7">
        <f t="shared" si="394"/>
        <v>0</v>
      </c>
      <c r="U65" s="7">
        <f t="shared" si="19"/>
        <v>0</v>
      </c>
      <c r="V65" s="7">
        <f t="shared" ref="V65:X65" si="395">IF(W65=1,1,RANDBETWEEN(0,1))</f>
        <v>1</v>
      </c>
      <c r="W65" s="7">
        <f t="shared" si="395"/>
        <v>1</v>
      </c>
      <c r="X65" s="7">
        <f t="shared" si="395"/>
        <v>1</v>
      </c>
      <c r="Y65" s="7">
        <f t="shared" si="21"/>
        <v>1</v>
      </c>
      <c r="Z65" s="7">
        <f t="shared" ref="Z65:AB65" si="396">IF(AA65=1,1,RANDBETWEEN(0,1))</f>
        <v>1</v>
      </c>
      <c r="AA65" s="7">
        <f t="shared" si="396"/>
        <v>1</v>
      </c>
      <c r="AB65" s="7">
        <f t="shared" si="396"/>
        <v>1</v>
      </c>
      <c r="AC65" s="7">
        <f t="shared" si="23"/>
        <v>1</v>
      </c>
      <c r="AD65" s="7">
        <f t="shared" ref="AD65:AF65" si="397">IF(AE65=1,1,RANDBETWEEN(0,1))</f>
        <v>1</v>
      </c>
      <c r="AE65" s="7">
        <f t="shared" si="397"/>
        <v>1</v>
      </c>
      <c r="AF65" s="7">
        <f t="shared" si="397"/>
        <v>1</v>
      </c>
      <c r="AG65" s="7">
        <f t="shared" si="25"/>
        <v>0</v>
      </c>
    </row>
    <row r="66">
      <c r="A66" s="4" t="s">
        <v>219</v>
      </c>
      <c r="B66" s="4" t="s">
        <v>220</v>
      </c>
      <c r="C66" s="4" t="s">
        <v>221</v>
      </c>
      <c r="D66" s="5">
        <v>6157.0</v>
      </c>
      <c r="E66" s="6">
        <f t="shared" si="7"/>
        <v>1001</v>
      </c>
      <c r="F66" s="7">
        <f t="shared" ref="F66:G66" si="398">ROUND(RAND(),2)</f>
        <v>0.09</v>
      </c>
      <c r="G66" s="7">
        <f t="shared" si="398"/>
        <v>0.27</v>
      </c>
      <c r="H66" s="7">
        <f t="shared" si="9"/>
        <v>1</v>
      </c>
      <c r="I66" s="7">
        <f t="shared" si="10"/>
        <v>85288</v>
      </c>
      <c r="J66" s="7">
        <f t="shared" si="11"/>
        <v>27444</v>
      </c>
      <c r="K66" s="7" t="str">
        <f t="shared" si="12"/>
        <v>B</v>
      </c>
      <c r="L66" s="7" t="str">
        <f t="shared" si="13"/>
        <v>Transformative change</v>
      </c>
      <c r="M66" s="7" t="str">
        <f t="shared" si="14"/>
        <v>Medium</v>
      </c>
      <c r="N66" s="7">
        <f t="shared" si="15"/>
        <v>1679650</v>
      </c>
      <c r="O66" s="7">
        <f t="shared" si="16"/>
        <v>1462683.291</v>
      </c>
      <c r="P66" s="7">
        <f t="shared" ref="P66:Q66" si="399">RANDBETWEEN(0,22)</f>
        <v>0</v>
      </c>
      <c r="Q66" s="7">
        <f t="shared" si="399"/>
        <v>9</v>
      </c>
      <c r="R66" s="7">
        <f t="shared" ref="R66:T66" si="400">IF(S66=1,1,RANDBETWEEN(0,1))</f>
        <v>1</v>
      </c>
      <c r="S66" s="7">
        <f t="shared" si="400"/>
        <v>1</v>
      </c>
      <c r="T66" s="7">
        <f t="shared" si="400"/>
        <v>0</v>
      </c>
      <c r="U66" s="7">
        <f t="shared" si="19"/>
        <v>0</v>
      </c>
      <c r="V66" s="7">
        <f t="shared" ref="V66:X66" si="401">IF(W66=1,1,RANDBETWEEN(0,1))</f>
        <v>1</v>
      </c>
      <c r="W66" s="7">
        <f t="shared" si="401"/>
        <v>1</v>
      </c>
      <c r="X66" s="7">
        <f t="shared" si="401"/>
        <v>1</v>
      </c>
      <c r="Y66" s="7">
        <f t="shared" si="21"/>
        <v>1</v>
      </c>
      <c r="Z66" s="7">
        <f t="shared" ref="Z66:AB66" si="402">IF(AA66=1,1,RANDBETWEEN(0,1))</f>
        <v>1</v>
      </c>
      <c r="AA66" s="7">
        <f t="shared" si="402"/>
        <v>1</v>
      </c>
      <c r="AB66" s="7">
        <f t="shared" si="402"/>
        <v>1</v>
      </c>
      <c r="AC66" s="7">
        <f t="shared" si="23"/>
        <v>1</v>
      </c>
      <c r="AD66" s="7">
        <f t="shared" ref="AD66:AF66" si="403">IF(AE66=1,1,RANDBETWEEN(0,1))</f>
        <v>1</v>
      </c>
      <c r="AE66" s="7">
        <f t="shared" si="403"/>
        <v>1</v>
      </c>
      <c r="AF66" s="7">
        <f t="shared" si="403"/>
        <v>1</v>
      </c>
      <c r="AG66" s="7">
        <f t="shared" si="25"/>
        <v>1</v>
      </c>
    </row>
    <row r="67">
      <c r="A67" s="4" t="s">
        <v>222</v>
      </c>
      <c r="B67" s="4" t="s">
        <v>223</v>
      </c>
      <c r="C67" s="4" t="s">
        <v>95</v>
      </c>
      <c r="D67" s="5">
        <v>18173.0</v>
      </c>
      <c r="E67" s="6">
        <f t="shared" si="7"/>
        <v>852</v>
      </c>
      <c r="F67" s="7">
        <f t="shared" ref="F67:G67" si="404">ROUND(RAND(),2)</f>
        <v>0.08</v>
      </c>
      <c r="G67" s="7">
        <f t="shared" si="404"/>
        <v>0.88</v>
      </c>
      <c r="H67" s="7">
        <f t="shared" si="9"/>
        <v>2</v>
      </c>
      <c r="I67" s="7">
        <f t="shared" si="10"/>
        <v>79314</v>
      </c>
      <c r="J67" s="7">
        <f t="shared" si="11"/>
        <v>26922</v>
      </c>
      <c r="K67" s="7" t="str">
        <f t="shared" si="12"/>
        <v>A</v>
      </c>
      <c r="L67" s="7" t="str">
        <f t="shared" si="13"/>
        <v>Transformative change</v>
      </c>
      <c r="M67" s="7" t="str">
        <f t="shared" si="14"/>
        <v>Low</v>
      </c>
      <c r="N67" s="7">
        <f t="shared" si="15"/>
        <v>2584263</v>
      </c>
      <c r="O67" s="7">
        <f t="shared" si="16"/>
        <v>947704.7287</v>
      </c>
      <c r="P67" s="7">
        <f t="shared" ref="P67:Q67" si="405">RANDBETWEEN(0,22)</f>
        <v>8</v>
      </c>
      <c r="Q67" s="7">
        <f t="shared" si="405"/>
        <v>1</v>
      </c>
      <c r="R67" s="7">
        <f t="shared" ref="R67:T67" si="406">IF(S67=1,1,RANDBETWEEN(0,1))</f>
        <v>1</v>
      </c>
      <c r="S67" s="7">
        <f t="shared" si="406"/>
        <v>1</v>
      </c>
      <c r="T67" s="7">
        <f t="shared" si="406"/>
        <v>1</v>
      </c>
      <c r="U67" s="7">
        <f t="shared" si="19"/>
        <v>1</v>
      </c>
      <c r="V67" s="7">
        <f t="shared" ref="V67:X67" si="407">IF(W67=1,1,RANDBETWEEN(0,1))</f>
        <v>0</v>
      </c>
      <c r="W67" s="7">
        <f t="shared" si="407"/>
        <v>0</v>
      </c>
      <c r="X67" s="7">
        <f t="shared" si="407"/>
        <v>0</v>
      </c>
      <c r="Y67" s="7">
        <f t="shared" si="21"/>
        <v>0</v>
      </c>
      <c r="Z67" s="7">
        <f t="shared" ref="Z67:AB67" si="408">IF(AA67=1,1,RANDBETWEEN(0,1))</f>
        <v>1</v>
      </c>
      <c r="AA67" s="7">
        <f t="shared" si="408"/>
        <v>1</v>
      </c>
      <c r="AB67" s="7">
        <f t="shared" si="408"/>
        <v>1</v>
      </c>
      <c r="AC67" s="7">
        <f t="shared" si="23"/>
        <v>0</v>
      </c>
      <c r="AD67" s="7">
        <f t="shared" ref="AD67:AF67" si="409">IF(AE67=1,1,RANDBETWEEN(0,1))</f>
        <v>1</v>
      </c>
      <c r="AE67" s="7">
        <f t="shared" si="409"/>
        <v>1</v>
      </c>
      <c r="AF67" s="7">
        <f t="shared" si="409"/>
        <v>1</v>
      </c>
      <c r="AG67" s="7">
        <f t="shared" si="25"/>
        <v>1</v>
      </c>
    </row>
    <row r="68">
      <c r="A68" s="4" t="s">
        <v>224</v>
      </c>
      <c r="B68" s="4" t="s">
        <v>225</v>
      </c>
      <c r="C68" s="4" t="s">
        <v>226</v>
      </c>
      <c r="D68" s="5">
        <v>225280.0</v>
      </c>
      <c r="E68" s="6">
        <f t="shared" si="7"/>
        <v>1280</v>
      </c>
      <c r="F68" s="7">
        <f t="shared" ref="F68:G68" si="410">ROUND(RAND(),2)</f>
        <v>0.79</v>
      </c>
      <c r="G68" s="7">
        <f t="shared" si="410"/>
        <v>0.26</v>
      </c>
      <c r="H68" s="7">
        <f t="shared" si="9"/>
        <v>2</v>
      </c>
      <c r="I68" s="7">
        <f t="shared" si="10"/>
        <v>6531</v>
      </c>
      <c r="J68" s="7">
        <f t="shared" si="11"/>
        <v>60480</v>
      </c>
      <c r="K68" s="7" t="str">
        <f t="shared" si="12"/>
        <v>D</v>
      </c>
      <c r="L68" s="7" t="str">
        <f t="shared" si="13"/>
        <v>Transformative change</v>
      </c>
      <c r="M68" s="7" t="str">
        <f t="shared" si="14"/>
        <v>High</v>
      </c>
      <c r="N68" s="7">
        <f t="shared" si="15"/>
        <v>551893</v>
      </c>
      <c r="O68" s="7">
        <f t="shared" si="16"/>
        <v>138461.3012</v>
      </c>
      <c r="P68" s="7">
        <f t="shared" ref="P68:Q68" si="411">RANDBETWEEN(0,22)</f>
        <v>10</v>
      </c>
      <c r="Q68" s="7">
        <f t="shared" si="411"/>
        <v>19</v>
      </c>
      <c r="R68" s="7">
        <f t="shared" ref="R68:T68" si="412">IF(S68=1,1,RANDBETWEEN(0,1))</f>
        <v>1</v>
      </c>
      <c r="S68" s="7">
        <f t="shared" si="412"/>
        <v>1</v>
      </c>
      <c r="T68" s="7">
        <f t="shared" si="412"/>
        <v>1</v>
      </c>
      <c r="U68" s="7">
        <f t="shared" si="19"/>
        <v>0</v>
      </c>
      <c r="V68" s="7">
        <f t="shared" ref="V68:X68" si="413">IF(W68=1,1,RANDBETWEEN(0,1))</f>
        <v>1</v>
      </c>
      <c r="W68" s="7">
        <f t="shared" si="413"/>
        <v>1</v>
      </c>
      <c r="X68" s="7">
        <f t="shared" si="413"/>
        <v>1</v>
      </c>
      <c r="Y68" s="7">
        <f t="shared" si="21"/>
        <v>0</v>
      </c>
      <c r="Z68" s="7">
        <f t="shared" ref="Z68:AB68" si="414">IF(AA68=1,1,RANDBETWEEN(0,1))</f>
        <v>1</v>
      </c>
      <c r="AA68" s="7">
        <f t="shared" si="414"/>
        <v>0</v>
      </c>
      <c r="AB68" s="7">
        <f t="shared" si="414"/>
        <v>0</v>
      </c>
      <c r="AC68" s="7">
        <f t="shared" si="23"/>
        <v>0</v>
      </c>
      <c r="AD68" s="7">
        <f t="shared" ref="AD68:AF68" si="415">IF(AE68=1,1,RANDBETWEEN(0,1))</f>
        <v>1</v>
      </c>
      <c r="AE68" s="7">
        <f t="shared" si="415"/>
        <v>1</v>
      </c>
      <c r="AF68" s="7">
        <f t="shared" si="415"/>
        <v>1</v>
      </c>
      <c r="AG68" s="7">
        <f t="shared" si="25"/>
        <v>1</v>
      </c>
    </row>
    <row r="69">
      <c r="A69" s="4" t="s">
        <v>227</v>
      </c>
      <c r="B69" s="4" t="s">
        <v>228</v>
      </c>
      <c r="C69" s="4" t="s">
        <v>229</v>
      </c>
      <c r="D69" s="5">
        <v>32338.0</v>
      </c>
      <c r="E69" s="6">
        <f t="shared" si="7"/>
        <v>832</v>
      </c>
      <c r="F69" s="7">
        <f t="shared" ref="F69:G69" si="416">ROUND(RAND(),2)</f>
        <v>0.37</v>
      </c>
      <c r="G69" s="7">
        <f t="shared" si="416"/>
        <v>0.31</v>
      </c>
      <c r="H69" s="7">
        <f t="shared" si="9"/>
        <v>2</v>
      </c>
      <c r="I69" s="7">
        <f t="shared" si="10"/>
        <v>82127</v>
      </c>
      <c r="J69" s="7">
        <f t="shared" si="11"/>
        <v>21875</v>
      </c>
      <c r="K69" s="7" t="str">
        <f t="shared" si="12"/>
        <v>F</v>
      </c>
      <c r="L69" s="7" t="str">
        <f t="shared" si="13"/>
        <v>Transformative change</v>
      </c>
      <c r="M69" s="7" t="str">
        <f t="shared" si="14"/>
        <v>Low</v>
      </c>
      <c r="N69" s="7">
        <f t="shared" si="15"/>
        <v>1576579</v>
      </c>
      <c r="O69" s="7">
        <f t="shared" si="16"/>
        <v>247471.0525</v>
      </c>
      <c r="P69" s="7">
        <f t="shared" ref="P69:Q69" si="417">RANDBETWEEN(0,22)</f>
        <v>17</v>
      </c>
      <c r="Q69" s="7">
        <f t="shared" si="417"/>
        <v>14</v>
      </c>
      <c r="R69" s="7">
        <f t="shared" ref="R69:T69" si="418">IF(S69=1,1,RANDBETWEEN(0,1))</f>
        <v>1</v>
      </c>
      <c r="S69" s="7">
        <f t="shared" si="418"/>
        <v>1</v>
      </c>
      <c r="T69" s="7">
        <f t="shared" si="418"/>
        <v>1</v>
      </c>
      <c r="U69" s="7">
        <f t="shared" si="19"/>
        <v>1</v>
      </c>
      <c r="V69" s="7">
        <f t="shared" ref="V69:X69" si="419">IF(W69=1,1,RANDBETWEEN(0,1))</f>
        <v>0</v>
      </c>
      <c r="W69" s="7">
        <f t="shared" si="419"/>
        <v>0</v>
      </c>
      <c r="X69" s="7">
        <f t="shared" si="419"/>
        <v>0</v>
      </c>
      <c r="Y69" s="7">
        <f t="shared" si="21"/>
        <v>0</v>
      </c>
      <c r="Z69" s="7">
        <f t="shared" ref="Z69:AB69" si="420">IF(AA69=1,1,RANDBETWEEN(0,1))</f>
        <v>1</v>
      </c>
      <c r="AA69" s="7">
        <f t="shared" si="420"/>
        <v>1</v>
      </c>
      <c r="AB69" s="7">
        <f t="shared" si="420"/>
        <v>1</v>
      </c>
      <c r="AC69" s="7">
        <f t="shared" si="23"/>
        <v>1</v>
      </c>
      <c r="AD69" s="7">
        <f t="shared" ref="AD69:AF69" si="421">IF(AE69=1,1,RANDBETWEEN(0,1))</f>
        <v>1</v>
      </c>
      <c r="AE69" s="7">
        <f t="shared" si="421"/>
        <v>1</v>
      </c>
      <c r="AF69" s="7">
        <f t="shared" si="421"/>
        <v>1</v>
      </c>
      <c r="AG69" s="7">
        <f t="shared" si="25"/>
        <v>1</v>
      </c>
    </row>
    <row r="70">
      <c r="A70" s="4" t="s">
        <v>230</v>
      </c>
      <c r="B70" s="4" t="s">
        <v>231</v>
      </c>
      <c r="C70" s="4" t="s">
        <v>232</v>
      </c>
      <c r="D70" s="5">
        <v>10909.0</v>
      </c>
      <c r="E70" s="6">
        <f t="shared" si="7"/>
        <v>1087</v>
      </c>
      <c r="F70" s="7">
        <f t="shared" ref="F70:G70" si="422">ROUND(RAND(),2)</f>
        <v>0.23</v>
      </c>
      <c r="G70" s="7">
        <f t="shared" si="422"/>
        <v>0.49</v>
      </c>
      <c r="H70" s="7">
        <f t="shared" si="9"/>
        <v>1</v>
      </c>
      <c r="I70" s="7">
        <f t="shared" si="10"/>
        <v>95069</v>
      </c>
      <c r="J70" s="7">
        <f t="shared" si="11"/>
        <v>23731</v>
      </c>
      <c r="K70" s="7" t="str">
        <f t="shared" si="12"/>
        <v>G</v>
      </c>
      <c r="L70" s="7" t="str">
        <f t="shared" si="13"/>
        <v>High ambition</v>
      </c>
      <c r="M70" s="7" t="str">
        <f t="shared" si="14"/>
        <v>Low</v>
      </c>
      <c r="N70" s="7">
        <f t="shared" si="15"/>
        <v>1108316</v>
      </c>
      <c r="O70" s="7">
        <f t="shared" si="16"/>
        <v>642490.3363</v>
      </c>
      <c r="P70" s="7">
        <f t="shared" ref="P70:Q70" si="423">RANDBETWEEN(0,22)</f>
        <v>21</v>
      </c>
      <c r="Q70" s="7">
        <f t="shared" si="423"/>
        <v>3</v>
      </c>
      <c r="R70" s="7">
        <f t="shared" ref="R70:T70" si="424">IF(S70=1,1,RANDBETWEEN(0,1))</f>
        <v>1</v>
      </c>
      <c r="S70" s="7">
        <f t="shared" si="424"/>
        <v>1</v>
      </c>
      <c r="T70" s="7">
        <f t="shared" si="424"/>
        <v>1</v>
      </c>
      <c r="U70" s="7">
        <f t="shared" si="19"/>
        <v>1</v>
      </c>
      <c r="V70" s="7">
        <f t="shared" ref="V70:X70" si="425">IF(W70=1,1,RANDBETWEEN(0,1))</f>
        <v>1</v>
      </c>
      <c r="W70" s="7">
        <f t="shared" si="425"/>
        <v>1</v>
      </c>
      <c r="X70" s="7">
        <f t="shared" si="425"/>
        <v>1</v>
      </c>
      <c r="Y70" s="7">
        <f t="shared" si="21"/>
        <v>1</v>
      </c>
      <c r="Z70" s="7">
        <f t="shared" ref="Z70:AB70" si="426">IF(AA70=1,1,RANDBETWEEN(0,1))</f>
        <v>1</v>
      </c>
      <c r="AA70" s="7">
        <f t="shared" si="426"/>
        <v>1</v>
      </c>
      <c r="AB70" s="7">
        <f t="shared" si="426"/>
        <v>0</v>
      </c>
      <c r="AC70" s="7">
        <f t="shared" si="23"/>
        <v>0</v>
      </c>
      <c r="AD70" s="7">
        <f t="shared" ref="AD70:AF70" si="427">IF(AE70=1,1,RANDBETWEEN(0,1))</f>
        <v>1</v>
      </c>
      <c r="AE70" s="7">
        <f t="shared" si="427"/>
        <v>1</v>
      </c>
      <c r="AF70" s="7">
        <f t="shared" si="427"/>
        <v>1</v>
      </c>
      <c r="AG70" s="7">
        <f t="shared" si="25"/>
        <v>1</v>
      </c>
    </row>
    <row r="71">
      <c r="A71" s="4" t="s">
        <v>230</v>
      </c>
      <c r="B71" s="4" t="s">
        <v>233</v>
      </c>
      <c r="C71" s="4" t="s">
        <v>234</v>
      </c>
      <c r="D71" s="5">
        <v>18618.0</v>
      </c>
      <c r="E71" s="6">
        <f t="shared" si="7"/>
        <v>971</v>
      </c>
      <c r="F71" s="7">
        <f t="shared" ref="F71:G71" si="428">ROUND(RAND(),2)</f>
        <v>0.75</v>
      </c>
      <c r="G71" s="7">
        <f t="shared" si="428"/>
        <v>0.6</v>
      </c>
      <c r="H71" s="7">
        <f t="shared" si="9"/>
        <v>2</v>
      </c>
      <c r="I71" s="7">
        <f t="shared" si="10"/>
        <v>85293</v>
      </c>
      <c r="J71" s="7">
        <f t="shared" si="11"/>
        <v>61674</v>
      </c>
      <c r="K71" s="7" t="str">
        <f t="shared" si="12"/>
        <v>C</v>
      </c>
      <c r="L71" s="7" t="str">
        <f t="shared" si="13"/>
        <v>Transformative change</v>
      </c>
      <c r="M71" s="7" t="str">
        <f t="shared" si="14"/>
        <v>Medium</v>
      </c>
      <c r="N71" s="7">
        <f t="shared" si="15"/>
        <v>3154249</v>
      </c>
      <c r="O71" s="7">
        <f t="shared" si="16"/>
        <v>240344.1859</v>
      </c>
      <c r="P71" s="7">
        <f t="shared" ref="P71:Q71" si="429">RANDBETWEEN(0,22)</f>
        <v>3</v>
      </c>
      <c r="Q71" s="7">
        <f t="shared" si="429"/>
        <v>14</v>
      </c>
      <c r="R71" s="7">
        <f t="shared" ref="R71:T71" si="430">IF(S71=1,1,RANDBETWEEN(0,1))</f>
        <v>1</v>
      </c>
      <c r="S71" s="7">
        <f t="shared" si="430"/>
        <v>1</v>
      </c>
      <c r="T71" s="7">
        <f t="shared" si="430"/>
        <v>1</v>
      </c>
      <c r="U71" s="7">
        <f t="shared" si="19"/>
        <v>1</v>
      </c>
      <c r="V71" s="7">
        <f t="shared" ref="V71:X71" si="431">IF(W71=1,1,RANDBETWEEN(0,1))</f>
        <v>1</v>
      </c>
      <c r="W71" s="7">
        <f t="shared" si="431"/>
        <v>1</v>
      </c>
      <c r="X71" s="7">
        <f t="shared" si="431"/>
        <v>1</v>
      </c>
      <c r="Y71" s="7">
        <f t="shared" si="21"/>
        <v>0</v>
      </c>
      <c r="Z71" s="7">
        <f t="shared" ref="Z71:AB71" si="432">IF(AA71=1,1,RANDBETWEEN(0,1))</f>
        <v>1</v>
      </c>
      <c r="AA71" s="7">
        <f t="shared" si="432"/>
        <v>1</v>
      </c>
      <c r="AB71" s="7">
        <f t="shared" si="432"/>
        <v>1</v>
      </c>
      <c r="AC71" s="7">
        <f t="shared" si="23"/>
        <v>0</v>
      </c>
      <c r="AD71" s="7">
        <f t="shared" ref="AD71:AF71" si="433">IF(AE71=1,1,RANDBETWEEN(0,1))</f>
        <v>1</v>
      </c>
      <c r="AE71" s="7">
        <f t="shared" si="433"/>
        <v>1</v>
      </c>
      <c r="AF71" s="7">
        <f t="shared" si="433"/>
        <v>1</v>
      </c>
      <c r="AG71" s="7">
        <f t="shared" si="25"/>
        <v>1</v>
      </c>
    </row>
    <row r="72">
      <c r="A72" s="4" t="s">
        <v>235</v>
      </c>
      <c r="B72" s="4" t="s">
        <v>236</v>
      </c>
      <c r="C72" s="4" t="s">
        <v>237</v>
      </c>
      <c r="D72" s="5">
        <v>38008.0</v>
      </c>
      <c r="E72" s="6">
        <f t="shared" si="7"/>
        <v>897</v>
      </c>
      <c r="F72" s="7">
        <f t="shared" ref="F72:G72" si="434">ROUND(RAND(),2)</f>
        <v>0.65</v>
      </c>
      <c r="G72" s="7">
        <f t="shared" si="434"/>
        <v>0.2</v>
      </c>
      <c r="H72" s="7">
        <f t="shared" si="9"/>
        <v>1</v>
      </c>
      <c r="I72" s="7">
        <f t="shared" si="10"/>
        <v>46278</v>
      </c>
      <c r="J72" s="7">
        <f t="shared" si="11"/>
        <v>4011</v>
      </c>
      <c r="K72" s="7" t="str">
        <f t="shared" si="12"/>
        <v>E</v>
      </c>
      <c r="L72" s="7" t="str">
        <f t="shared" si="13"/>
        <v>Transformative change</v>
      </c>
      <c r="M72" s="7" t="str">
        <f t="shared" si="14"/>
        <v>Low</v>
      </c>
      <c r="N72" s="7">
        <f t="shared" si="15"/>
        <v>747375</v>
      </c>
      <c r="O72" s="7">
        <f t="shared" si="16"/>
        <v>676484.1281</v>
      </c>
      <c r="P72" s="7">
        <f t="shared" ref="P72:Q72" si="435">RANDBETWEEN(0,22)</f>
        <v>17</v>
      </c>
      <c r="Q72" s="7">
        <f t="shared" si="435"/>
        <v>11</v>
      </c>
      <c r="R72" s="7">
        <f t="shared" ref="R72:T72" si="436">IF(S72=1,1,RANDBETWEEN(0,1))</f>
        <v>1</v>
      </c>
      <c r="S72" s="7">
        <f t="shared" si="436"/>
        <v>1</v>
      </c>
      <c r="T72" s="7">
        <f t="shared" si="436"/>
        <v>1</v>
      </c>
      <c r="U72" s="7">
        <f t="shared" si="19"/>
        <v>1</v>
      </c>
      <c r="V72" s="7">
        <f t="shared" ref="V72:X72" si="437">IF(W72=1,1,RANDBETWEEN(0,1))</f>
        <v>1</v>
      </c>
      <c r="W72" s="7">
        <f t="shared" si="437"/>
        <v>1</v>
      </c>
      <c r="X72" s="7">
        <f t="shared" si="437"/>
        <v>1</v>
      </c>
      <c r="Y72" s="7">
        <f t="shared" si="21"/>
        <v>1</v>
      </c>
      <c r="Z72" s="7">
        <f t="shared" ref="Z72:AB72" si="438">IF(AA72=1,1,RANDBETWEEN(0,1))</f>
        <v>1</v>
      </c>
      <c r="AA72" s="7">
        <f t="shared" si="438"/>
        <v>1</v>
      </c>
      <c r="AB72" s="7">
        <f t="shared" si="438"/>
        <v>1</v>
      </c>
      <c r="AC72" s="7">
        <f t="shared" si="23"/>
        <v>1</v>
      </c>
      <c r="AD72" s="7">
        <f t="shared" ref="AD72:AF72" si="439">IF(AE72=1,1,RANDBETWEEN(0,1))</f>
        <v>1</v>
      </c>
      <c r="AE72" s="7">
        <f t="shared" si="439"/>
        <v>1</v>
      </c>
      <c r="AF72" s="7">
        <f t="shared" si="439"/>
        <v>1</v>
      </c>
      <c r="AG72" s="7">
        <f t="shared" si="25"/>
        <v>0</v>
      </c>
    </row>
    <row r="73">
      <c r="A73" s="4" t="s">
        <v>238</v>
      </c>
      <c r="B73" s="4" t="s">
        <v>239</v>
      </c>
      <c r="C73" s="4" t="s">
        <v>240</v>
      </c>
      <c r="D73" s="5">
        <v>11101.0</v>
      </c>
      <c r="E73" s="6">
        <f t="shared" si="7"/>
        <v>1092</v>
      </c>
      <c r="F73" s="7">
        <f t="shared" ref="F73:G73" si="440">ROUND(RAND(),2)</f>
        <v>0.89</v>
      </c>
      <c r="G73" s="7">
        <f t="shared" si="440"/>
        <v>0.27</v>
      </c>
      <c r="H73" s="7">
        <f t="shared" si="9"/>
        <v>4</v>
      </c>
      <c r="I73" s="7">
        <f t="shared" si="10"/>
        <v>94152</v>
      </c>
      <c r="J73" s="7">
        <f t="shared" si="11"/>
        <v>52553</v>
      </c>
      <c r="K73" s="7" t="str">
        <f t="shared" si="12"/>
        <v>D</v>
      </c>
      <c r="L73" s="7" t="str">
        <f t="shared" si="13"/>
        <v>Transformative change</v>
      </c>
      <c r="M73" s="7" t="str">
        <f t="shared" si="14"/>
        <v>High</v>
      </c>
      <c r="N73" s="7">
        <f t="shared" si="15"/>
        <v>3609622</v>
      </c>
      <c r="O73" s="7">
        <f t="shared" si="16"/>
        <v>3495243.915</v>
      </c>
      <c r="P73" s="7">
        <f t="shared" ref="P73:Q73" si="441">RANDBETWEEN(0,22)</f>
        <v>6</v>
      </c>
      <c r="Q73" s="7">
        <f t="shared" si="441"/>
        <v>17</v>
      </c>
      <c r="R73" s="7">
        <f t="shared" ref="R73:T73" si="442">IF(S73=1,1,RANDBETWEEN(0,1))</f>
        <v>1</v>
      </c>
      <c r="S73" s="7">
        <f t="shared" si="442"/>
        <v>1</v>
      </c>
      <c r="T73" s="7">
        <f t="shared" si="442"/>
        <v>1</v>
      </c>
      <c r="U73" s="7">
        <f t="shared" si="19"/>
        <v>0</v>
      </c>
      <c r="V73" s="7">
        <f t="shared" ref="V73:X73" si="443">IF(W73=1,1,RANDBETWEEN(0,1))</f>
        <v>1</v>
      </c>
      <c r="W73" s="7">
        <f t="shared" si="443"/>
        <v>1</v>
      </c>
      <c r="X73" s="7">
        <f t="shared" si="443"/>
        <v>0</v>
      </c>
      <c r="Y73" s="7">
        <f t="shared" si="21"/>
        <v>0</v>
      </c>
      <c r="Z73" s="7">
        <f t="shared" ref="Z73:AB73" si="444">IF(AA73=1,1,RANDBETWEEN(0,1))</f>
        <v>1</v>
      </c>
      <c r="AA73" s="7">
        <f t="shared" si="444"/>
        <v>1</v>
      </c>
      <c r="AB73" s="7">
        <f t="shared" si="444"/>
        <v>1</v>
      </c>
      <c r="AC73" s="7">
        <f t="shared" si="23"/>
        <v>1</v>
      </c>
      <c r="AD73" s="7">
        <f t="shared" ref="AD73:AF73" si="445">IF(AE73=1,1,RANDBETWEEN(0,1))</f>
        <v>1</v>
      </c>
      <c r="AE73" s="7">
        <f t="shared" si="445"/>
        <v>1</v>
      </c>
      <c r="AF73" s="7">
        <f t="shared" si="445"/>
        <v>1</v>
      </c>
      <c r="AG73" s="7">
        <f t="shared" si="25"/>
        <v>1</v>
      </c>
    </row>
    <row r="74">
      <c r="A74" s="4" t="s">
        <v>241</v>
      </c>
      <c r="B74" s="4" t="s">
        <v>242</v>
      </c>
      <c r="C74" s="4" t="s">
        <v>95</v>
      </c>
      <c r="D74" s="5">
        <v>521418.0</v>
      </c>
      <c r="E74" s="6">
        <f t="shared" si="7"/>
        <v>1889.2</v>
      </c>
      <c r="F74" s="7">
        <f t="shared" ref="F74:G74" si="446">ROUND(RAND(),2)</f>
        <v>0.68</v>
      </c>
      <c r="G74" s="7">
        <f t="shared" si="446"/>
        <v>0.1</v>
      </c>
      <c r="H74" s="7">
        <f t="shared" si="9"/>
        <v>5</v>
      </c>
      <c r="I74" s="7">
        <f t="shared" si="10"/>
        <v>19653</v>
      </c>
      <c r="J74" s="7">
        <f t="shared" si="11"/>
        <v>15572</v>
      </c>
      <c r="K74" s="7" t="str">
        <f t="shared" si="12"/>
        <v>D</v>
      </c>
      <c r="L74" s="7" t="str">
        <f t="shared" si="13"/>
        <v>Transformative change</v>
      </c>
      <c r="M74" s="7" t="str">
        <f t="shared" si="14"/>
        <v>Low</v>
      </c>
      <c r="N74" s="7">
        <f t="shared" si="15"/>
        <v>1461273</v>
      </c>
      <c r="O74" s="7">
        <f t="shared" si="16"/>
        <v>110815.013</v>
      </c>
      <c r="P74" s="7">
        <f t="shared" ref="P74:Q74" si="447">RANDBETWEEN(0,22)</f>
        <v>5</v>
      </c>
      <c r="Q74" s="7">
        <f t="shared" si="447"/>
        <v>3</v>
      </c>
      <c r="R74" s="7">
        <f t="shared" ref="R74:T74" si="448">IF(S74=1,1,RANDBETWEEN(0,1))</f>
        <v>1</v>
      </c>
      <c r="S74" s="7">
        <f t="shared" si="448"/>
        <v>1</v>
      </c>
      <c r="T74" s="7">
        <f t="shared" si="448"/>
        <v>1</v>
      </c>
      <c r="U74" s="7">
        <f t="shared" si="19"/>
        <v>0</v>
      </c>
      <c r="V74" s="7">
        <f t="shared" ref="V74:X74" si="449">IF(W74=1,1,RANDBETWEEN(0,1))</f>
        <v>1</v>
      </c>
      <c r="W74" s="7">
        <f t="shared" si="449"/>
        <v>1</v>
      </c>
      <c r="X74" s="7">
        <f t="shared" si="449"/>
        <v>1</v>
      </c>
      <c r="Y74" s="7">
        <f t="shared" si="21"/>
        <v>1</v>
      </c>
      <c r="Z74" s="7">
        <f t="shared" ref="Z74:AB74" si="450">IF(AA74=1,1,RANDBETWEEN(0,1))</f>
        <v>1</v>
      </c>
      <c r="AA74" s="7">
        <f t="shared" si="450"/>
        <v>1</v>
      </c>
      <c r="AB74" s="7">
        <f t="shared" si="450"/>
        <v>0</v>
      </c>
      <c r="AC74" s="7">
        <f t="shared" si="23"/>
        <v>0</v>
      </c>
      <c r="AD74" s="7">
        <f t="shared" ref="AD74:AF74" si="451">IF(AE74=1,1,RANDBETWEEN(0,1))</f>
        <v>1</v>
      </c>
      <c r="AE74" s="7">
        <f t="shared" si="451"/>
        <v>1</v>
      </c>
      <c r="AF74" s="7">
        <f t="shared" si="451"/>
        <v>1</v>
      </c>
      <c r="AG74" s="7">
        <f t="shared" si="25"/>
        <v>1</v>
      </c>
    </row>
    <row r="75">
      <c r="A75" s="4" t="s">
        <v>243</v>
      </c>
      <c r="B75" s="4" t="s">
        <v>244</v>
      </c>
      <c r="C75" s="4" t="s">
        <v>245</v>
      </c>
      <c r="D75" s="5">
        <v>35656.0</v>
      </c>
      <c r="E75" s="6">
        <f t="shared" si="7"/>
        <v>827</v>
      </c>
      <c r="F75" s="7">
        <f t="shared" ref="F75:G75" si="452">ROUND(RAND(),2)</f>
        <v>0.56</v>
      </c>
      <c r="G75" s="7">
        <f t="shared" si="452"/>
        <v>0.39</v>
      </c>
      <c r="H75" s="7">
        <f t="shared" si="9"/>
        <v>2</v>
      </c>
      <c r="I75" s="7">
        <f t="shared" si="10"/>
        <v>37549</v>
      </c>
      <c r="J75" s="7">
        <f t="shared" si="11"/>
        <v>49903</v>
      </c>
      <c r="K75" s="7" t="str">
        <f t="shared" si="12"/>
        <v>F</v>
      </c>
      <c r="L75" s="7" t="str">
        <f t="shared" si="13"/>
        <v>Transformative change</v>
      </c>
      <c r="M75" s="7" t="str">
        <f t="shared" si="14"/>
        <v>High</v>
      </c>
      <c r="N75" s="7">
        <f t="shared" si="15"/>
        <v>2018608</v>
      </c>
      <c r="O75" s="7">
        <f t="shared" si="16"/>
        <v>1979918.499</v>
      </c>
      <c r="P75" s="7">
        <f t="shared" ref="P75:Q75" si="453">RANDBETWEEN(0,22)</f>
        <v>16</v>
      </c>
      <c r="Q75" s="7">
        <f t="shared" si="453"/>
        <v>5</v>
      </c>
      <c r="R75" s="7">
        <f t="shared" ref="R75:T75" si="454">IF(S75=1,1,RANDBETWEEN(0,1))</f>
        <v>1</v>
      </c>
      <c r="S75" s="7">
        <f t="shared" si="454"/>
        <v>1</v>
      </c>
      <c r="T75" s="7">
        <f t="shared" si="454"/>
        <v>1</v>
      </c>
      <c r="U75" s="7">
        <f t="shared" si="19"/>
        <v>1</v>
      </c>
      <c r="V75" s="7">
        <f t="shared" ref="V75:X75" si="455">IF(W75=1,1,RANDBETWEEN(0,1))</f>
        <v>1</v>
      </c>
      <c r="W75" s="7">
        <f t="shared" si="455"/>
        <v>1</v>
      </c>
      <c r="X75" s="7">
        <f t="shared" si="455"/>
        <v>1</v>
      </c>
      <c r="Y75" s="7">
        <f t="shared" si="21"/>
        <v>1</v>
      </c>
      <c r="Z75" s="7">
        <f t="shared" ref="Z75:AB75" si="456">IF(AA75=1,1,RANDBETWEEN(0,1))</f>
        <v>1</v>
      </c>
      <c r="AA75" s="7">
        <f t="shared" si="456"/>
        <v>1</v>
      </c>
      <c r="AB75" s="7">
        <f t="shared" si="456"/>
        <v>1</v>
      </c>
      <c r="AC75" s="7">
        <f t="shared" si="23"/>
        <v>1</v>
      </c>
      <c r="AD75" s="7">
        <f t="shared" ref="AD75:AF75" si="457">IF(AE75=1,1,RANDBETWEEN(0,1))</f>
        <v>1</v>
      </c>
      <c r="AE75" s="7">
        <f t="shared" si="457"/>
        <v>0</v>
      </c>
      <c r="AF75" s="7">
        <f t="shared" si="457"/>
        <v>0</v>
      </c>
      <c r="AG75" s="7">
        <f t="shared" si="25"/>
        <v>0</v>
      </c>
    </row>
    <row r="76">
      <c r="A76" s="4" t="s">
        <v>246</v>
      </c>
      <c r="B76" s="4" t="s">
        <v>247</v>
      </c>
      <c r="C76" s="4" t="s">
        <v>248</v>
      </c>
      <c r="D76" s="5">
        <v>12697.0</v>
      </c>
      <c r="E76" s="6">
        <f t="shared" si="7"/>
        <v>1023</v>
      </c>
      <c r="F76" s="7">
        <f t="shared" ref="F76:G76" si="458">ROUND(RAND(),2)</f>
        <v>0.39</v>
      </c>
      <c r="G76" s="7">
        <f t="shared" si="458"/>
        <v>0.8</v>
      </c>
      <c r="H76" s="7">
        <f t="shared" si="9"/>
        <v>4</v>
      </c>
      <c r="I76" s="7">
        <f t="shared" si="10"/>
        <v>24425</v>
      </c>
      <c r="J76" s="7">
        <f t="shared" si="11"/>
        <v>14353</v>
      </c>
      <c r="K76" s="7" t="str">
        <f t="shared" si="12"/>
        <v>C</v>
      </c>
      <c r="L76" s="7" t="str">
        <f t="shared" si="13"/>
        <v>Transformative change</v>
      </c>
      <c r="M76" s="7" t="str">
        <f t="shared" si="14"/>
        <v>Low</v>
      </c>
      <c r="N76" s="7">
        <f t="shared" si="15"/>
        <v>1718053</v>
      </c>
      <c r="O76" s="7">
        <f t="shared" si="16"/>
        <v>1425328.065</v>
      </c>
      <c r="P76" s="7">
        <f t="shared" ref="P76:Q76" si="459">RANDBETWEEN(0,22)</f>
        <v>0</v>
      </c>
      <c r="Q76" s="7">
        <f t="shared" si="459"/>
        <v>8</v>
      </c>
      <c r="R76" s="7">
        <f t="shared" ref="R76:T76" si="460">IF(S76=1,1,RANDBETWEEN(0,1))</f>
        <v>1</v>
      </c>
      <c r="S76" s="7">
        <f t="shared" si="460"/>
        <v>0</v>
      </c>
      <c r="T76" s="7">
        <f t="shared" si="460"/>
        <v>0</v>
      </c>
      <c r="U76" s="7">
        <f t="shared" si="19"/>
        <v>0</v>
      </c>
      <c r="V76" s="7">
        <f t="shared" ref="V76:X76" si="461">IF(W76=1,1,RANDBETWEEN(0,1))</f>
        <v>0</v>
      </c>
      <c r="W76" s="7">
        <f t="shared" si="461"/>
        <v>0</v>
      </c>
      <c r="X76" s="7">
        <f t="shared" si="461"/>
        <v>0</v>
      </c>
      <c r="Y76" s="7">
        <f t="shared" si="21"/>
        <v>0</v>
      </c>
      <c r="Z76" s="7">
        <f t="shared" ref="Z76:AB76" si="462">IF(AA76=1,1,RANDBETWEEN(0,1))</f>
        <v>0</v>
      </c>
      <c r="AA76" s="7">
        <f t="shared" si="462"/>
        <v>0</v>
      </c>
      <c r="AB76" s="7">
        <f t="shared" si="462"/>
        <v>0</v>
      </c>
      <c r="AC76" s="7">
        <f t="shared" si="23"/>
        <v>0</v>
      </c>
      <c r="AD76" s="7">
        <f t="shared" ref="AD76:AF76" si="463">IF(AE76=1,1,RANDBETWEEN(0,1))</f>
        <v>1</v>
      </c>
      <c r="AE76" s="7">
        <f t="shared" si="463"/>
        <v>1</v>
      </c>
      <c r="AF76" s="7">
        <f t="shared" si="463"/>
        <v>1</v>
      </c>
      <c r="AG76" s="7">
        <f t="shared" si="25"/>
        <v>1</v>
      </c>
    </row>
    <row r="77">
      <c r="A77" s="4" t="s">
        <v>249</v>
      </c>
      <c r="B77" s="4" t="s">
        <v>250</v>
      </c>
      <c r="C77" s="4" t="s">
        <v>95</v>
      </c>
      <c r="D77" s="5">
        <v>95874.0</v>
      </c>
      <c r="E77" s="6">
        <f t="shared" si="7"/>
        <v>828</v>
      </c>
      <c r="F77" s="7">
        <f t="shared" ref="F77:G77" si="464">ROUND(RAND(),2)</f>
        <v>0.08</v>
      </c>
      <c r="G77" s="7">
        <f t="shared" si="464"/>
        <v>0.63</v>
      </c>
      <c r="H77" s="7">
        <f t="shared" si="9"/>
        <v>1</v>
      </c>
      <c r="I77" s="7">
        <f t="shared" si="10"/>
        <v>42831</v>
      </c>
      <c r="J77" s="7">
        <f t="shared" si="11"/>
        <v>29131</v>
      </c>
      <c r="K77" s="7" t="str">
        <f t="shared" si="12"/>
        <v>E</v>
      </c>
      <c r="L77" s="7" t="str">
        <f t="shared" si="13"/>
        <v>Transformative change</v>
      </c>
      <c r="M77" s="7" t="str">
        <f t="shared" si="14"/>
        <v>High</v>
      </c>
      <c r="N77" s="7">
        <f t="shared" si="15"/>
        <v>2822440</v>
      </c>
      <c r="O77" s="7">
        <f t="shared" si="16"/>
        <v>1686295.92</v>
      </c>
      <c r="P77" s="7">
        <f t="shared" ref="P77:Q77" si="465">RANDBETWEEN(0,22)</f>
        <v>18</v>
      </c>
      <c r="Q77" s="7">
        <f t="shared" si="465"/>
        <v>13</v>
      </c>
      <c r="R77" s="7">
        <f t="shared" ref="R77:T77" si="466">IF(S77=1,1,RANDBETWEEN(0,1))</f>
        <v>1</v>
      </c>
      <c r="S77" s="7">
        <f t="shared" si="466"/>
        <v>1</v>
      </c>
      <c r="T77" s="7">
        <f t="shared" si="466"/>
        <v>1</v>
      </c>
      <c r="U77" s="7">
        <f t="shared" si="19"/>
        <v>1</v>
      </c>
      <c r="V77" s="7">
        <f t="shared" ref="V77:X77" si="467">IF(W77=1,1,RANDBETWEEN(0,1))</f>
        <v>1</v>
      </c>
      <c r="W77" s="7">
        <f t="shared" si="467"/>
        <v>1</v>
      </c>
      <c r="X77" s="7">
        <f t="shared" si="467"/>
        <v>0</v>
      </c>
      <c r="Y77" s="7">
        <f t="shared" si="21"/>
        <v>0</v>
      </c>
      <c r="Z77" s="7">
        <f t="shared" ref="Z77:AB77" si="468">IF(AA77=1,1,RANDBETWEEN(0,1))</f>
        <v>1</v>
      </c>
      <c r="AA77" s="7">
        <f t="shared" si="468"/>
        <v>1</v>
      </c>
      <c r="AB77" s="7">
        <f t="shared" si="468"/>
        <v>0</v>
      </c>
      <c r="AC77" s="7">
        <f t="shared" si="23"/>
        <v>0</v>
      </c>
      <c r="AD77" s="7">
        <f t="shared" ref="AD77:AF77" si="469">IF(AE77=1,1,RANDBETWEEN(0,1))</f>
        <v>1</v>
      </c>
      <c r="AE77" s="7">
        <f t="shared" si="469"/>
        <v>1</v>
      </c>
      <c r="AF77" s="7">
        <f t="shared" si="469"/>
        <v>0</v>
      </c>
      <c r="AG77" s="7">
        <f t="shared" si="25"/>
        <v>0</v>
      </c>
    </row>
    <row r="78">
      <c r="A78" s="4" t="s">
        <v>251</v>
      </c>
      <c r="B78" s="4" t="s">
        <v>252</v>
      </c>
      <c r="C78" s="4" t="s">
        <v>253</v>
      </c>
      <c r="D78" s="5">
        <v>7401.0</v>
      </c>
      <c r="E78" s="6">
        <f t="shared" si="7"/>
        <v>850</v>
      </c>
      <c r="F78" s="7">
        <f t="shared" ref="F78:G78" si="470">ROUND(RAND(),2)</f>
        <v>0.81</v>
      </c>
      <c r="G78" s="7">
        <f t="shared" si="470"/>
        <v>0.08</v>
      </c>
      <c r="H78" s="7">
        <f t="shared" si="9"/>
        <v>4</v>
      </c>
      <c r="I78" s="7">
        <f t="shared" si="10"/>
        <v>17379</v>
      </c>
      <c r="J78" s="7">
        <f t="shared" si="11"/>
        <v>3776</v>
      </c>
      <c r="K78" s="7" t="str">
        <f t="shared" si="12"/>
        <v>D</v>
      </c>
      <c r="L78" s="7" t="str">
        <f t="shared" si="13"/>
        <v>Transformative change</v>
      </c>
      <c r="M78" s="7" t="str">
        <f t="shared" si="14"/>
        <v>Medium</v>
      </c>
      <c r="N78" s="7">
        <f t="shared" si="15"/>
        <v>3094662</v>
      </c>
      <c r="O78" s="7">
        <f t="shared" si="16"/>
        <v>2652269.704</v>
      </c>
      <c r="P78" s="7">
        <f t="shared" ref="P78:Q78" si="471">RANDBETWEEN(0,22)</f>
        <v>14</v>
      </c>
      <c r="Q78" s="7">
        <f t="shared" si="471"/>
        <v>14</v>
      </c>
      <c r="R78" s="7">
        <f t="shared" ref="R78:T78" si="472">IF(S78=1,1,RANDBETWEEN(0,1))</f>
        <v>1</v>
      </c>
      <c r="S78" s="7">
        <f t="shared" si="472"/>
        <v>1</v>
      </c>
      <c r="T78" s="7">
        <f t="shared" si="472"/>
        <v>1</v>
      </c>
      <c r="U78" s="7">
        <f t="shared" si="19"/>
        <v>0</v>
      </c>
      <c r="V78" s="7">
        <f t="shared" ref="V78:X78" si="473">IF(W78=1,1,RANDBETWEEN(0,1))</f>
        <v>1</v>
      </c>
      <c r="W78" s="7">
        <f t="shared" si="473"/>
        <v>1</v>
      </c>
      <c r="X78" s="7">
        <f t="shared" si="473"/>
        <v>1</v>
      </c>
      <c r="Y78" s="7">
        <f t="shared" si="21"/>
        <v>0</v>
      </c>
      <c r="Z78" s="7">
        <f t="shared" ref="Z78:AB78" si="474">IF(AA78=1,1,RANDBETWEEN(0,1))</f>
        <v>1</v>
      </c>
      <c r="AA78" s="7">
        <f t="shared" si="474"/>
        <v>1</v>
      </c>
      <c r="AB78" s="7">
        <f t="shared" si="474"/>
        <v>1</v>
      </c>
      <c r="AC78" s="7">
        <f t="shared" si="23"/>
        <v>1</v>
      </c>
      <c r="AD78" s="7">
        <f t="shared" ref="AD78:AF78" si="475">IF(AE78=1,1,RANDBETWEEN(0,1))</f>
        <v>1</v>
      </c>
      <c r="AE78" s="7">
        <f t="shared" si="475"/>
        <v>1</v>
      </c>
      <c r="AF78" s="7">
        <f t="shared" si="475"/>
        <v>1</v>
      </c>
      <c r="AG78" s="7">
        <f t="shared" si="25"/>
        <v>1</v>
      </c>
    </row>
    <row r="79">
      <c r="A79" s="4" t="s">
        <v>254</v>
      </c>
      <c r="B79" s="4" t="s">
        <v>255</v>
      </c>
      <c r="C79" s="4" t="s">
        <v>256</v>
      </c>
      <c r="D79" s="5">
        <v>85694.0</v>
      </c>
      <c r="E79" s="6">
        <f t="shared" si="7"/>
        <v>912</v>
      </c>
      <c r="F79" s="7">
        <f t="shared" ref="F79:G79" si="476">ROUND(RAND(),2)</f>
        <v>0.51</v>
      </c>
      <c r="G79" s="7">
        <f t="shared" si="476"/>
        <v>0.55</v>
      </c>
      <c r="H79" s="7">
        <f t="shared" si="9"/>
        <v>1</v>
      </c>
      <c r="I79" s="7">
        <f t="shared" si="10"/>
        <v>42701</v>
      </c>
      <c r="J79" s="7">
        <f t="shared" si="11"/>
        <v>36046</v>
      </c>
      <c r="K79" s="7" t="str">
        <f t="shared" si="12"/>
        <v>B</v>
      </c>
      <c r="L79" s="7" t="str">
        <f t="shared" si="13"/>
        <v>Transformative change</v>
      </c>
      <c r="M79" s="7" t="str">
        <f t="shared" si="14"/>
        <v>Low</v>
      </c>
      <c r="N79" s="7">
        <f t="shared" si="15"/>
        <v>2540157</v>
      </c>
      <c r="O79" s="7">
        <f t="shared" si="16"/>
        <v>876859.6437</v>
      </c>
      <c r="P79" s="7">
        <f t="shared" ref="P79:Q79" si="477">RANDBETWEEN(0,22)</f>
        <v>10</v>
      </c>
      <c r="Q79" s="7">
        <f t="shared" si="477"/>
        <v>13</v>
      </c>
      <c r="R79" s="7">
        <f t="shared" ref="R79:T79" si="478">IF(S79=1,1,RANDBETWEEN(0,1))</f>
        <v>1</v>
      </c>
      <c r="S79" s="7">
        <f t="shared" si="478"/>
        <v>1</v>
      </c>
      <c r="T79" s="7">
        <f t="shared" si="478"/>
        <v>1</v>
      </c>
      <c r="U79" s="7">
        <f t="shared" si="19"/>
        <v>1</v>
      </c>
      <c r="V79" s="7">
        <f t="shared" ref="V79:X79" si="479">IF(W79=1,1,RANDBETWEEN(0,1))</f>
        <v>1</v>
      </c>
      <c r="W79" s="7">
        <f t="shared" si="479"/>
        <v>1</v>
      </c>
      <c r="X79" s="7">
        <f t="shared" si="479"/>
        <v>1</v>
      </c>
      <c r="Y79" s="7">
        <f t="shared" si="21"/>
        <v>0</v>
      </c>
      <c r="Z79" s="7">
        <f t="shared" ref="Z79:AB79" si="480">IF(AA79=1,1,RANDBETWEEN(0,1))</f>
        <v>1</v>
      </c>
      <c r="AA79" s="7">
        <f t="shared" si="480"/>
        <v>1</v>
      </c>
      <c r="AB79" s="7">
        <f t="shared" si="480"/>
        <v>1</v>
      </c>
      <c r="AC79" s="7">
        <f t="shared" si="23"/>
        <v>1</v>
      </c>
      <c r="AD79" s="7">
        <f t="shared" ref="AD79:AF79" si="481">IF(AE79=1,1,RANDBETWEEN(0,1))</f>
        <v>1</v>
      </c>
      <c r="AE79" s="7">
        <f t="shared" si="481"/>
        <v>1</v>
      </c>
      <c r="AF79" s="7">
        <f t="shared" si="481"/>
        <v>1</v>
      </c>
      <c r="AG79" s="7">
        <f t="shared" si="25"/>
        <v>1</v>
      </c>
    </row>
    <row r="80">
      <c r="A80" s="4" t="s">
        <v>257</v>
      </c>
      <c r="B80" s="4" t="s">
        <v>258</v>
      </c>
      <c r="C80" s="4" t="s">
        <v>259</v>
      </c>
      <c r="D80" s="5">
        <v>13456.0</v>
      </c>
      <c r="E80" s="6">
        <f t="shared" si="7"/>
        <v>837</v>
      </c>
      <c r="F80" s="7">
        <f t="shared" ref="F80:G80" si="482">ROUND(RAND(),2)</f>
        <v>0.06</v>
      </c>
      <c r="G80" s="7">
        <f t="shared" si="482"/>
        <v>0.5</v>
      </c>
      <c r="H80" s="7">
        <f t="shared" si="9"/>
        <v>1</v>
      </c>
      <c r="I80" s="7">
        <f t="shared" si="10"/>
        <v>3657</v>
      </c>
      <c r="J80" s="7">
        <f t="shared" si="11"/>
        <v>258</v>
      </c>
      <c r="K80" s="7" t="str">
        <f t="shared" si="12"/>
        <v>C</v>
      </c>
      <c r="L80" s="7" t="str">
        <f t="shared" si="13"/>
        <v>Transformative change</v>
      </c>
      <c r="M80" s="7" t="str">
        <f t="shared" si="14"/>
        <v>Medium</v>
      </c>
      <c r="N80" s="7">
        <f t="shared" si="15"/>
        <v>3929323</v>
      </c>
      <c r="O80" s="7">
        <f t="shared" si="16"/>
        <v>3480025.525</v>
      </c>
      <c r="P80" s="7">
        <f t="shared" ref="P80:Q80" si="483">RANDBETWEEN(0,22)</f>
        <v>13</v>
      </c>
      <c r="Q80" s="7">
        <f t="shared" si="483"/>
        <v>6</v>
      </c>
      <c r="R80" s="7">
        <f t="shared" ref="R80:T80" si="484">IF(S80=1,1,RANDBETWEEN(0,1))</f>
        <v>1</v>
      </c>
      <c r="S80" s="7">
        <f t="shared" si="484"/>
        <v>1</v>
      </c>
      <c r="T80" s="7">
        <f t="shared" si="484"/>
        <v>0</v>
      </c>
      <c r="U80" s="7">
        <f t="shared" si="19"/>
        <v>0</v>
      </c>
      <c r="V80" s="7">
        <f t="shared" ref="V80:X80" si="485">IF(W80=1,1,RANDBETWEEN(0,1))</f>
        <v>1</v>
      </c>
      <c r="W80" s="7">
        <f t="shared" si="485"/>
        <v>1</v>
      </c>
      <c r="X80" s="7">
        <f t="shared" si="485"/>
        <v>1</v>
      </c>
      <c r="Y80" s="7">
        <f t="shared" si="21"/>
        <v>1</v>
      </c>
      <c r="Z80" s="7">
        <f t="shared" ref="Z80:AB80" si="486">IF(AA80=1,1,RANDBETWEEN(0,1))</f>
        <v>1</v>
      </c>
      <c r="AA80" s="7">
        <f t="shared" si="486"/>
        <v>1</v>
      </c>
      <c r="AB80" s="7">
        <f t="shared" si="486"/>
        <v>1</v>
      </c>
      <c r="AC80" s="7">
        <f t="shared" si="23"/>
        <v>1</v>
      </c>
      <c r="AD80" s="7">
        <f t="shared" ref="AD80:AF80" si="487">IF(AE80=1,1,RANDBETWEEN(0,1))</f>
        <v>1</v>
      </c>
      <c r="AE80" s="7">
        <f t="shared" si="487"/>
        <v>1</v>
      </c>
      <c r="AF80" s="7">
        <f t="shared" si="487"/>
        <v>1</v>
      </c>
      <c r="AG80" s="7">
        <f t="shared" si="25"/>
        <v>1</v>
      </c>
    </row>
    <row r="81">
      <c r="A81" s="4" t="s">
        <v>260</v>
      </c>
      <c r="B81" s="4" t="s">
        <v>261</v>
      </c>
      <c r="C81" s="4" t="s">
        <v>262</v>
      </c>
      <c r="D81" s="5">
        <v>15740.0</v>
      </c>
      <c r="E81" s="6">
        <f t="shared" si="7"/>
        <v>1063</v>
      </c>
      <c r="F81" s="7">
        <f t="shared" ref="F81:G81" si="488">ROUND(RAND(),2)</f>
        <v>0.69</v>
      </c>
      <c r="G81" s="7">
        <f t="shared" si="488"/>
        <v>0.28</v>
      </c>
      <c r="H81" s="7">
        <f t="shared" si="9"/>
        <v>4</v>
      </c>
      <c r="I81" s="7">
        <f t="shared" si="10"/>
        <v>58785</v>
      </c>
      <c r="J81" s="7">
        <f t="shared" si="11"/>
        <v>16975</v>
      </c>
      <c r="K81" s="7" t="str">
        <f t="shared" si="12"/>
        <v>F</v>
      </c>
      <c r="L81" s="7" t="str">
        <f t="shared" si="13"/>
        <v>Transformative change</v>
      </c>
      <c r="M81" s="7" t="str">
        <f t="shared" si="14"/>
        <v>Medium</v>
      </c>
      <c r="N81" s="7">
        <f t="shared" si="15"/>
        <v>2751548</v>
      </c>
      <c r="O81" s="7">
        <f t="shared" si="16"/>
        <v>1668199.578</v>
      </c>
      <c r="P81" s="7">
        <f t="shared" ref="P81:Q81" si="489">RANDBETWEEN(0,22)</f>
        <v>3</v>
      </c>
      <c r="Q81" s="7">
        <f t="shared" si="489"/>
        <v>21</v>
      </c>
      <c r="R81" s="7">
        <f t="shared" ref="R81:T81" si="490">IF(S81=1,1,RANDBETWEEN(0,1))</f>
        <v>1</v>
      </c>
      <c r="S81" s="7">
        <f t="shared" si="490"/>
        <v>1</v>
      </c>
      <c r="T81" s="7">
        <f t="shared" si="490"/>
        <v>1</v>
      </c>
      <c r="U81" s="7">
        <f t="shared" si="19"/>
        <v>1</v>
      </c>
      <c r="V81" s="7">
        <f t="shared" ref="V81:X81" si="491">IF(W81=1,1,RANDBETWEEN(0,1))</f>
        <v>1</v>
      </c>
      <c r="W81" s="7">
        <f t="shared" si="491"/>
        <v>1</v>
      </c>
      <c r="X81" s="7">
        <f t="shared" si="491"/>
        <v>1</v>
      </c>
      <c r="Y81" s="7">
        <f t="shared" si="21"/>
        <v>0</v>
      </c>
      <c r="Z81" s="7">
        <f t="shared" ref="Z81:AB81" si="492">IF(AA81=1,1,RANDBETWEEN(0,1))</f>
        <v>0</v>
      </c>
      <c r="AA81" s="7">
        <f t="shared" si="492"/>
        <v>0</v>
      </c>
      <c r="AB81" s="7">
        <f t="shared" si="492"/>
        <v>0</v>
      </c>
      <c r="AC81" s="7">
        <f t="shared" si="23"/>
        <v>0</v>
      </c>
      <c r="AD81" s="7">
        <f t="shared" ref="AD81:AF81" si="493">IF(AE81=1,1,RANDBETWEEN(0,1))</f>
        <v>0</v>
      </c>
      <c r="AE81" s="7">
        <f t="shared" si="493"/>
        <v>0</v>
      </c>
      <c r="AF81" s="7">
        <f t="shared" si="493"/>
        <v>0</v>
      </c>
      <c r="AG81" s="7">
        <f t="shared" si="25"/>
        <v>0</v>
      </c>
    </row>
    <row r="82">
      <c r="A82" s="4" t="s">
        <v>263</v>
      </c>
      <c r="B82" s="4" t="s">
        <v>264</v>
      </c>
      <c r="C82" s="4" t="s">
        <v>265</v>
      </c>
      <c r="D82" s="5">
        <v>8007.0</v>
      </c>
      <c r="E82" s="6">
        <f t="shared" si="7"/>
        <v>865</v>
      </c>
      <c r="F82" s="7">
        <f t="shared" ref="F82:G82" si="494">ROUND(RAND(),2)</f>
        <v>0.46</v>
      </c>
      <c r="G82" s="7">
        <f t="shared" si="494"/>
        <v>0.75</v>
      </c>
      <c r="H82" s="7">
        <f t="shared" si="9"/>
        <v>5</v>
      </c>
      <c r="I82" s="7">
        <f t="shared" si="10"/>
        <v>57722</v>
      </c>
      <c r="J82" s="7">
        <f t="shared" si="11"/>
        <v>45964</v>
      </c>
      <c r="K82" s="7" t="str">
        <f t="shared" si="12"/>
        <v>A</v>
      </c>
      <c r="L82" s="7" t="str">
        <f t="shared" si="13"/>
        <v>Transformative change</v>
      </c>
      <c r="M82" s="7" t="str">
        <f t="shared" si="14"/>
        <v>Low</v>
      </c>
      <c r="N82" s="7">
        <f t="shared" si="15"/>
        <v>2236490</v>
      </c>
      <c r="O82" s="7">
        <f t="shared" si="16"/>
        <v>673551.1411</v>
      </c>
      <c r="P82" s="7">
        <f t="shared" ref="P82:Q82" si="495">RANDBETWEEN(0,22)</f>
        <v>6</v>
      </c>
      <c r="Q82" s="7">
        <f t="shared" si="495"/>
        <v>12</v>
      </c>
      <c r="R82" s="7">
        <f t="shared" ref="R82:T82" si="496">IF(S82=1,1,RANDBETWEEN(0,1))</f>
        <v>1</v>
      </c>
      <c r="S82" s="7">
        <f t="shared" si="496"/>
        <v>0</v>
      </c>
      <c r="T82" s="7">
        <f t="shared" si="496"/>
        <v>0</v>
      </c>
      <c r="U82" s="7">
        <f t="shared" si="19"/>
        <v>0</v>
      </c>
      <c r="V82" s="7">
        <f t="shared" ref="V82:X82" si="497">IF(W82=1,1,RANDBETWEEN(0,1))</f>
        <v>1</v>
      </c>
      <c r="W82" s="7">
        <f t="shared" si="497"/>
        <v>1</v>
      </c>
      <c r="X82" s="7">
        <f t="shared" si="497"/>
        <v>1</v>
      </c>
      <c r="Y82" s="7">
        <f t="shared" si="21"/>
        <v>1</v>
      </c>
      <c r="Z82" s="7">
        <f t="shared" ref="Z82:AB82" si="498">IF(AA82=1,1,RANDBETWEEN(0,1))</f>
        <v>1</v>
      </c>
      <c r="AA82" s="7">
        <f t="shared" si="498"/>
        <v>1</v>
      </c>
      <c r="AB82" s="7">
        <f t="shared" si="498"/>
        <v>1</v>
      </c>
      <c r="AC82" s="7">
        <f t="shared" si="23"/>
        <v>1</v>
      </c>
      <c r="AD82" s="7">
        <f t="shared" ref="AD82:AF82" si="499">IF(AE82=1,1,RANDBETWEEN(0,1))</f>
        <v>1</v>
      </c>
      <c r="AE82" s="7">
        <f t="shared" si="499"/>
        <v>1</v>
      </c>
      <c r="AF82" s="7">
        <f t="shared" si="499"/>
        <v>1</v>
      </c>
      <c r="AG82" s="7">
        <f t="shared" si="25"/>
        <v>1</v>
      </c>
    </row>
    <row r="83">
      <c r="A83" s="4" t="s">
        <v>266</v>
      </c>
      <c r="B83" s="4" t="s">
        <v>267</v>
      </c>
      <c r="C83" s="4" t="s">
        <v>268</v>
      </c>
      <c r="D83" s="5">
        <v>12912.0</v>
      </c>
      <c r="E83" s="6">
        <f t="shared" si="7"/>
        <v>880</v>
      </c>
      <c r="F83" s="7">
        <f t="shared" ref="F83:G83" si="500">ROUND(RAND(),2)</f>
        <v>0.65</v>
      </c>
      <c r="G83" s="7">
        <f t="shared" si="500"/>
        <v>0.24</v>
      </c>
      <c r="H83" s="7">
        <f t="shared" si="9"/>
        <v>4</v>
      </c>
      <c r="I83" s="7">
        <f t="shared" si="10"/>
        <v>98458</v>
      </c>
      <c r="J83" s="7">
        <f t="shared" si="11"/>
        <v>12886</v>
      </c>
      <c r="K83" s="7" t="str">
        <f t="shared" si="12"/>
        <v>G</v>
      </c>
      <c r="L83" s="7" t="str">
        <f t="shared" si="13"/>
        <v>Transformative change</v>
      </c>
      <c r="M83" s="7" t="str">
        <f t="shared" si="14"/>
        <v>High</v>
      </c>
      <c r="N83" s="7">
        <f t="shared" si="15"/>
        <v>3007282</v>
      </c>
      <c r="O83" s="7">
        <f t="shared" si="16"/>
        <v>1690970.34</v>
      </c>
      <c r="P83" s="7">
        <f t="shared" ref="P83:Q83" si="501">RANDBETWEEN(0,22)</f>
        <v>20</v>
      </c>
      <c r="Q83" s="7">
        <f t="shared" si="501"/>
        <v>9</v>
      </c>
      <c r="R83" s="7">
        <f t="shared" ref="R83:T83" si="502">IF(S83=1,1,RANDBETWEEN(0,1))</f>
        <v>1</v>
      </c>
      <c r="S83" s="7">
        <f t="shared" si="502"/>
        <v>1</v>
      </c>
      <c r="T83" s="7">
        <f t="shared" si="502"/>
        <v>0</v>
      </c>
      <c r="U83" s="7">
        <f t="shared" si="19"/>
        <v>0</v>
      </c>
      <c r="V83" s="7">
        <f t="shared" ref="V83:X83" si="503">IF(W83=1,1,RANDBETWEEN(0,1))</f>
        <v>1</v>
      </c>
      <c r="W83" s="7">
        <f t="shared" si="503"/>
        <v>0</v>
      </c>
      <c r="X83" s="7">
        <f t="shared" si="503"/>
        <v>0</v>
      </c>
      <c r="Y83" s="7">
        <f t="shared" si="21"/>
        <v>0</v>
      </c>
      <c r="Z83" s="7">
        <f t="shared" ref="Z83:AB83" si="504">IF(AA83=1,1,RANDBETWEEN(0,1))</f>
        <v>1</v>
      </c>
      <c r="AA83" s="7">
        <f t="shared" si="504"/>
        <v>1</v>
      </c>
      <c r="AB83" s="7">
        <f t="shared" si="504"/>
        <v>1</v>
      </c>
      <c r="AC83" s="7">
        <f t="shared" si="23"/>
        <v>0</v>
      </c>
      <c r="AD83" s="7">
        <f t="shared" ref="AD83:AF83" si="505">IF(AE83=1,1,RANDBETWEEN(0,1))</f>
        <v>1</v>
      </c>
      <c r="AE83" s="7">
        <f t="shared" si="505"/>
        <v>1</v>
      </c>
      <c r="AF83" s="7">
        <f t="shared" si="505"/>
        <v>1</v>
      </c>
      <c r="AG83" s="7">
        <f t="shared" si="25"/>
        <v>0</v>
      </c>
    </row>
    <row r="84">
      <c r="A84" s="4" t="s">
        <v>269</v>
      </c>
      <c r="B84" s="4" t="s">
        <v>270</v>
      </c>
      <c r="C84" s="4" t="s">
        <v>271</v>
      </c>
      <c r="D84" s="5">
        <v>5488.0</v>
      </c>
      <c r="E84" s="6">
        <f t="shared" si="7"/>
        <v>1099</v>
      </c>
      <c r="F84" s="7">
        <f t="shared" ref="F84:G84" si="506">ROUND(RAND(),2)</f>
        <v>0.77</v>
      </c>
      <c r="G84" s="7">
        <f t="shared" si="506"/>
        <v>0.85</v>
      </c>
      <c r="H84" s="7">
        <f t="shared" si="9"/>
        <v>4</v>
      </c>
      <c r="I84" s="7">
        <f t="shared" si="10"/>
        <v>61602</v>
      </c>
      <c r="J84" s="7">
        <f t="shared" si="11"/>
        <v>10430</v>
      </c>
      <c r="K84" s="7" t="str">
        <f t="shared" si="12"/>
        <v>F</v>
      </c>
      <c r="L84" s="7" t="str">
        <f t="shared" si="13"/>
        <v>High ambition</v>
      </c>
      <c r="M84" s="7" t="str">
        <f t="shared" si="14"/>
        <v>Low</v>
      </c>
      <c r="N84" s="7">
        <f t="shared" si="15"/>
        <v>1422658</v>
      </c>
      <c r="O84" s="7">
        <f t="shared" si="16"/>
        <v>1095448.546</v>
      </c>
      <c r="P84" s="7">
        <f t="shared" ref="P84:Q84" si="507">RANDBETWEEN(0,22)</f>
        <v>9</v>
      </c>
      <c r="Q84" s="7">
        <f t="shared" si="507"/>
        <v>16</v>
      </c>
      <c r="R84" s="7">
        <f t="shared" ref="R84:T84" si="508">IF(S84=1,1,RANDBETWEEN(0,1))</f>
        <v>1</v>
      </c>
      <c r="S84" s="7">
        <f t="shared" si="508"/>
        <v>1</v>
      </c>
      <c r="T84" s="7">
        <f t="shared" si="508"/>
        <v>1</v>
      </c>
      <c r="U84" s="7">
        <f t="shared" si="19"/>
        <v>1</v>
      </c>
      <c r="V84" s="7">
        <f t="shared" ref="V84:X84" si="509">IF(W84=1,1,RANDBETWEEN(0,1))</f>
        <v>1</v>
      </c>
      <c r="W84" s="7">
        <f t="shared" si="509"/>
        <v>1</v>
      </c>
      <c r="X84" s="7">
        <f t="shared" si="509"/>
        <v>1</v>
      </c>
      <c r="Y84" s="7">
        <f t="shared" si="21"/>
        <v>1</v>
      </c>
      <c r="Z84" s="7">
        <f t="shared" ref="Z84:AB84" si="510">IF(AA84=1,1,RANDBETWEEN(0,1))</f>
        <v>1</v>
      </c>
      <c r="AA84" s="7">
        <f t="shared" si="510"/>
        <v>1</v>
      </c>
      <c r="AB84" s="7">
        <f t="shared" si="510"/>
        <v>1</v>
      </c>
      <c r="AC84" s="7">
        <f t="shared" si="23"/>
        <v>1</v>
      </c>
      <c r="AD84" s="7">
        <f t="shared" ref="AD84:AF84" si="511">IF(AE84=1,1,RANDBETWEEN(0,1))</f>
        <v>1</v>
      </c>
      <c r="AE84" s="7">
        <f t="shared" si="511"/>
        <v>1</v>
      </c>
      <c r="AF84" s="7">
        <f t="shared" si="511"/>
        <v>1</v>
      </c>
      <c r="AG84" s="7">
        <f t="shared" si="25"/>
        <v>1</v>
      </c>
    </row>
    <row r="85">
      <c r="A85" s="4" t="s">
        <v>272</v>
      </c>
      <c r="B85" s="4" t="s">
        <v>273</v>
      </c>
      <c r="C85" s="4" t="s">
        <v>274</v>
      </c>
      <c r="D85" s="5">
        <v>46833.0</v>
      </c>
      <c r="E85" s="6">
        <f t="shared" si="7"/>
        <v>804</v>
      </c>
      <c r="F85" s="7">
        <f t="shared" ref="F85:G85" si="512">ROUND(RAND(),2)</f>
        <v>0.32</v>
      </c>
      <c r="G85" s="7">
        <f t="shared" si="512"/>
        <v>0.87</v>
      </c>
      <c r="H85" s="7">
        <f t="shared" si="9"/>
        <v>5</v>
      </c>
      <c r="I85" s="7">
        <f t="shared" si="10"/>
        <v>71323</v>
      </c>
      <c r="J85" s="7">
        <f t="shared" si="11"/>
        <v>709</v>
      </c>
      <c r="K85" s="7" t="str">
        <f t="shared" si="12"/>
        <v>B</v>
      </c>
      <c r="L85" s="7" t="str">
        <f t="shared" si="13"/>
        <v>Transformative change</v>
      </c>
      <c r="M85" s="7" t="str">
        <f t="shared" si="14"/>
        <v>Medium</v>
      </c>
      <c r="N85" s="7">
        <f t="shared" si="15"/>
        <v>2916924</v>
      </c>
      <c r="O85" s="7">
        <f t="shared" si="16"/>
        <v>449157.0634</v>
      </c>
      <c r="P85" s="7">
        <f t="shared" ref="P85:Q85" si="513">RANDBETWEEN(0,22)</f>
        <v>16</v>
      </c>
      <c r="Q85" s="7">
        <f t="shared" si="513"/>
        <v>21</v>
      </c>
      <c r="R85" s="7">
        <f t="shared" ref="R85:T85" si="514">IF(S85=1,1,RANDBETWEEN(0,1))</f>
        <v>1</v>
      </c>
      <c r="S85" s="7">
        <f t="shared" si="514"/>
        <v>1</v>
      </c>
      <c r="T85" s="7">
        <f t="shared" si="514"/>
        <v>1</v>
      </c>
      <c r="U85" s="7">
        <f t="shared" si="19"/>
        <v>0</v>
      </c>
      <c r="V85" s="7">
        <f t="shared" ref="V85:X85" si="515">IF(W85=1,1,RANDBETWEEN(0,1))</f>
        <v>1</v>
      </c>
      <c r="W85" s="7">
        <f t="shared" si="515"/>
        <v>1</v>
      </c>
      <c r="X85" s="7">
        <f t="shared" si="515"/>
        <v>1</v>
      </c>
      <c r="Y85" s="7">
        <f t="shared" si="21"/>
        <v>0</v>
      </c>
      <c r="Z85" s="7">
        <f t="shared" ref="Z85:AB85" si="516">IF(AA85=1,1,RANDBETWEEN(0,1))</f>
        <v>1</v>
      </c>
      <c r="AA85" s="7">
        <f t="shared" si="516"/>
        <v>1</v>
      </c>
      <c r="AB85" s="7">
        <f t="shared" si="516"/>
        <v>1</v>
      </c>
      <c r="AC85" s="7">
        <f t="shared" si="23"/>
        <v>1</v>
      </c>
      <c r="AD85" s="7">
        <f t="shared" ref="AD85:AF85" si="517">IF(AE85=1,1,RANDBETWEEN(0,1))</f>
        <v>1</v>
      </c>
      <c r="AE85" s="7">
        <f t="shared" si="517"/>
        <v>1</v>
      </c>
      <c r="AF85" s="7">
        <f t="shared" si="517"/>
        <v>1</v>
      </c>
      <c r="AG85" s="7">
        <f t="shared" si="25"/>
        <v>1</v>
      </c>
    </row>
    <row r="86">
      <c r="A86" s="4" t="s">
        <v>275</v>
      </c>
      <c r="B86" s="4" t="s">
        <v>276</v>
      </c>
      <c r="C86" s="4" t="s">
        <v>95</v>
      </c>
      <c r="D86" s="5">
        <v>18864.0</v>
      </c>
      <c r="E86" s="6">
        <f t="shared" si="7"/>
        <v>1009</v>
      </c>
      <c r="F86" s="7">
        <f t="shared" ref="F86:G86" si="518">ROUND(RAND(),2)</f>
        <v>0.92</v>
      </c>
      <c r="G86" s="7">
        <f t="shared" si="518"/>
        <v>0</v>
      </c>
      <c r="H86" s="7">
        <f t="shared" si="9"/>
        <v>5</v>
      </c>
      <c r="I86" s="7">
        <f t="shared" si="10"/>
        <v>42111</v>
      </c>
      <c r="J86" s="7">
        <f t="shared" si="11"/>
        <v>16662</v>
      </c>
      <c r="K86" s="7" t="str">
        <f t="shared" si="12"/>
        <v>E</v>
      </c>
      <c r="L86" s="7" t="str">
        <f t="shared" si="13"/>
        <v>High ambition</v>
      </c>
      <c r="M86" s="7" t="str">
        <f t="shared" si="14"/>
        <v>Low</v>
      </c>
      <c r="N86" s="7">
        <f t="shared" si="15"/>
        <v>1144359</v>
      </c>
      <c r="O86" s="7">
        <f t="shared" si="16"/>
        <v>269281.159</v>
      </c>
      <c r="P86" s="7">
        <f t="shared" ref="P86:Q86" si="519">RANDBETWEEN(0,22)</f>
        <v>9</v>
      </c>
      <c r="Q86" s="7">
        <f t="shared" si="519"/>
        <v>5</v>
      </c>
      <c r="R86" s="7">
        <f t="shared" ref="R86:T86" si="520">IF(S86=1,1,RANDBETWEEN(0,1))</f>
        <v>1</v>
      </c>
      <c r="S86" s="7">
        <f t="shared" si="520"/>
        <v>1</v>
      </c>
      <c r="T86" s="7">
        <f t="shared" si="520"/>
        <v>1</v>
      </c>
      <c r="U86" s="7">
        <f t="shared" si="19"/>
        <v>1</v>
      </c>
      <c r="V86" s="7">
        <f t="shared" ref="V86:X86" si="521">IF(W86=1,1,RANDBETWEEN(0,1))</f>
        <v>0</v>
      </c>
      <c r="W86" s="7">
        <f t="shared" si="521"/>
        <v>0</v>
      </c>
      <c r="X86" s="7">
        <f t="shared" si="521"/>
        <v>0</v>
      </c>
      <c r="Y86" s="7">
        <f t="shared" si="21"/>
        <v>0</v>
      </c>
      <c r="Z86" s="7">
        <f t="shared" ref="Z86:AB86" si="522">IF(AA86=1,1,RANDBETWEEN(0,1))</f>
        <v>1</v>
      </c>
      <c r="AA86" s="7">
        <f t="shared" si="522"/>
        <v>1</v>
      </c>
      <c r="AB86" s="7">
        <f t="shared" si="522"/>
        <v>1</v>
      </c>
      <c r="AC86" s="7">
        <f t="shared" si="23"/>
        <v>0</v>
      </c>
      <c r="AD86" s="7">
        <f t="shared" ref="AD86:AF86" si="523">IF(AE86=1,1,RANDBETWEEN(0,1))</f>
        <v>1</v>
      </c>
      <c r="AE86" s="7">
        <f t="shared" si="523"/>
        <v>1</v>
      </c>
      <c r="AF86" s="7">
        <f t="shared" si="523"/>
        <v>0</v>
      </c>
      <c r="AG86" s="7">
        <f t="shared" si="25"/>
        <v>0</v>
      </c>
    </row>
    <row r="87">
      <c r="A87" s="4" t="s">
        <v>277</v>
      </c>
      <c r="B87" s="4" t="s">
        <v>278</v>
      </c>
      <c r="C87" s="4" t="s">
        <v>279</v>
      </c>
      <c r="D87" s="5">
        <v>70757.0</v>
      </c>
      <c r="E87" s="6">
        <f t="shared" si="7"/>
        <v>561.56</v>
      </c>
      <c r="F87" s="7">
        <f t="shared" ref="F87:G87" si="524">ROUND(RAND(),2)</f>
        <v>0.28</v>
      </c>
      <c r="G87" s="7">
        <f t="shared" si="524"/>
        <v>0.52</v>
      </c>
      <c r="H87" s="7">
        <f t="shared" si="9"/>
        <v>2</v>
      </c>
      <c r="I87" s="7">
        <f t="shared" si="10"/>
        <v>57041</v>
      </c>
      <c r="J87" s="7">
        <f t="shared" si="11"/>
        <v>35702</v>
      </c>
      <c r="K87" s="7" t="str">
        <f t="shared" si="12"/>
        <v>B</v>
      </c>
      <c r="L87" s="7" t="str">
        <f t="shared" si="13"/>
        <v>Transformative change</v>
      </c>
      <c r="M87" s="7" t="str">
        <f t="shared" si="14"/>
        <v>Low</v>
      </c>
      <c r="N87" s="7">
        <f t="shared" si="15"/>
        <v>1827102</v>
      </c>
      <c r="O87" s="7">
        <f t="shared" si="16"/>
        <v>214201.989</v>
      </c>
      <c r="P87" s="7">
        <f t="shared" ref="P87:Q87" si="525">RANDBETWEEN(0,22)</f>
        <v>13</v>
      </c>
      <c r="Q87" s="7">
        <f t="shared" si="525"/>
        <v>2</v>
      </c>
      <c r="R87" s="7">
        <f t="shared" ref="R87:T87" si="526">IF(S87=1,1,RANDBETWEEN(0,1))</f>
        <v>1</v>
      </c>
      <c r="S87" s="7">
        <f t="shared" si="526"/>
        <v>1</v>
      </c>
      <c r="T87" s="7">
        <f t="shared" si="526"/>
        <v>1</v>
      </c>
      <c r="U87" s="7">
        <f t="shared" si="19"/>
        <v>1</v>
      </c>
      <c r="V87" s="7">
        <f t="shared" ref="V87:X87" si="527">IF(W87=1,1,RANDBETWEEN(0,1))</f>
        <v>1</v>
      </c>
      <c r="W87" s="7">
        <f t="shared" si="527"/>
        <v>1</v>
      </c>
      <c r="X87" s="7">
        <f t="shared" si="527"/>
        <v>1</v>
      </c>
      <c r="Y87" s="7">
        <f t="shared" si="21"/>
        <v>1</v>
      </c>
      <c r="Z87" s="7">
        <f t="shared" ref="Z87:AB87" si="528">IF(AA87=1,1,RANDBETWEEN(0,1))</f>
        <v>1</v>
      </c>
      <c r="AA87" s="7">
        <f t="shared" si="528"/>
        <v>1</v>
      </c>
      <c r="AB87" s="7">
        <f t="shared" si="528"/>
        <v>1</v>
      </c>
      <c r="AC87" s="7">
        <f t="shared" si="23"/>
        <v>1</v>
      </c>
      <c r="AD87" s="7">
        <f t="shared" ref="AD87:AF87" si="529">IF(AE87=1,1,RANDBETWEEN(0,1))</f>
        <v>1</v>
      </c>
      <c r="AE87" s="7">
        <f t="shared" si="529"/>
        <v>1</v>
      </c>
      <c r="AF87" s="7">
        <f t="shared" si="529"/>
        <v>1</v>
      </c>
      <c r="AG87" s="7">
        <f t="shared" si="25"/>
        <v>1</v>
      </c>
    </row>
    <row r="88">
      <c r="A88" s="4" t="s">
        <v>280</v>
      </c>
      <c r="B88" s="4" t="s">
        <v>281</v>
      </c>
      <c r="C88" s="4" t="s">
        <v>282</v>
      </c>
      <c r="D88" s="5">
        <v>5440.0</v>
      </c>
      <c r="E88" s="6">
        <f t="shared" si="7"/>
        <v>828</v>
      </c>
      <c r="F88" s="7">
        <f t="shared" ref="F88:G88" si="530">ROUND(RAND(),2)</f>
        <v>0.18</v>
      </c>
      <c r="G88" s="7">
        <f t="shared" si="530"/>
        <v>0.19</v>
      </c>
      <c r="H88" s="7">
        <f t="shared" si="9"/>
        <v>1</v>
      </c>
      <c r="I88" s="7">
        <f t="shared" si="10"/>
        <v>11081</v>
      </c>
      <c r="J88" s="7">
        <f t="shared" si="11"/>
        <v>9982</v>
      </c>
      <c r="K88" s="7" t="str">
        <f t="shared" si="12"/>
        <v>C</v>
      </c>
      <c r="L88" s="7" t="str">
        <f t="shared" si="13"/>
        <v>Transformative change</v>
      </c>
      <c r="M88" s="7" t="str">
        <f t="shared" si="14"/>
        <v>Low</v>
      </c>
      <c r="N88" s="7">
        <f t="shared" si="15"/>
        <v>330823</v>
      </c>
      <c r="O88" s="7">
        <f t="shared" si="16"/>
        <v>206768.3346</v>
      </c>
      <c r="P88" s="7">
        <f t="shared" ref="P88:Q88" si="531">RANDBETWEEN(0,22)</f>
        <v>1</v>
      </c>
      <c r="Q88" s="7">
        <f t="shared" si="531"/>
        <v>4</v>
      </c>
      <c r="R88" s="7">
        <f t="shared" ref="R88:T88" si="532">IF(S88=1,1,RANDBETWEEN(0,1))</f>
        <v>1</v>
      </c>
      <c r="S88" s="7">
        <f t="shared" si="532"/>
        <v>1</v>
      </c>
      <c r="T88" s="7">
        <f t="shared" si="532"/>
        <v>0</v>
      </c>
      <c r="U88" s="7">
        <f t="shared" si="19"/>
        <v>0</v>
      </c>
      <c r="V88" s="7">
        <f t="shared" ref="V88:X88" si="533">IF(W88=1,1,RANDBETWEEN(0,1))</f>
        <v>1</v>
      </c>
      <c r="W88" s="7">
        <f t="shared" si="533"/>
        <v>1</v>
      </c>
      <c r="X88" s="7">
        <f t="shared" si="533"/>
        <v>1</v>
      </c>
      <c r="Y88" s="7">
        <f t="shared" si="21"/>
        <v>1</v>
      </c>
      <c r="Z88" s="7">
        <f t="shared" ref="Z88:AB88" si="534">IF(AA88=1,1,RANDBETWEEN(0,1))</f>
        <v>1</v>
      </c>
      <c r="AA88" s="7">
        <f t="shared" si="534"/>
        <v>1</v>
      </c>
      <c r="AB88" s="7">
        <f t="shared" si="534"/>
        <v>1</v>
      </c>
      <c r="AC88" s="7">
        <f t="shared" si="23"/>
        <v>1</v>
      </c>
      <c r="AD88" s="7">
        <f t="shared" ref="AD88:AF88" si="535">IF(AE88=1,1,RANDBETWEEN(0,1))</f>
        <v>1</v>
      </c>
      <c r="AE88" s="7">
        <f t="shared" si="535"/>
        <v>1</v>
      </c>
      <c r="AF88" s="7">
        <f t="shared" si="535"/>
        <v>1</v>
      </c>
      <c r="AG88" s="7">
        <f t="shared" si="25"/>
        <v>1</v>
      </c>
    </row>
    <row r="89">
      <c r="A89" s="4" t="s">
        <v>283</v>
      </c>
      <c r="B89" s="4" t="s">
        <v>284</v>
      </c>
      <c r="C89" s="4" t="s">
        <v>285</v>
      </c>
      <c r="D89" s="5">
        <v>5582.0</v>
      </c>
      <c r="E89" s="6">
        <f t="shared" si="7"/>
        <v>999</v>
      </c>
      <c r="F89" s="7">
        <f t="shared" ref="F89:G89" si="536">ROUND(RAND(),2)</f>
        <v>0.1</v>
      </c>
      <c r="G89" s="7">
        <f t="shared" si="536"/>
        <v>0.83</v>
      </c>
      <c r="H89" s="7">
        <f t="shared" si="9"/>
        <v>5</v>
      </c>
      <c r="I89" s="7">
        <f t="shared" si="10"/>
        <v>43617</v>
      </c>
      <c r="J89" s="7">
        <f t="shared" si="11"/>
        <v>36001</v>
      </c>
      <c r="K89" s="7" t="str">
        <f t="shared" si="12"/>
        <v>C</v>
      </c>
      <c r="L89" s="7" t="str">
        <f t="shared" si="13"/>
        <v>Transformative change</v>
      </c>
      <c r="M89" s="7" t="str">
        <f t="shared" si="14"/>
        <v>Medium</v>
      </c>
      <c r="N89" s="7">
        <f t="shared" si="15"/>
        <v>894343</v>
      </c>
      <c r="O89" s="7">
        <f t="shared" si="16"/>
        <v>134187.3329</v>
      </c>
      <c r="P89" s="7">
        <f t="shared" ref="P89:Q89" si="537">RANDBETWEEN(0,22)</f>
        <v>7</v>
      </c>
      <c r="Q89" s="7">
        <f t="shared" si="537"/>
        <v>10</v>
      </c>
      <c r="R89" s="7">
        <f t="shared" ref="R89:T89" si="538">IF(S89=1,1,RANDBETWEEN(0,1))</f>
        <v>1</v>
      </c>
      <c r="S89" s="7">
        <f t="shared" si="538"/>
        <v>1</v>
      </c>
      <c r="T89" s="7">
        <f t="shared" si="538"/>
        <v>1</v>
      </c>
      <c r="U89" s="7">
        <f t="shared" si="19"/>
        <v>0</v>
      </c>
      <c r="V89" s="7">
        <f t="shared" ref="V89:X89" si="539">IF(W89=1,1,RANDBETWEEN(0,1))</f>
        <v>1</v>
      </c>
      <c r="W89" s="7">
        <f t="shared" si="539"/>
        <v>1</v>
      </c>
      <c r="X89" s="7">
        <f t="shared" si="539"/>
        <v>1</v>
      </c>
      <c r="Y89" s="7">
        <f t="shared" si="21"/>
        <v>1</v>
      </c>
      <c r="Z89" s="7">
        <f t="shared" ref="Z89:AB89" si="540">IF(AA89=1,1,RANDBETWEEN(0,1))</f>
        <v>1</v>
      </c>
      <c r="AA89" s="7">
        <f t="shared" si="540"/>
        <v>1</v>
      </c>
      <c r="AB89" s="7">
        <f t="shared" si="540"/>
        <v>1</v>
      </c>
      <c r="AC89" s="7">
        <f t="shared" si="23"/>
        <v>1</v>
      </c>
      <c r="AD89" s="7">
        <f t="shared" ref="AD89:AF89" si="541">IF(AE89=1,1,RANDBETWEEN(0,1))</f>
        <v>1</v>
      </c>
      <c r="AE89" s="7">
        <f t="shared" si="541"/>
        <v>1</v>
      </c>
      <c r="AF89" s="7">
        <f t="shared" si="541"/>
        <v>1</v>
      </c>
      <c r="AG89" s="7">
        <f t="shared" si="25"/>
        <v>1</v>
      </c>
    </row>
    <row r="90">
      <c r="A90" s="4" t="s">
        <v>286</v>
      </c>
      <c r="B90" s="4" t="s">
        <v>287</v>
      </c>
      <c r="C90" s="4" t="s">
        <v>95</v>
      </c>
      <c r="D90" s="5">
        <v>97745.0</v>
      </c>
      <c r="E90" s="6">
        <f t="shared" si="7"/>
        <v>1080</v>
      </c>
      <c r="F90" s="7">
        <f t="shared" ref="F90:G90" si="542">ROUND(RAND(),2)</f>
        <v>0.02</v>
      </c>
      <c r="G90" s="7">
        <f t="shared" si="542"/>
        <v>0.95</v>
      </c>
      <c r="H90" s="7">
        <f t="shared" si="9"/>
        <v>3</v>
      </c>
      <c r="I90" s="7">
        <f t="shared" si="10"/>
        <v>19832</v>
      </c>
      <c r="J90" s="7">
        <f t="shared" si="11"/>
        <v>56415</v>
      </c>
      <c r="K90" s="7" t="str">
        <f t="shared" si="12"/>
        <v>A</v>
      </c>
      <c r="L90" s="7" t="str">
        <f t="shared" si="13"/>
        <v>Transformative change</v>
      </c>
      <c r="M90" s="7" t="str">
        <f t="shared" si="14"/>
        <v>Low</v>
      </c>
      <c r="N90" s="7">
        <f t="shared" si="15"/>
        <v>2056595</v>
      </c>
      <c r="O90" s="7">
        <f t="shared" si="16"/>
        <v>1221663.628</v>
      </c>
      <c r="P90" s="7">
        <f t="shared" ref="P90:Q90" si="543">RANDBETWEEN(0,22)</f>
        <v>6</v>
      </c>
      <c r="Q90" s="7">
        <f t="shared" si="543"/>
        <v>18</v>
      </c>
      <c r="R90" s="7">
        <f t="shared" ref="R90:T90" si="544">IF(S90=1,1,RANDBETWEEN(0,1))</f>
        <v>1</v>
      </c>
      <c r="S90" s="7">
        <f t="shared" si="544"/>
        <v>1</v>
      </c>
      <c r="T90" s="7">
        <f t="shared" si="544"/>
        <v>1</v>
      </c>
      <c r="U90" s="7">
        <f t="shared" si="19"/>
        <v>0</v>
      </c>
      <c r="V90" s="7">
        <f t="shared" ref="V90:X90" si="545">IF(W90=1,1,RANDBETWEEN(0,1))</f>
        <v>0</v>
      </c>
      <c r="W90" s="7">
        <f t="shared" si="545"/>
        <v>0</v>
      </c>
      <c r="X90" s="7">
        <f t="shared" si="545"/>
        <v>0</v>
      </c>
      <c r="Y90" s="7">
        <f t="shared" si="21"/>
        <v>0</v>
      </c>
      <c r="Z90" s="7">
        <f t="shared" ref="Z90:AB90" si="546">IF(AA90=1,1,RANDBETWEEN(0,1))</f>
        <v>0</v>
      </c>
      <c r="AA90" s="7">
        <f t="shared" si="546"/>
        <v>0</v>
      </c>
      <c r="AB90" s="7">
        <f t="shared" si="546"/>
        <v>0</v>
      </c>
      <c r="AC90" s="7">
        <f t="shared" si="23"/>
        <v>0</v>
      </c>
      <c r="AD90" s="7">
        <f t="shared" ref="AD90:AF90" si="547">IF(AE90=1,1,RANDBETWEEN(0,1))</f>
        <v>0</v>
      </c>
      <c r="AE90" s="7">
        <f t="shared" si="547"/>
        <v>0</v>
      </c>
      <c r="AF90" s="7">
        <f t="shared" si="547"/>
        <v>0</v>
      </c>
      <c r="AG90" s="7">
        <f t="shared" si="25"/>
        <v>0</v>
      </c>
    </row>
    <row r="91">
      <c r="A91" s="4" t="s">
        <v>288</v>
      </c>
      <c r="B91" s="4" t="s">
        <v>289</v>
      </c>
      <c r="C91" s="4" t="s">
        <v>290</v>
      </c>
      <c r="D91" s="5">
        <v>317025.0</v>
      </c>
      <c r="E91" s="6">
        <f t="shared" si="7"/>
        <v>944</v>
      </c>
      <c r="F91" s="7">
        <f t="shared" ref="F91:G91" si="548">ROUND(RAND(),2)</f>
        <v>0.15</v>
      </c>
      <c r="G91" s="7">
        <f t="shared" si="548"/>
        <v>0.12</v>
      </c>
      <c r="H91" s="7">
        <f t="shared" si="9"/>
        <v>2</v>
      </c>
      <c r="I91" s="7">
        <f t="shared" si="10"/>
        <v>58211</v>
      </c>
      <c r="J91" s="7">
        <f t="shared" si="11"/>
        <v>54760</v>
      </c>
      <c r="K91" s="7" t="str">
        <f t="shared" si="12"/>
        <v>C</v>
      </c>
      <c r="L91" s="7" t="str">
        <f t="shared" si="13"/>
        <v>Transformative change</v>
      </c>
      <c r="M91" s="7" t="str">
        <f t="shared" si="14"/>
        <v>Low</v>
      </c>
      <c r="N91" s="7">
        <f t="shared" si="15"/>
        <v>424621</v>
      </c>
      <c r="O91" s="7">
        <f t="shared" si="16"/>
        <v>35553.86595</v>
      </c>
      <c r="P91" s="7">
        <f t="shared" ref="P91:Q91" si="549">RANDBETWEEN(0,22)</f>
        <v>2</v>
      </c>
      <c r="Q91" s="7">
        <f t="shared" si="549"/>
        <v>20</v>
      </c>
      <c r="R91" s="7">
        <f t="shared" ref="R91:T91" si="550">IF(S91=1,1,RANDBETWEEN(0,1))</f>
        <v>1</v>
      </c>
      <c r="S91" s="7">
        <f t="shared" si="550"/>
        <v>1</v>
      </c>
      <c r="T91" s="7">
        <f t="shared" si="550"/>
        <v>1</v>
      </c>
      <c r="U91" s="7">
        <f t="shared" si="19"/>
        <v>0</v>
      </c>
      <c r="V91" s="7">
        <f t="shared" ref="V91:X91" si="551">IF(W91=1,1,RANDBETWEEN(0,1))</f>
        <v>1</v>
      </c>
      <c r="W91" s="7">
        <f t="shared" si="551"/>
        <v>1</v>
      </c>
      <c r="X91" s="7">
        <f t="shared" si="551"/>
        <v>1</v>
      </c>
      <c r="Y91" s="7">
        <f t="shared" si="21"/>
        <v>0</v>
      </c>
      <c r="Z91" s="7">
        <f t="shared" ref="Z91:AB91" si="552">IF(AA91=1,1,RANDBETWEEN(0,1))</f>
        <v>1</v>
      </c>
      <c r="AA91" s="7">
        <f t="shared" si="552"/>
        <v>1</v>
      </c>
      <c r="AB91" s="7">
        <f t="shared" si="552"/>
        <v>1</v>
      </c>
      <c r="AC91" s="7">
        <f t="shared" si="23"/>
        <v>0</v>
      </c>
      <c r="AD91" s="7">
        <f t="shared" ref="AD91:AF91" si="553">IF(AE91=1,1,RANDBETWEEN(0,1))</f>
        <v>1</v>
      </c>
      <c r="AE91" s="7">
        <f t="shared" si="553"/>
        <v>1</v>
      </c>
      <c r="AF91" s="7">
        <f t="shared" si="553"/>
        <v>1</v>
      </c>
      <c r="AG91" s="7">
        <f t="shared" si="25"/>
        <v>0</v>
      </c>
    </row>
    <row r="92">
      <c r="A92" s="4" t="s">
        <v>291</v>
      </c>
      <c r="B92" s="4" t="s">
        <v>292</v>
      </c>
      <c r="C92" s="4" t="s">
        <v>293</v>
      </c>
      <c r="D92" s="5">
        <v>12863.0</v>
      </c>
      <c r="E92" s="6">
        <f t="shared" si="7"/>
        <v>884</v>
      </c>
      <c r="F92" s="7">
        <f t="shared" ref="F92:G92" si="554">ROUND(RAND(),2)</f>
        <v>0.54</v>
      </c>
      <c r="G92" s="7">
        <f t="shared" si="554"/>
        <v>0.25</v>
      </c>
      <c r="H92" s="7">
        <f t="shared" si="9"/>
        <v>1</v>
      </c>
      <c r="I92" s="7">
        <f t="shared" si="10"/>
        <v>69553</v>
      </c>
      <c r="J92" s="7">
        <f t="shared" si="11"/>
        <v>441</v>
      </c>
      <c r="K92" s="7" t="str">
        <f t="shared" si="12"/>
        <v>G</v>
      </c>
      <c r="L92" s="7" t="str">
        <f t="shared" si="13"/>
        <v>High ambition</v>
      </c>
      <c r="M92" s="7" t="str">
        <f t="shared" si="14"/>
        <v>High</v>
      </c>
      <c r="N92" s="7">
        <f t="shared" si="15"/>
        <v>1328405</v>
      </c>
      <c r="O92" s="7">
        <f t="shared" si="16"/>
        <v>1182534.923</v>
      </c>
      <c r="P92" s="7">
        <f t="shared" ref="P92:Q92" si="555">RANDBETWEEN(0,22)</f>
        <v>3</v>
      </c>
      <c r="Q92" s="7">
        <f t="shared" si="555"/>
        <v>8</v>
      </c>
      <c r="R92" s="7">
        <f t="shared" ref="R92:T92" si="556">IF(S92=1,1,RANDBETWEEN(0,1))</f>
        <v>1</v>
      </c>
      <c r="S92" s="7">
        <f t="shared" si="556"/>
        <v>1</v>
      </c>
      <c r="T92" s="7">
        <f t="shared" si="556"/>
        <v>1</v>
      </c>
      <c r="U92" s="7">
        <f t="shared" si="19"/>
        <v>0</v>
      </c>
      <c r="V92" s="7">
        <f t="shared" ref="V92:X92" si="557">IF(W92=1,1,RANDBETWEEN(0,1))</f>
        <v>1</v>
      </c>
      <c r="W92" s="7">
        <f t="shared" si="557"/>
        <v>1</v>
      </c>
      <c r="X92" s="7">
        <f t="shared" si="557"/>
        <v>1</v>
      </c>
      <c r="Y92" s="7">
        <f t="shared" si="21"/>
        <v>1</v>
      </c>
      <c r="Z92" s="7">
        <f t="shared" ref="Z92:AB92" si="558">IF(AA92=1,1,RANDBETWEEN(0,1))</f>
        <v>1</v>
      </c>
      <c r="AA92" s="7">
        <f t="shared" si="558"/>
        <v>1</v>
      </c>
      <c r="AB92" s="7">
        <f t="shared" si="558"/>
        <v>1</v>
      </c>
      <c r="AC92" s="7">
        <f t="shared" si="23"/>
        <v>0</v>
      </c>
      <c r="AD92" s="7">
        <f t="shared" ref="AD92:AF92" si="559">IF(AE92=1,1,RANDBETWEEN(0,1))</f>
        <v>1</v>
      </c>
      <c r="AE92" s="7">
        <f t="shared" si="559"/>
        <v>1</v>
      </c>
      <c r="AF92" s="7">
        <f t="shared" si="559"/>
        <v>1</v>
      </c>
      <c r="AG92" s="7">
        <f t="shared" si="25"/>
        <v>1</v>
      </c>
    </row>
    <row r="93">
      <c r="A93" s="4" t="s">
        <v>294</v>
      </c>
      <c r="B93" s="4" t="s">
        <v>295</v>
      </c>
      <c r="C93" s="4" t="s">
        <v>296</v>
      </c>
      <c r="D93" s="5">
        <v>16875.0</v>
      </c>
      <c r="E93" s="6">
        <f t="shared" si="7"/>
        <v>835</v>
      </c>
      <c r="F93" s="7">
        <f t="shared" ref="F93:G93" si="560">ROUND(RAND(),2)</f>
        <v>0.85</v>
      </c>
      <c r="G93" s="7">
        <f t="shared" si="560"/>
        <v>0.8</v>
      </c>
      <c r="H93" s="7">
        <f t="shared" si="9"/>
        <v>3</v>
      </c>
      <c r="I93" s="7">
        <f t="shared" si="10"/>
        <v>18524</v>
      </c>
      <c r="J93" s="7">
        <f t="shared" si="11"/>
        <v>48548</v>
      </c>
      <c r="K93" s="7" t="str">
        <f t="shared" si="12"/>
        <v>G</v>
      </c>
      <c r="L93" s="7" t="str">
        <f t="shared" si="13"/>
        <v>Transformative change</v>
      </c>
      <c r="M93" s="7" t="str">
        <f t="shared" si="14"/>
        <v>Medium</v>
      </c>
      <c r="N93" s="7">
        <f t="shared" si="15"/>
        <v>467489</v>
      </c>
      <c r="O93" s="7">
        <f t="shared" si="16"/>
        <v>71308.21197</v>
      </c>
      <c r="P93" s="7">
        <f t="shared" ref="P93:Q93" si="561">RANDBETWEEN(0,22)</f>
        <v>11</v>
      </c>
      <c r="Q93" s="7">
        <f t="shared" si="561"/>
        <v>5</v>
      </c>
      <c r="R93" s="7">
        <f t="shared" ref="R93:T93" si="562">IF(S93=1,1,RANDBETWEEN(0,1))</f>
        <v>0</v>
      </c>
      <c r="S93" s="7">
        <f t="shared" si="562"/>
        <v>0</v>
      </c>
      <c r="T93" s="7">
        <f t="shared" si="562"/>
        <v>0</v>
      </c>
      <c r="U93" s="7">
        <f t="shared" si="19"/>
        <v>0</v>
      </c>
      <c r="V93" s="7">
        <f t="shared" ref="V93:X93" si="563">IF(W93=1,1,RANDBETWEEN(0,1))</f>
        <v>1</v>
      </c>
      <c r="W93" s="7">
        <f t="shared" si="563"/>
        <v>1</v>
      </c>
      <c r="X93" s="7">
        <f t="shared" si="563"/>
        <v>0</v>
      </c>
      <c r="Y93" s="7">
        <f t="shared" si="21"/>
        <v>0</v>
      </c>
      <c r="Z93" s="7">
        <f t="shared" ref="Z93:AB93" si="564">IF(AA93=1,1,RANDBETWEEN(0,1))</f>
        <v>1</v>
      </c>
      <c r="AA93" s="7">
        <f t="shared" si="564"/>
        <v>1</v>
      </c>
      <c r="AB93" s="7">
        <f t="shared" si="564"/>
        <v>1</v>
      </c>
      <c r="AC93" s="7">
        <f t="shared" si="23"/>
        <v>1</v>
      </c>
      <c r="AD93" s="7">
        <f t="shared" ref="AD93:AF93" si="565">IF(AE93=1,1,RANDBETWEEN(0,1))</f>
        <v>1</v>
      </c>
      <c r="AE93" s="7">
        <f t="shared" si="565"/>
        <v>1</v>
      </c>
      <c r="AF93" s="7">
        <f t="shared" si="565"/>
        <v>1</v>
      </c>
      <c r="AG93" s="7">
        <f t="shared" si="25"/>
        <v>1</v>
      </c>
    </row>
    <row r="94">
      <c r="A94" s="4" t="s">
        <v>297</v>
      </c>
      <c r="B94" s="4" t="s">
        <v>298</v>
      </c>
      <c r="C94" s="4" t="s">
        <v>299</v>
      </c>
      <c r="D94" s="5">
        <v>10288.0</v>
      </c>
      <c r="E94" s="6">
        <f t="shared" si="7"/>
        <v>940</v>
      </c>
      <c r="F94" s="7">
        <f t="shared" ref="F94:G94" si="566">ROUND(RAND(),2)</f>
        <v>0.37</v>
      </c>
      <c r="G94" s="7">
        <f t="shared" si="566"/>
        <v>0.82</v>
      </c>
      <c r="H94" s="7">
        <f t="shared" si="9"/>
        <v>3</v>
      </c>
      <c r="I94" s="7">
        <f t="shared" si="10"/>
        <v>58778</v>
      </c>
      <c r="J94" s="7">
        <f t="shared" si="11"/>
        <v>15022</v>
      </c>
      <c r="K94" s="7" t="str">
        <f t="shared" si="12"/>
        <v>E</v>
      </c>
      <c r="L94" s="7" t="str">
        <f t="shared" si="13"/>
        <v>Transformative change</v>
      </c>
      <c r="M94" s="7" t="str">
        <f t="shared" si="14"/>
        <v>High</v>
      </c>
      <c r="N94" s="7">
        <f t="shared" si="15"/>
        <v>3731859</v>
      </c>
      <c r="O94" s="7">
        <f t="shared" si="16"/>
        <v>992703.1897</v>
      </c>
      <c r="P94" s="7">
        <f t="shared" ref="P94:Q94" si="567">RANDBETWEEN(0,22)</f>
        <v>21</v>
      </c>
      <c r="Q94" s="7">
        <f t="shared" si="567"/>
        <v>20</v>
      </c>
      <c r="R94" s="7">
        <f t="shared" ref="R94:T94" si="568">IF(S94=1,1,RANDBETWEEN(0,1))</f>
        <v>1</v>
      </c>
      <c r="S94" s="7">
        <f t="shared" si="568"/>
        <v>0</v>
      </c>
      <c r="T94" s="7">
        <f t="shared" si="568"/>
        <v>0</v>
      </c>
      <c r="U94" s="7">
        <f t="shared" si="19"/>
        <v>0</v>
      </c>
      <c r="V94" s="7">
        <f t="shared" ref="V94:X94" si="569">IF(W94=1,1,RANDBETWEEN(0,1))</f>
        <v>1</v>
      </c>
      <c r="W94" s="7">
        <f t="shared" si="569"/>
        <v>1</v>
      </c>
      <c r="X94" s="7">
        <f t="shared" si="569"/>
        <v>1</v>
      </c>
      <c r="Y94" s="7">
        <f t="shared" si="21"/>
        <v>0</v>
      </c>
      <c r="Z94" s="7">
        <f t="shared" ref="Z94:AB94" si="570">IF(AA94=1,1,RANDBETWEEN(0,1))</f>
        <v>1</v>
      </c>
      <c r="AA94" s="7">
        <f t="shared" si="570"/>
        <v>1</v>
      </c>
      <c r="AB94" s="7">
        <f t="shared" si="570"/>
        <v>1</v>
      </c>
      <c r="AC94" s="7">
        <f t="shared" si="23"/>
        <v>1</v>
      </c>
      <c r="AD94" s="7">
        <f t="shared" ref="AD94:AF94" si="571">IF(AE94=1,1,RANDBETWEEN(0,1))</f>
        <v>1</v>
      </c>
      <c r="AE94" s="7">
        <f t="shared" si="571"/>
        <v>1</v>
      </c>
      <c r="AF94" s="7">
        <f t="shared" si="571"/>
        <v>1</v>
      </c>
      <c r="AG94" s="7">
        <f t="shared" si="25"/>
        <v>0</v>
      </c>
    </row>
    <row r="95">
      <c r="A95" s="4" t="s">
        <v>300</v>
      </c>
      <c r="B95" s="4" t="s">
        <v>301</v>
      </c>
      <c r="C95" s="4" t="s">
        <v>302</v>
      </c>
      <c r="D95" s="5">
        <v>16947.0</v>
      </c>
      <c r="E95" s="6">
        <f t="shared" si="7"/>
        <v>938</v>
      </c>
      <c r="F95" s="7">
        <f t="shared" ref="F95:G95" si="572">ROUND(RAND(),2)</f>
        <v>0.71</v>
      </c>
      <c r="G95" s="7">
        <f t="shared" si="572"/>
        <v>0.3</v>
      </c>
      <c r="H95" s="7">
        <f t="shared" si="9"/>
        <v>3</v>
      </c>
      <c r="I95" s="7">
        <f t="shared" si="10"/>
        <v>8698</v>
      </c>
      <c r="J95" s="7">
        <f t="shared" si="11"/>
        <v>1704</v>
      </c>
      <c r="K95" s="7" t="str">
        <f t="shared" si="12"/>
        <v>A</v>
      </c>
      <c r="L95" s="7" t="str">
        <f t="shared" si="13"/>
        <v>Transformative change</v>
      </c>
      <c r="M95" s="7" t="str">
        <f t="shared" si="14"/>
        <v>High</v>
      </c>
      <c r="N95" s="7">
        <f t="shared" si="15"/>
        <v>3123034</v>
      </c>
      <c r="O95" s="7">
        <f t="shared" si="16"/>
        <v>304736.5389</v>
      </c>
      <c r="P95" s="7">
        <f t="shared" ref="P95:Q95" si="573">RANDBETWEEN(0,22)</f>
        <v>8</v>
      </c>
      <c r="Q95" s="7">
        <f t="shared" si="573"/>
        <v>22</v>
      </c>
      <c r="R95" s="7">
        <f t="shared" ref="R95:T95" si="574">IF(S95=1,1,RANDBETWEEN(0,1))</f>
        <v>1</v>
      </c>
      <c r="S95" s="7">
        <f t="shared" si="574"/>
        <v>1</v>
      </c>
      <c r="T95" s="7">
        <f t="shared" si="574"/>
        <v>1</v>
      </c>
      <c r="U95" s="7">
        <f t="shared" si="19"/>
        <v>1</v>
      </c>
      <c r="V95" s="7">
        <f t="shared" ref="V95:X95" si="575">IF(W95=1,1,RANDBETWEEN(0,1))</f>
        <v>1</v>
      </c>
      <c r="W95" s="7">
        <f t="shared" si="575"/>
        <v>0</v>
      </c>
      <c r="X95" s="7">
        <f t="shared" si="575"/>
        <v>0</v>
      </c>
      <c r="Y95" s="7">
        <f t="shared" si="21"/>
        <v>0</v>
      </c>
      <c r="Z95" s="7">
        <f t="shared" ref="Z95:AB95" si="576">IF(AA95=1,1,RANDBETWEEN(0,1))</f>
        <v>1</v>
      </c>
      <c r="AA95" s="7">
        <f t="shared" si="576"/>
        <v>1</v>
      </c>
      <c r="AB95" s="7">
        <f t="shared" si="576"/>
        <v>1</v>
      </c>
      <c r="AC95" s="7">
        <f t="shared" si="23"/>
        <v>0</v>
      </c>
      <c r="AD95" s="7">
        <f t="shared" ref="AD95:AF95" si="577">IF(AE95=1,1,RANDBETWEEN(0,1))</f>
        <v>1</v>
      </c>
      <c r="AE95" s="7">
        <f t="shared" si="577"/>
        <v>1</v>
      </c>
      <c r="AF95" s="7">
        <f t="shared" si="577"/>
        <v>1</v>
      </c>
      <c r="AG95" s="7">
        <f t="shared" si="25"/>
        <v>1</v>
      </c>
    </row>
    <row r="96">
      <c r="A96" s="4" t="s">
        <v>303</v>
      </c>
      <c r="B96" s="4" t="s">
        <v>304</v>
      </c>
      <c r="C96" s="4" t="s">
        <v>305</v>
      </c>
      <c r="D96" s="5">
        <v>8168.0</v>
      </c>
      <c r="E96" s="6">
        <f t="shared" si="7"/>
        <v>985</v>
      </c>
      <c r="F96" s="7">
        <f t="shared" ref="F96:G96" si="578">ROUND(RAND(),2)</f>
        <v>0.45</v>
      </c>
      <c r="G96" s="7">
        <f t="shared" si="578"/>
        <v>0.21</v>
      </c>
      <c r="H96" s="7">
        <f t="shared" si="9"/>
        <v>5</v>
      </c>
      <c r="I96" s="7">
        <f t="shared" si="10"/>
        <v>12185</v>
      </c>
      <c r="J96" s="7">
        <f t="shared" si="11"/>
        <v>59281</v>
      </c>
      <c r="K96" s="7" t="str">
        <f t="shared" si="12"/>
        <v>A</v>
      </c>
      <c r="L96" s="7" t="str">
        <f t="shared" si="13"/>
        <v>High ambition</v>
      </c>
      <c r="M96" s="7" t="str">
        <f t="shared" si="14"/>
        <v>Medium</v>
      </c>
      <c r="N96" s="7">
        <f t="shared" si="15"/>
        <v>527820</v>
      </c>
      <c r="O96" s="7">
        <f t="shared" si="16"/>
        <v>112995.2507</v>
      </c>
      <c r="P96" s="7">
        <f t="shared" ref="P96:Q96" si="579">RANDBETWEEN(0,22)</f>
        <v>14</v>
      </c>
      <c r="Q96" s="7">
        <f t="shared" si="579"/>
        <v>9</v>
      </c>
      <c r="R96" s="7">
        <f t="shared" ref="R96:T96" si="580">IF(S96=1,1,RANDBETWEEN(0,1))</f>
        <v>0</v>
      </c>
      <c r="S96" s="7">
        <f t="shared" si="580"/>
        <v>0</v>
      </c>
      <c r="T96" s="7">
        <f t="shared" si="580"/>
        <v>0</v>
      </c>
      <c r="U96" s="7">
        <f t="shared" si="19"/>
        <v>0</v>
      </c>
      <c r="V96" s="7">
        <f t="shared" ref="V96:X96" si="581">IF(W96=1,1,RANDBETWEEN(0,1))</f>
        <v>1</v>
      </c>
      <c r="W96" s="7">
        <f t="shared" si="581"/>
        <v>1</v>
      </c>
      <c r="X96" s="7">
        <f t="shared" si="581"/>
        <v>1</v>
      </c>
      <c r="Y96" s="7">
        <f t="shared" si="21"/>
        <v>0</v>
      </c>
      <c r="Z96" s="7">
        <f t="shared" ref="Z96:AB96" si="582">IF(AA96=1,1,RANDBETWEEN(0,1))</f>
        <v>1</v>
      </c>
      <c r="AA96" s="7">
        <f t="shared" si="582"/>
        <v>1</v>
      </c>
      <c r="AB96" s="7">
        <f t="shared" si="582"/>
        <v>1</v>
      </c>
      <c r="AC96" s="7">
        <f t="shared" si="23"/>
        <v>0</v>
      </c>
      <c r="AD96" s="7">
        <f t="shared" ref="AD96:AF96" si="583">IF(AE96=1,1,RANDBETWEEN(0,1))</f>
        <v>1</v>
      </c>
      <c r="AE96" s="7">
        <f t="shared" si="583"/>
        <v>1</v>
      </c>
      <c r="AF96" s="7">
        <f t="shared" si="583"/>
        <v>1</v>
      </c>
      <c r="AG96" s="7">
        <f t="shared" si="25"/>
        <v>1</v>
      </c>
    </row>
    <row r="97">
      <c r="A97" s="4" t="s">
        <v>306</v>
      </c>
      <c r="B97" s="4" t="s">
        <v>307</v>
      </c>
      <c r="C97" s="4" t="s">
        <v>308</v>
      </c>
      <c r="D97" s="5">
        <v>5276.0</v>
      </c>
      <c r="E97" s="6">
        <f t="shared" si="7"/>
        <v>892</v>
      </c>
      <c r="F97" s="7">
        <f t="shared" ref="F97:G97" si="584">ROUND(RAND(),2)</f>
        <v>0.75</v>
      </c>
      <c r="G97" s="7">
        <f t="shared" si="584"/>
        <v>0.02</v>
      </c>
      <c r="H97" s="7">
        <f t="shared" si="9"/>
        <v>3</v>
      </c>
      <c r="I97" s="7">
        <f t="shared" si="10"/>
        <v>20862</v>
      </c>
      <c r="J97" s="7">
        <f t="shared" si="11"/>
        <v>13888</v>
      </c>
      <c r="K97" s="7" t="str">
        <f t="shared" si="12"/>
        <v>A</v>
      </c>
      <c r="L97" s="7" t="str">
        <f t="shared" si="13"/>
        <v>High ambition</v>
      </c>
      <c r="M97" s="7" t="str">
        <f t="shared" si="14"/>
        <v>Medium</v>
      </c>
      <c r="N97" s="7">
        <f t="shared" si="15"/>
        <v>2711816</v>
      </c>
      <c r="O97" s="7">
        <f t="shared" si="16"/>
        <v>436225.129</v>
      </c>
      <c r="P97" s="7">
        <f t="shared" ref="P97:Q97" si="585">RANDBETWEEN(0,22)</f>
        <v>1</v>
      </c>
      <c r="Q97" s="7">
        <f t="shared" si="585"/>
        <v>7</v>
      </c>
      <c r="R97" s="7">
        <f t="shared" ref="R97:T97" si="586">IF(S97=1,1,RANDBETWEEN(0,1))</f>
        <v>1</v>
      </c>
      <c r="S97" s="7">
        <f t="shared" si="586"/>
        <v>1</v>
      </c>
      <c r="T97" s="7">
        <f t="shared" si="586"/>
        <v>1</v>
      </c>
      <c r="U97" s="7">
        <f t="shared" si="19"/>
        <v>1</v>
      </c>
      <c r="V97" s="7">
        <f t="shared" ref="V97:X97" si="587">IF(W97=1,1,RANDBETWEEN(0,1))</f>
        <v>1</v>
      </c>
      <c r="W97" s="7">
        <f t="shared" si="587"/>
        <v>1</v>
      </c>
      <c r="X97" s="7">
        <f t="shared" si="587"/>
        <v>1</v>
      </c>
      <c r="Y97" s="7">
        <f t="shared" si="21"/>
        <v>1</v>
      </c>
      <c r="Z97" s="7">
        <f t="shared" ref="Z97:AB97" si="588">IF(AA97=1,1,RANDBETWEEN(0,1))</f>
        <v>1</v>
      </c>
      <c r="AA97" s="7">
        <f t="shared" si="588"/>
        <v>1</v>
      </c>
      <c r="AB97" s="7">
        <f t="shared" si="588"/>
        <v>1</v>
      </c>
      <c r="AC97" s="7">
        <f t="shared" si="23"/>
        <v>1</v>
      </c>
      <c r="AD97" s="7">
        <f t="shared" ref="AD97:AF97" si="589">IF(AE97=1,1,RANDBETWEEN(0,1))</f>
        <v>1</v>
      </c>
      <c r="AE97" s="7">
        <f t="shared" si="589"/>
        <v>1</v>
      </c>
      <c r="AF97" s="7">
        <f t="shared" si="589"/>
        <v>1</v>
      </c>
      <c r="AG97" s="7">
        <f t="shared" si="25"/>
        <v>1</v>
      </c>
    </row>
    <row r="98">
      <c r="A98" s="4" t="s">
        <v>309</v>
      </c>
      <c r="B98" s="4" t="s">
        <v>310</v>
      </c>
      <c r="C98" s="4" t="s">
        <v>311</v>
      </c>
      <c r="D98" s="5">
        <v>17509.0</v>
      </c>
      <c r="E98" s="6">
        <f t="shared" si="7"/>
        <v>1085</v>
      </c>
      <c r="F98" s="7">
        <f t="shared" ref="F98:G98" si="590">ROUND(RAND(),2)</f>
        <v>0.04</v>
      </c>
      <c r="G98" s="7">
        <f t="shared" si="590"/>
        <v>0.54</v>
      </c>
      <c r="H98" s="7">
        <f t="shared" si="9"/>
        <v>4</v>
      </c>
      <c r="I98" s="7">
        <f t="shared" si="10"/>
        <v>16516</v>
      </c>
      <c r="J98" s="7">
        <f t="shared" si="11"/>
        <v>16480</v>
      </c>
      <c r="K98" s="7" t="str">
        <f t="shared" si="12"/>
        <v>B</v>
      </c>
      <c r="L98" s="7" t="str">
        <f t="shared" si="13"/>
        <v>Transformative change</v>
      </c>
      <c r="M98" s="7" t="str">
        <f t="shared" si="14"/>
        <v>Medium</v>
      </c>
      <c r="N98" s="7">
        <f t="shared" si="15"/>
        <v>712235</v>
      </c>
      <c r="O98" s="7">
        <f t="shared" si="16"/>
        <v>420045.4803</v>
      </c>
      <c r="P98" s="7">
        <f t="shared" ref="P98:Q98" si="591">RANDBETWEEN(0,22)</f>
        <v>14</v>
      </c>
      <c r="Q98" s="7">
        <f t="shared" si="591"/>
        <v>9</v>
      </c>
      <c r="R98" s="7">
        <f t="shared" ref="R98:T98" si="592">IF(S98=1,1,RANDBETWEEN(0,1))</f>
        <v>1</v>
      </c>
      <c r="S98" s="7">
        <f t="shared" si="592"/>
        <v>1</v>
      </c>
      <c r="T98" s="7">
        <f t="shared" si="592"/>
        <v>1</v>
      </c>
      <c r="U98" s="7">
        <f t="shared" si="19"/>
        <v>1</v>
      </c>
      <c r="V98" s="7">
        <f t="shared" ref="V98:X98" si="593">IF(W98=1,1,RANDBETWEEN(0,1))</f>
        <v>1</v>
      </c>
      <c r="W98" s="7">
        <f t="shared" si="593"/>
        <v>1</v>
      </c>
      <c r="X98" s="7">
        <f t="shared" si="593"/>
        <v>1</v>
      </c>
      <c r="Y98" s="7">
        <f t="shared" si="21"/>
        <v>1</v>
      </c>
      <c r="Z98" s="7">
        <f t="shared" ref="Z98:AB98" si="594">IF(AA98=1,1,RANDBETWEEN(0,1))</f>
        <v>1</v>
      </c>
      <c r="AA98" s="7">
        <f t="shared" si="594"/>
        <v>1</v>
      </c>
      <c r="AB98" s="7">
        <f t="shared" si="594"/>
        <v>1</v>
      </c>
      <c r="AC98" s="7">
        <f t="shared" si="23"/>
        <v>1</v>
      </c>
      <c r="AD98" s="7">
        <f t="shared" ref="AD98:AF98" si="595">IF(AE98=1,1,RANDBETWEEN(0,1))</f>
        <v>1</v>
      </c>
      <c r="AE98" s="7">
        <f t="shared" si="595"/>
        <v>1</v>
      </c>
      <c r="AF98" s="7">
        <f t="shared" si="595"/>
        <v>1</v>
      </c>
      <c r="AG98" s="7">
        <f t="shared" si="25"/>
        <v>1</v>
      </c>
    </row>
    <row r="99">
      <c r="A99" s="4" t="s">
        <v>312</v>
      </c>
      <c r="B99" s="4" t="s">
        <v>313</v>
      </c>
      <c r="C99" s="4" t="s">
        <v>314</v>
      </c>
      <c r="D99" s="5">
        <v>10243.0</v>
      </c>
      <c r="E99" s="6">
        <f t="shared" si="7"/>
        <v>869</v>
      </c>
      <c r="F99" s="7">
        <f t="shared" ref="F99:G99" si="596">ROUND(RAND(),2)</f>
        <v>0.96</v>
      </c>
      <c r="G99" s="7">
        <f t="shared" si="596"/>
        <v>0.95</v>
      </c>
      <c r="H99" s="7">
        <f t="shared" si="9"/>
        <v>1</v>
      </c>
      <c r="I99" s="7">
        <f t="shared" si="10"/>
        <v>94820</v>
      </c>
      <c r="J99" s="7">
        <f t="shared" si="11"/>
        <v>27057</v>
      </c>
      <c r="K99" s="7" t="str">
        <f t="shared" si="12"/>
        <v>D</v>
      </c>
      <c r="L99" s="7" t="str">
        <f t="shared" si="13"/>
        <v>Transformative change</v>
      </c>
      <c r="M99" s="7" t="str">
        <f t="shared" si="14"/>
        <v>Low</v>
      </c>
      <c r="N99" s="7">
        <f t="shared" si="15"/>
        <v>3783330</v>
      </c>
      <c r="O99" s="7">
        <f t="shared" si="16"/>
        <v>330674.3517</v>
      </c>
      <c r="P99" s="7">
        <f t="shared" ref="P99:Q99" si="597">RANDBETWEEN(0,22)</f>
        <v>21</v>
      </c>
      <c r="Q99" s="7">
        <f t="shared" si="597"/>
        <v>7</v>
      </c>
      <c r="R99" s="7">
        <f t="shared" ref="R99:T99" si="598">IF(S99=1,1,RANDBETWEEN(0,1))</f>
        <v>1</v>
      </c>
      <c r="S99" s="7">
        <f t="shared" si="598"/>
        <v>0</v>
      </c>
      <c r="T99" s="7">
        <f t="shared" si="598"/>
        <v>0</v>
      </c>
      <c r="U99" s="7">
        <f t="shared" si="19"/>
        <v>0</v>
      </c>
      <c r="V99" s="7">
        <f t="shared" ref="V99:X99" si="599">IF(W99=1,1,RANDBETWEEN(0,1))</f>
        <v>1</v>
      </c>
      <c r="W99" s="7">
        <f t="shared" si="599"/>
        <v>1</v>
      </c>
      <c r="X99" s="7">
        <f t="shared" si="599"/>
        <v>0</v>
      </c>
      <c r="Y99" s="7">
        <f t="shared" si="21"/>
        <v>0</v>
      </c>
      <c r="Z99" s="7">
        <f t="shared" ref="Z99:AB99" si="600">IF(AA99=1,1,RANDBETWEEN(0,1))</f>
        <v>1</v>
      </c>
      <c r="AA99" s="7">
        <f t="shared" si="600"/>
        <v>1</v>
      </c>
      <c r="AB99" s="7">
        <f t="shared" si="600"/>
        <v>1</v>
      </c>
      <c r="AC99" s="7">
        <f t="shared" si="23"/>
        <v>1</v>
      </c>
      <c r="AD99" s="7">
        <f t="shared" ref="AD99:AF99" si="601">IF(AE99=1,1,RANDBETWEEN(0,1))</f>
        <v>1</v>
      </c>
      <c r="AE99" s="7">
        <f t="shared" si="601"/>
        <v>1</v>
      </c>
      <c r="AF99" s="7">
        <f t="shared" si="601"/>
        <v>0</v>
      </c>
      <c r="AG99" s="7">
        <f t="shared" si="25"/>
        <v>0</v>
      </c>
    </row>
    <row r="100">
      <c r="A100" s="4" t="s">
        <v>315</v>
      </c>
      <c r="B100" s="4" t="s">
        <v>316</v>
      </c>
      <c r="C100" s="4" t="s">
        <v>95</v>
      </c>
      <c r="D100" s="5">
        <v>243999.0</v>
      </c>
      <c r="E100" s="6">
        <f t="shared" si="7"/>
        <v>819</v>
      </c>
      <c r="F100" s="7">
        <f t="shared" ref="F100:G100" si="602">ROUND(RAND(),2)</f>
        <v>0.15</v>
      </c>
      <c r="G100" s="7">
        <f t="shared" si="602"/>
        <v>0.92</v>
      </c>
      <c r="H100" s="7">
        <f t="shared" si="9"/>
        <v>4</v>
      </c>
      <c r="I100" s="7">
        <f t="shared" si="10"/>
        <v>50839</v>
      </c>
      <c r="J100" s="7">
        <f t="shared" si="11"/>
        <v>38847</v>
      </c>
      <c r="K100" s="7" t="str">
        <f t="shared" si="12"/>
        <v>G</v>
      </c>
      <c r="L100" s="7" t="str">
        <f t="shared" si="13"/>
        <v>Transformative change</v>
      </c>
      <c r="M100" s="7" t="str">
        <f t="shared" si="14"/>
        <v>High</v>
      </c>
      <c r="N100" s="7">
        <f t="shared" si="15"/>
        <v>218686</v>
      </c>
      <c r="O100" s="7">
        <f t="shared" si="16"/>
        <v>181961.1403</v>
      </c>
      <c r="P100" s="7">
        <f t="shared" ref="P100:Q100" si="603">RANDBETWEEN(0,22)</f>
        <v>10</v>
      </c>
      <c r="Q100" s="7">
        <f t="shared" si="603"/>
        <v>6</v>
      </c>
      <c r="R100" s="7">
        <f t="shared" ref="R100:T100" si="604">IF(S100=1,1,RANDBETWEEN(0,1))</f>
        <v>1</v>
      </c>
      <c r="S100" s="7">
        <f t="shared" si="604"/>
        <v>1</v>
      </c>
      <c r="T100" s="7">
        <f t="shared" si="604"/>
        <v>0</v>
      </c>
      <c r="U100" s="7">
        <f t="shared" si="19"/>
        <v>0</v>
      </c>
      <c r="V100" s="7">
        <f t="shared" ref="V100:X100" si="605">IF(W100=1,1,RANDBETWEEN(0,1))</f>
        <v>1</v>
      </c>
      <c r="W100" s="7">
        <f t="shared" si="605"/>
        <v>1</v>
      </c>
      <c r="X100" s="7">
        <f t="shared" si="605"/>
        <v>0</v>
      </c>
      <c r="Y100" s="7">
        <f t="shared" si="21"/>
        <v>0</v>
      </c>
      <c r="Z100" s="7">
        <f t="shared" ref="Z100:AB100" si="606">IF(AA100=1,1,RANDBETWEEN(0,1))</f>
        <v>1</v>
      </c>
      <c r="AA100" s="7">
        <f t="shared" si="606"/>
        <v>1</v>
      </c>
      <c r="AB100" s="7">
        <f t="shared" si="606"/>
        <v>1</v>
      </c>
      <c r="AC100" s="7">
        <f t="shared" si="23"/>
        <v>1</v>
      </c>
      <c r="AD100" s="7">
        <f t="shared" ref="AD100:AF100" si="607">IF(AE100=1,1,RANDBETWEEN(0,1))</f>
        <v>1</v>
      </c>
      <c r="AE100" s="7">
        <f t="shared" si="607"/>
        <v>1</v>
      </c>
      <c r="AF100" s="7">
        <f t="shared" si="607"/>
        <v>0</v>
      </c>
      <c r="AG100" s="7">
        <f t="shared" si="25"/>
        <v>0</v>
      </c>
    </row>
    <row r="101">
      <c r="A101" s="4" t="s">
        <v>317</v>
      </c>
      <c r="B101" s="4" t="s">
        <v>318</v>
      </c>
      <c r="C101" s="4" t="s">
        <v>319</v>
      </c>
      <c r="D101" s="5">
        <v>17116.0</v>
      </c>
      <c r="E101" s="6">
        <f t="shared" si="7"/>
        <v>1095</v>
      </c>
      <c r="F101" s="7">
        <f t="shared" ref="F101:G101" si="608">ROUND(RAND(),2)</f>
        <v>0.7</v>
      </c>
      <c r="G101" s="7">
        <f t="shared" si="608"/>
        <v>0.33</v>
      </c>
      <c r="H101" s="7">
        <f t="shared" si="9"/>
        <v>4</v>
      </c>
      <c r="I101" s="7">
        <f t="shared" si="10"/>
        <v>27666</v>
      </c>
      <c r="J101" s="7">
        <f t="shared" si="11"/>
        <v>55872</v>
      </c>
      <c r="K101" s="7" t="str">
        <f t="shared" si="12"/>
        <v>F</v>
      </c>
      <c r="L101" s="7" t="str">
        <f t="shared" si="13"/>
        <v>High ambition</v>
      </c>
      <c r="M101" s="7" t="str">
        <f t="shared" si="14"/>
        <v>Medium</v>
      </c>
      <c r="N101" s="7">
        <f t="shared" si="15"/>
        <v>2136088</v>
      </c>
      <c r="O101" s="7">
        <f t="shared" si="16"/>
        <v>403933.4197</v>
      </c>
      <c r="P101" s="7">
        <f t="shared" ref="P101:Q101" si="609">RANDBETWEEN(0,22)</f>
        <v>7</v>
      </c>
      <c r="Q101" s="7">
        <f t="shared" si="609"/>
        <v>0</v>
      </c>
      <c r="R101" s="7">
        <f t="shared" ref="R101:T101" si="610">IF(S101=1,1,RANDBETWEEN(0,1))</f>
        <v>1</v>
      </c>
      <c r="S101" s="7">
        <f t="shared" si="610"/>
        <v>1</v>
      </c>
      <c r="T101" s="7">
        <f t="shared" si="610"/>
        <v>1</v>
      </c>
      <c r="U101" s="7">
        <f t="shared" si="19"/>
        <v>0</v>
      </c>
      <c r="V101" s="7">
        <f t="shared" ref="V101:X101" si="611">IF(W101=1,1,RANDBETWEEN(0,1))</f>
        <v>1</v>
      </c>
      <c r="W101" s="7">
        <f t="shared" si="611"/>
        <v>0</v>
      </c>
      <c r="X101" s="7">
        <f t="shared" si="611"/>
        <v>0</v>
      </c>
      <c r="Y101" s="7">
        <f t="shared" si="21"/>
        <v>0</v>
      </c>
      <c r="Z101" s="7">
        <f t="shared" ref="Z101:AB101" si="612">IF(AA101=1,1,RANDBETWEEN(0,1))</f>
        <v>1</v>
      </c>
      <c r="AA101" s="7">
        <f t="shared" si="612"/>
        <v>1</v>
      </c>
      <c r="AB101" s="7">
        <f t="shared" si="612"/>
        <v>1</v>
      </c>
      <c r="AC101" s="7">
        <f t="shared" si="23"/>
        <v>1</v>
      </c>
      <c r="AD101" s="7">
        <f t="shared" ref="AD101:AF101" si="613">IF(AE101=1,1,RANDBETWEEN(0,1))</f>
        <v>1</v>
      </c>
      <c r="AE101" s="7">
        <f t="shared" si="613"/>
        <v>0</v>
      </c>
      <c r="AF101" s="7">
        <f t="shared" si="613"/>
        <v>0</v>
      </c>
      <c r="AG101" s="7">
        <f t="shared" si="25"/>
        <v>0</v>
      </c>
    </row>
    <row r="102">
      <c r="A102" s="4" t="s">
        <v>320</v>
      </c>
      <c r="B102" s="4" t="s">
        <v>321</v>
      </c>
      <c r="C102" s="4" t="s">
        <v>322</v>
      </c>
      <c r="D102" s="5">
        <v>479335.0</v>
      </c>
      <c r="E102" s="6">
        <f t="shared" si="7"/>
        <v>1235.4</v>
      </c>
      <c r="F102" s="7">
        <f t="shared" ref="F102:G102" si="614">ROUND(RAND(),2)</f>
        <v>0.94</v>
      </c>
      <c r="G102" s="7">
        <f t="shared" si="614"/>
        <v>0.23</v>
      </c>
      <c r="H102" s="7">
        <f t="shared" si="9"/>
        <v>5</v>
      </c>
      <c r="I102" s="7">
        <f t="shared" si="10"/>
        <v>92895</v>
      </c>
      <c r="J102" s="7">
        <f t="shared" si="11"/>
        <v>44075</v>
      </c>
      <c r="K102" s="7" t="str">
        <f t="shared" si="12"/>
        <v>E</v>
      </c>
      <c r="L102" s="7" t="str">
        <f t="shared" si="13"/>
        <v>Transformative change</v>
      </c>
      <c r="M102" s="7" t="str">
        <f t="shared" si="14"/>
        <v>Medium</v>
      </c>
      <c r="N102" s="7">
        <f t="shared" si="15"/>
        <v>1057262</v>
      </c>
      <c r="O102" s="7">
        <f t="shared" si="16"/>
        <v>405178.4028</v>
      </c>
      <c r="P102" s="7">
        <f t="shared" ref="P102:Q102" si="615">RANDBETWEEN(0,22)</f>
        <v>10</v>
      </c>
      <c r="Q102" s="7">
        <f t="shared" si="615"/>
        <v>0</v>
      </c>
      <c r="R102" s="7">
        <f t="shared" ref="R102:T102" si="616">IF(S102=1,1,RANDBETWEEN(0,1))</f>
        <v>1</v>
      </c>
      <c r="S102" s="7">
        <f t="shared" si="616"/>
        <v>1</v>
      </c>
      <c r="T102" s="7">
        <f t="shared" si="616"/>
        <v>1</v>
      </c>
      <c r="U102" s="7">
        <f t="shared" si="19"/>
        <v>1</v>
      </c>
      <c r="V102" s="7">
        <f t="shared" ref="V102:X102" si="617">IF(W102=1,1,RANDBETWEEN(0,1))</f>
        <v>1</v>
      </c>
      <c r="W102" s="7">
        <f t="shared" si="617"/>
        <v>1</v>
      </c>
      <c r="X102" s="7">
        <f t="shared" si="617"/>
        <v>1</v>
      </c>
      <c r="Y102" s="7">
        <f t="shared" si="21"/>
        <v>1</v>
      </c>
      <c r="Z102" s="7">
        <f t="shared" ref="Z102:AB102" si="618">IF(AA102=1,1,RANDBETWEEN(0,1))</f>
        <v>1</v>
      </c>
      <c r="AA102" s="7">
        <f t="shared" si="618"/>
        <v>0</v>
      </c>
      <c r="AB102" s="7">
        <f t="shared" si="618"/>
        <v>0</v>
      </c>
      <c r="AC102" s="7">
        <f t="shared" si="23"/>
        <v>0</v>
      </c>
      <c r="AD102" s="7">
        <f t="shared" ref="AD102:AF102" si="619">IF(AE102=1,1,RANDBETWEEN(0,1))</f>
        <v>1</v>
      </c>
      <c r="AE102" s="7">
        <f t="shared" si="619"/>
        <v>1</v>
      </c>
      <c r="AF102" s="7">
        <f t="shared" si="619"/>
        <v>1</v>
      </c>
      <c r="AG102" s="7">
        <f t="shared" si="25"/>
        <v>1</v>
      </c>
    </row>
    <row r="103">
      <c r="A103" s="4" t="s">
        <v>323</v>
      </c>
      <c r="B103" s="4" t="s">
        <v>324</v>
      </c>
      <c r="C103" s="4" t="s">
        <v>325</v>
      </c>
      <c r="D103" s="5">
        <v>252933.0</v>
      </c>
      <c r="E103" s="6">
        <f t="shared" si="7"/>
        <v>1072</v>
      </c>
      <c r="F103" s="7">
        <f t="shared" ref="F103:G103" si="620">ROUND(RAND(),2)</f>
        <v>0.24</v>
      </c>
      <c r="G103" s="7">
        <f t="shared" si="620"/>
        <v>0.48</v>
      </c>
      <c r="H103" s="7">
        <f t="shared" si="9"/>
        <v>4</v>
      </c>
      <c r="I103" s="7">
        <f t="shared" si="10"/>
        <v>60949</v>
      </c>
      <c r="J103" s="7">
        <f t="shared" si="11"/>
        <v>30198</v>
      </c>
      <c r="K103" s="7" t="str">
        <f t="shared" si="12"/>
        <v>E</v>
      </c>
      <c r="L103" s="7" t="str">
        <f t="shared" si="13"/>
        <v>Transformative change</v>
      </c>
      <c r="M103" s="7" t="str">
        <f t="shared" si="14"/>
        <v>Medium</v>
      </c>
      <c r="N103" s="7">
        <f t="shared" si="15"/>
        <v>2407840</v>
      </c>
      <c r="O103" s="7">
        <f t="shared" si="16"/>
        <v>819392.4897</v>
      </c>
      <c r="P103" s="7">
        <f t="shared" ref="P103:Q103" si="621">RANDBETWEEN(0,22)</f>
        <v>17</v>
      </c>
      <c r="Q103" s="7">
        <f t="shared" si="621"/>
        <v>19</v>
      </c>
      <c r="R103" s="7">
        <f t="shared" ref="R103:T103" si="622">IF(S103=1,1,RANDBETWEEN(0,1))</f>
        <v>1</v>
      </c>
      <c r="S103" s="7">
        <f t="shared" si="622"/>
        <v>1</v>
      </c>
      <c r="T103" s="7">
        <f t="shared" si="622"/>
        <v>1</v>
      </c>
      <c r="U103" s="7">
        <f t="shared" si="19"/>
        <v>1</v>
      </c>
      <c r="V103" s="7">
        <f t="shared" ref="V103:X103" si="623">IF(W103=1,1,RANDBETWEEN(0,1))</f>
        <v>1</v>
      </c>
      <c r="W103" s="7">
        <f t="shared" si="623"/>
        <v>1</v>
      </c>
      <c r="X103" s="7">
        <f t="shared" si="623"/>
        <v>1</v>
      </c>
      <c r="Y103" s="7">
        <f t="shared" si="21"/>
        <v>0</v>
      </c>
      <c r="Z103" s="7">
        <f t="shared" ref="Z103:AB103" si="624">IF(AA103=1,1,RANDBETWEEN(0,1))</f>
        <v>1</v>
      </c>
      <c r="AA103" s="7">
        <f t="shared" si="624"/>
        <v>1</v>
      </c>
      <c r="AB103" s="7">
        <f t="shared" si="624"/>
        <v>1</v>
      </c>
      <c r="AC103" s="7">
        <f t="shared" si="23"/>
        <v>1</v>
      </c>
      <c r="AD103" s="7">
        <f t="shared" ref="AD103:AF103" si="625">IF(AE103=1,1,RANDBETWEEN(0,1))</f>
        <v>1</v>
      </c>
      <c r="AE103" s="7">
        <f t="shared" si="625"/>
        <v>1</v>
      </c>
      <c r="AF103" s="7">
        <f t="shared" si="625"/>
        <v>0</v>
      </c>
      <c r="AG103" s="7">
        <f t="shared" si="25"/>
        <v>0</v>
      </c>
    </row>
    <row r="104">
      <c r="A104" s="4" t="s">
        <v>326</v>
      </c>
      <c r="B104" s="4" t="s">
        <v>327</v>
      </c>
      <c r="C104" s="4" t="s">
        <v>95</v>
      </c>
      <c r="D104" s="5">
        <v>8106.0</v>
      </c>
      <c r="E104" s="6">
        <f t="shared" si="7"/>
        <v>1022</v>
      </c>
      <c r="F104" s="7">
        <f t="shared" ref="F104:G104" si="626">ROUND(RAND(),2)</f>
        <v>0.01</v>
      </c>
      <c r="G104" s="7">
        <f t="shared" si="626"/>
        <v>0.52</v>
      </c>
      <c r="H104" s="7">
        <f t="shared" si="9"/>
        <v>4</v>
      </c>
      <c r="I104" s="7">
        <f t="shared" si="10"/>
        <v>26665</v>
      </c>
      <c r="J104" s="7">
        <f t="shared" si="11"/>
        <v>11021</v>
      </c>
      <c r="K104" s="7" t="str">
        <f t="shared" si="12"/>
        <v>B</v>
      </c>
      <c r="L104" s="7" t="str">
        <f t="shared" si="13"/>
        <v>Transformative change</v>
      </c>
      <c r="M104" s="7" t="str">
        <f t="shared" si="14"/>
        <v>Low</v>
      </c>
      <c r="N104" s="7">
        <f t="shared" si="15"/>
        <v>676572</v>
      </c>
      <c r="O104" s="7">
        <f t="shared" si="16"/>
        <v>90773.9191</v>
      </c>
      <c r="P104" s="7">
        <f t="shared" ref="P104:Q104" si="627">RANDBETWEEN(0,22)</f>
        <v>20</v>
      </c>
      <c r="Q104" s="7">
        <f t="shared" si="627"/>
        <v>1</v>
      </c>
      <c r="R104" s="7">
        <f t="shared" ref="R104:T104" si="628">IF(S104=1,1,RANDBETWEEN(0,1))</f>
        <v>1</v>
      </c>
      <c r="S104" s="7">
        <f t="shared" si="628"/>
        <v>1</v>
      </c>
      <c r="T104" s="7">
        <f t="shared" si="628"/>
        <v>1</v>
      </c>
      <c r="U104" s="7">
        <f t="shared" si="19"/>
        <v>0</v>
      </c>
      <c r="V104" s="7">
        <f t="shared" ref="V104:X104" si="629">IF(W104=1,1,RANDBETWEEN(0,1))</f>
        <v>1</v>
      </c>
      <c r="W104" s="7">
        <f t="shared" si="629"/>
        <v>1</v>
      </c>
      <c r="X104" s="7">
        <f t="shared" si="629"/>
        <v>1</v>
      </c>
      <c r="Y104" s="7">
        <f t="shared" si="21"/>
        <v>1</v>
      </c>
      <c r="Z104" s="7">
        <f t="shared" ref="Z104:AB104" si="630">IF(AA104=1,1,RANDBETWEEN(0,1))</f>
        <v>1</v>
      </c>
      <c r="AA104" s="7">
        <f t="shared" si="630"/>
        <v>1</v>
      </c>
      <c r="AB104" s="7">
        <f t="shared" si="630"/>
        <v>1</v>
      </c>
      <c r="AC104" s="7">
        <f t="shared" si="23"/>
        <v>1</v>
      </c>
      <c r="AD104" s="7">
        <f t="shared" ref="AD104:AF104" si="631">IF(AE104=1,1,RANDBETWEEN(0,1))</f>
        <v>1</v>
      </c>
      <c r="AE104" s="7">
        <f t="shared" si="631"/>
        <v>0</v>
      </c>
      <c r="AF104" s="7">
        <f t="shared" si="631"/>
        <v>0</v>
      </c>
      <c r="AG104" s="7">
        <f t="shared" si="25"/>
        <v>0</v>
      </c>
    </row>
    <row r="105">
      <c r="A105" s="4" t="s">
        <v>328</v>
      </c>
      <c r="B105" s="4" t="s">
        <v>329</v>
      </c>
      <c r="C105" s="4" t="s">
        <v>330</v>
      </c>
      <c r="D105" s="5">
        <v>19323.0</v>
      </c>
      <c r="E105" s="6">
        <f t="shared" si="7"/>
        <v>895</v>
      </c>
      <c r="F105" s="7">
        <f t="shared" ref="F105:G105" si="632">ROUND(RAND(),2)</f>
        <v>0.97</v>
      </c>
      <c r="G105" s="7">
        <f t="shared" si="632"/>
        <v>0.93</v>
      </c>
      <c r="H105" s="7">
        <f t="shared" si="9"/>
        <v>5</v>
      </c>
      <c r="I105" s="7">
        <f t="shared" si="10"/>
        <v>87485</v>
      </c>
      <c r="J105" s="7">
        <f t="shared" si="11"/>
        <v>19830</v>
      </c>
      <c r="K105" s="7" t="str">
        <f t="shared" si="12"/>
        <v>G</v>
      </c>
      <c r="L105" s="7" t="str">
        <f t="shared" si="13"/>
        <v>Transformative change</v>
      </c>
      <c r="M105" s="7" t="str">
        <f t="shared" si="14"/>
        <v>Low</v>
      </c>
      <c r="N105" s="7">
        <f t="shared" si="15"/>
        <v>3350988</v>
      </c>
      <c r="O105" s="7">
        <f t="shared" si="16"/>
        <v>3091944.761</v>
      </c>
      <c r="P105" s="7">
        <f t="shared" ref="P105:Q105" si="633">RANDBETWEEN(0,22)</f>
        <v>2</v>
      </c>
      <c r="Q105" s="7">
        <f t="shared" si="633"/>
        <v>17</v>
      </c>
      <c r="R105" s="7">
        <f t="shared" ref="R105:T105" si="634">IF(S105=1,1,RANDBETWEEN(0,1))</f>
        <v>1</v>
      </c>
      <c r="S105" s="7">
        <f t="shared" si="634"/>
        <v>1</v>
      </c>
      <c r="T105" s="7">
        <f t="shared" si="634"/>
        <v>0</v>
      </c>
      <c r="U105" s="7">
        <f t="shared" si="19"/>
        <v>0</v>
      </c>
      <c r="V105" s="7">
        <f t="shared" ref="V105:X105" si="635">IF(W105=1,1,RANDBETWEEN(0,1))</f>
        <v>1</v>
      </c>
      <c r="W105" s="7">
        <f t="shared" si="635"/>
        <v>1</v>
      </c>
      <c r="X105" s="7">
        <f t="shared" si="635"/>
        <v>1</v>
      </c>
      <c r="Y105" s="7">
        <f t="shared" si="21"/>
        <v>1</v>
      </c>
      <c r="Z105" s="7">
        <f t="shared" ref="Z105:AB105" si="636">IF(AA105=1,1,RANDBETWEEN(0,1))</f>
        <v>1</v>
      </c>
      <c r="AA105" s="7">
        <f t="shared" si="636"/>
        <v>1</v>
      </c>
      <c r="AB105" s="7">
        <f t="shared" si="636"/>
        <v>1</v>
      </c>
      <c r="AC105" s="7">
        <f t="shared" si="23"/>
        <v>1</v>
      </c>
      <c r="AD105" s="7">
        <f t="shared" ref="AD105:AF105" si="637">IF(AE105=1,1,RANDBETWEEN(0,1))</f>
        <v>1</v>
      </c>
      <c r="AE105" s="7">
        <f t="shared" si="637"/>
        <v>1</v>
      </c>
      <c r="AF105" s="7">
        <f t="shared" si="637"/>
        <v>1</v>
      </c>
      <c r="AG105" s="7">
        <f t="shared" si="25"/>
        <v>1</v>
      </c>
    </row>
    <row r="106">
      <c r="A106" s="4" t="s">
        <v>331</v>
      </c>
      <c r="B106" s="4" t="s">
        <v>332</v>
      </c>
      <c r="C106" s="4" t="s">
        <v>333</v>
      </c>
      <c r="D106" s="5">
        <v>18234.0</v>
      </c>
      <c r="E106" s="6">
        <f t="shared" si="7"/>
        <v>848</v>
      </c>
      <c r="F106" s="7">
        <f t="shared" ref="F106:G106" si="638">ROUND(RAND(),2)</f>
        <v>0.35</v>
      </c>
      <c r="G106" s="7">
        <f t="shared" si="638"/>
        <v>0.77</v>
      </c>
      <c r="H106" s="7">
        <f t="shared" si="9"/>
        <v>3</v>
      </c>
      <c r="I106" s="7">
        <f t="shared" si="10"/>
        <v>71168</v>
      </c>
      <c r="J106" s="7">
        <f t="shared" si="11"/>
        <v>2909</v>
      </c>
      <c r="K106" s="7" t="str">
        <f t="shared" si="12"/>
        <v>F</v>
      </c>
      <c r="L106" s="7" t="str">
        <f t="shared" si="13"/>
        <v>Transformative change</v>
      </c>
      <c r="M106" s="7" t="str">
        <f t="shared" si="14"/>
        <v>High</v>
      </c>
      <c r="N106" s="7">
        <f t="shared" si="15"/>
        <v>854286</v>
      </c>
      <c r="O106" s="7">
        <f t="shared" si="16"/>
        <v>710142.3362</v>
      </c>
      <c r="P106" s="7">
        <f t="shared" ref="P106:Q106" si="639">RANDBETWEEN(0,22)</f>
        <v>9</v>
      </c>
      <c r="Q106" s="7">
        <f t="shared" si="639"/>
        <v>6</v>
      </c>
      <c r="R106" s="7">
        <f t="shared" ref="R106:T106" si="640">IF(S106=1,1,RANDBETWEEN(0,1))</f>
        <v>1</v>
      </c>
      <c r="S106" s="7">
        <f t="shared" si="640"/>
        <v>1</v>
      </c>
      <c r="T106" s="7">
        <f t="shared" si="640"/>
        <v>1</v>
      </c>
      <c r="U106" s="7">
        <f t="shared" si="19"/>
        <v>0</v>
      </c>
      <c r="V106" s="7">
        <f t="shared" ref="V106:X106" si="641">IF(W106=1,1,RANDBETWEEN(0,1))</f>
        <v>1</v>
      </c>
      <c r="W106" s="7">
        <f t="shared" si="641"/>
        <v>1</v>
      </c>
      <c r="X106" s="7">
        <f t="shared" si="641"/>
        <v>1</v>
      </c>
      <c r="Y106" s="7">
        <f t="shared" si="21"/>
        <v>1</v>
      </c>
      <c r="Z106" s="7">
        <f t="shared" ref="Z106:AB106" si="642">IF(AA106=1,1,RANDBETWEEN(0,1))</f>
        <v>1</v>
      </c>
      <c r="AA106" s="7">
        <f t="shared" si="642"/>
        <v>1</v>
      </c>
      <c r="AB106" s="7">
        <f t="shared" si="642"/>
        <v>1</v>
      </c>
      <c r="AC106" s="7">
        <f t="shared" si="23"/>
        <v>1</v>
      </c>
      <c r="AD106" s="7">
        <f t="shared" ref="AD106:AF106" si="643">IF(AE106=1,1,RANDBETWEEN(0,1))</f>
        <v>0</v>
      </c>
      <c r="AE106" s="7">
        <f t="shared" si="643"/>
        <v>0</v>
      </c>
      <c r="AF106" s="7">
        <f t="shared" si="643"/>
        <v>0</v>
      </c>
      <c r="AG106" s="7">
        <f t="shared" si="25"/>
        <v>0</v>
      </c>
    </row>
    <row r="107">
      <c r="A107" s="4" t="s">
        <v>334</v>
      </c>
      <c r="B107" s="4" t="s">
        <v>335</v>
      </c>
      <c r="C107" s="4" t="s">
        <v>336</v>
      </c>
      <c r="D107" s="5">
        <v>6177.0</v>
      </c>
      <c r="E107" s="6">
        <f t="shared" si="7"/>
        <v>1021</v>
      </c>
      <c r="F107" s="7">
        <f t="shared" ref="F107:G107" si="644">ROUND(RAND(),2)</f>
        <v>0.62</v>
      </c>
      <c r="G107" s="7">
        <f t="shared" si="644"/>
        <v>0.78</v>
      </c>
      <c r="H107" s="7">
        <f t="shared" si="9"/>
        <v>4</v>
      </c>
      <c r="I107" s="7">
        <f t="shared" si="10"/>
        <v>83137</v>
      </c>
      <c r="J107" s="7">
        <f t="shared" si="11"/>
        <v>64692</v>
      </c>
      <c r="K107" s="7" t="str">
        <f t="shared" si="12"/>
        <v>C</v>
      </c>
      <c r="L107" s="7" t="str">
        <f t="shared" si="13"/>
        <v>Transformative change</v>
      </c>
      <c r="M107" s="7" t="str">
        <f t="shared" si="14"/>
        <v>Low</v>
      </c>
      <c r="N107" s="7">
        <f t="shared" si="15"/>
        <v>3221866</v>
      </c>
      <c r="O107" s="7">
        <f t="shared" si="16"/>
        <v>3106110.464</v>
      </c>
      <c r="P107" s="7">
        <f t="shared" ref="P107:Q107" si="645">RANDBETWEEN(0,22)</f>
        <v>22</v>
      </c>
      <c r="Q107" s="7">
        <f t="shared" si="645"/>
        <v>0</v>
      </c>
      <c r="R107" s="7">
        <f t="shared" ref="R107:T107" si="646">IF(S107=1,1,RANDBETWEEN(0,1))</f>
        <v>1</v>
      </c>
      <c r="S107" s="7">
        <f t="shared" si="646"/>
        <v>1</v>
      </c>
      <c r="T107" s="7">
        <f t="shared" si="646"/>
        <v>1</v>
      </c>
      <c r="U107" s="7">
        <f t="shared" si="19"/>
        <v>0</v>
      </c>
      <c r="V107" s="7">
        <f t="shared" ref="V107:X107" si="647">IF(W107=1,1,RANDBETWEEN(0,1))</f>
        <v>1</v>
      </c>
      <c r="W107" s="7">
        <f t="shared" si="647"/>
        <v>1</v>
      </c>
      <c r="X107" s="7">
        <f t="shared" si="647"/>
        <v>1</v>
      </c>
      <c r="Y107" s="7">
        <f t="shared" si="21"/>
        <v>1</v>
      </c>
      <c r="Z107" s="7">
        <f t="shared" ref="Z107:AB107" si="648">IF(AA107=1,1,RANDBETWEEN(0,1))</f>
        <v>1</v>
      </c>
      <c r="AA107" s="7">
        <f t="shared" si="648"/>
        <v>1</v>
      </c>
      <c r="AB107" s="7">
        <f t="shared" si="648"/>
        <v>1</v>
      </c>
      <c r="AC107" s="7">
        <f t="shared" si="23"/>
        <v>1</v>
      </c>
      <c r="AD107" s="7">
        <f t="shared" ref="AD107:AF107" si="649">IF(AE107=1,1,RANDBETWEEN(0,1))</f>
        <v>1</v>
      </c>
      <c r="AE107" s="7">
        <f t="shared" si="649"/>
        <v>0</v>
      </c>
      <c r="AF107" s="7">
        <f t="shared" si="649"/>
        <v>0</v>
      </c>
      <c r="AG107" s="7">
        <f t="shared" si="25"/>
        <v>0</v>
      </c>
    </row>
    <row r="108">
      <c r="A108" s="4" t="s">
        <v>337</v>
      </c>
      <c r="B108" s="4" t="s">
        <v>338</v>
      </c>
      <c r="C108" s="4" t="s">
        <v>339</v>
      </c>
      <c r="D108" s="5">
        <v>17535.0</v>
      </c>
      <c r="E108" s="6">
        <f t="shared" si="7"/>
        <v>979</v>
      </c>
      <c r="F108" s="7">
        <f t="shared" ref="F108:G108" si="650">ROUND(RAND(),2)</f>
        <v>0.21</v>
      </c>
      <c r="G108" s="7">
        <f t="shared" si="650"/>
        <v>0.77</v>
      </c>
      <c r="H108" s="7">
        <f t="shared" si="9"/>
        <v>1</v>
      </c>
      <c r="I108" s="7">
        <f t="shared" si="10"/>
        <v>22031</v>
      </c>
      <c r="J108" s="7">
        <f t="shared" si="11"/>
        <v>13723</v>
      </c>
      <c r="K108" s="7" t="str">
        <f t="shared" si="12"/>
        <v>D</v>
      </c>
      <c r="L108" s="7" t="str">
        <f t="shared" si="13"/>
        <v>High ambition</v>
      </c>
      <c r="M108" s="7" t="str">
        <f t="shared" si="14"/>
        <v>High</v>
      </c>
      <c r="N108" s="7">
        <f t="shared" si="15"/>
        <v>770696</v>
      </c>
      <c r="O108" s="7">
        <f t="shared" si="16"/>
        <v>297600.9563</v>
      </c>
      <c r="P108" s="7">
        <f t="shared" ref="P108:Q108" si="651">RANDBETWEEN(0,22)</f>
        <v>21</v>
      </c>
      <c r="Q108" s="7">
        <f t="shared" si="651"/>
        <v>18</v>
      </c>
      <c r="R108" s="7">
        <f t="shared" ref="R108:T108" si="652">IF(S108=1,1,RANDBETWEEN(0,1))</f>
        <v>1</v>
      </c>
      <c r="S108" s="7">
        <f t="shared" si="652"/>
        <v>1</v>
      </c>
      <c r="T108" s="7">
        <f t="shared" si="652"/>
        <v>1</v>
      </c>
      <c r="U108" s="7">
        <f t="shared" si="19"/>
        <v>1</v>
      </c>
      <c r="V108" s="7">
        <f t="shared" ref="V108:X108" si="653">IF(W108=1,1,RANDBETWEEN(0,1))</f>
        <v>1</v>
      </c>
      <c r="W108" s="7">
        <f t="shared" si="653"/>
        <v>1</v>
      </c>
      <c r="X108" s="7">
        <f t="shared" si="653"/>
        <v>1</v>
      </c>
      <c r="Y108" s="7">
        <f t="shared" si="21"/>
        <v>1</v>
      </c>
      <c r="Z108" s="7">
        <f t="shared" ref="Z108:AB108" si="654">IF(AA108=1,1,RANDBETWEEN(0,1))</f>
        <v>1</v>
      </c>
      <c r="AA108" s="7">
        <f t="shared" si="654"/>
        <v>1</v>
      </c>
      <c r="AB108" s="7">
        <f t="shared" si="654"/>
        <v>1</v>
      </c>
      <c r="AC108" s="7">
        <f t="shared" si="23"/>
        <v>1</v>
      </c>
      <c r="AD108" s="7">
        <f t="shared" ref="AD108:AF108" si="655">IF(AE108=1,1,RANDBETWEEN(0,1))</f>
        <v>1</v>
      </c>
      <c r="AE108" s="7">
        <f t="shared" si="655"/>
        <v>1</v>
      </c>
      <c r="AF108" s="7">
        <f t="shared" si="655"/>
        <v>1</v>
      </c>
      <c r="AG108" s="7">
        <f t="shared" si="25"/>
        <v>1</v>
      </c>
    </row>
    <row r="109">
      <c r="A109" s="4" t="s">
        <v>340</v>
      </c>
      <c r="B109" s="4" t="s">
        <v>341</v>
      </c>
      <c r="C109" s="4" t="s">
        <v>342</v>
      </c>
      <c r="D109" s="5">
        <v>18409.0</v>
      </c>
      <c r="E109" s="6">
        <f t="shared" si="7"/>
        <v>960</v>
      </c>
      <c r="F109" s="7">
        <f t="shared" ref="F109:G109" si="656">ROUND(RAND(),2)</f>
        <v>0.47</v>
      </c>
      <c r="G109" s="7">
        <f t="shared" si="656"/>
        <v>0.42</v>
      </c>
      <c r="H109" s="7">
        <f t="shared" si="9"/>
        <v>2</v>
      </c>
      <c r="I109" s="7">
        <f t="shared" si="10"/>
        <v>80669</v>
      </c>
      <c r="J109" s="7">
        <f t="shared" si="11"/>
        <v>55438</v>
      </c>
      <c r="K109" s="7" t="str">
        <f t="shared" si="12"/>
        <v>G</v>
      </c>
      <c r="L109" s="7" t="str">
        <f t="shared" si="13"/>
        <v>High ambition</v>
      </c>
      <c r="M109" s="7" t="str">
        <f t="shared" si="14"/>
        <v>Medium</v>
      </c>
      <c r="N109" s="7">
        <f t="shared" si="15"/>
        <v>3171791</v>
      </c>
      <c r="O109" s="7">
        <f t="shared" si="16"/>
        <v>764461.9276</v>
      </c>
      <c r="P109" s="7">
        <f t="shared" ref="P109:Q109" si="657">RANDBETWEEN(0,22)</f>
        <v>11</v>
      </c>
      <c r="Q109" s="7">
        <f t="shared" si="657"/>
        <v>19</v>
      </c>
      <c r="R109" s="7">
        <f t="shared" ref="R109:T109" si="658">IF(S109=1,1,RANDBETWEEN(0,1))</f>
        <v>1</v>
      </c>
      <c r="S109" s="7">
        <f t="shared" si="658"/>
        <v>1</v>
      </c>
      <c r="T109" s="7">
        <f t="shared" si="658"/>
        <v>0</v>
      </c>
      <c r="U109" s="7">
        <f t="shared" si="19"/>
        <v>0</v>
      </c>
      <c r="V109" s="7">
        <f t="shared" ref="V109:X109" si="659">IF(W109=1,1,RANDBETWEEN(0,1))</f>
        <v>1</v>
      </c>
      <c r="W109" s="7">
        <f t="shared" si="659"/>
        <v>1</v>
      </c>
      <c r="X109" s="7">
        <f t="shared" si="659"/>
        <v>1</v>
      </c>
      <c r="Y109" s="7">
        <f t="shared" si="21"/>
        <v>1</v>
      </c>
      <c r="Z109" s="7">
        <f t="shared" ref="Z109:AB109" si="660">IF(AA109=1,1,RANDBETWEEN(0,1))</f>
        <v>1</v>
      </c>
      <c r="AA109" s="7">
        <f t="shared" si="660"/>
        <v>1</v>
      </c>
      <c r="AB109" s="7">
        <f t="shared" si="660"/>
        <v>1</v>
      </c>
      <c r="AC109" s="7">
        <f t="shared" si="23"/>
        <v>1</v>
      </c>
      <c r="AD109" s="7">
        <f t="shared" ref="AD109:AF109" si="661">IF(AE109=1,1,RANDBETWEEN(0,1))</f>
        <v>1</v>
      </c>
      <c r="AE109" s="7">
        <f t="shared" si="661"/>
        <v>1</v>
      </c>
      <c r="AF109" s="7">
        <f t="shared" si="661"/>
        <v>1</v>
      </c>
      <c r="AG109" s="7">
        <f t="shared" si="25"/>
        <v>1</v>
      </c>
    </row>
    <row r="110">
      <c r="A110" s="4" t="s">
        <v>343</v>
      </c>
      <c r="B110" s="4" t="s">
        <v>344</v>
      </c>
      <c r="C110" s="4" t="s">
        <v>345</v>
      </c>
      <c r="D110" s="5">
        <v>18289.0</v>
      </c>
      <c r="E110" s="6">
        <f t="shared" si="7"/>
        <v>884</v>
      </c>
      <c r="F110" s="7">
        <f t="shared" ref="F110:G110" si="662">ROUND(RAND(),2)</f>
        <v>0.71</v>
      </c>
      <c r="G110" s="7">
        <f t="shared" si="662"/>
        <v>0.62</v>
      </c>
      <c r="H110" s="7">
        <f t="shared" si="9"/>
        <v>4</v>
      </c>
      <c r="I110" s="7">
        <f t="shared" si="10"/>
        <v>49436</v>
      </c>
      <c r="J110" s="7">
        <f t="shared" si="11"/>
        <v>34778</v>
      </c>
      <c r="K110" s="7" t="str">
        <f t="shared" si="12"/>
        <v>C</v>
      </c>
      <c r="L110" s="7" t="str">
        <f t="shared" si="13"/>
        <v>Transformative change</v>
      </c>
      <c r="M110" s="7" t="str">
        <f t="shared" si="14"/>
        <v>Medium</v>
      </c>
      <c r="N110" s="7">
        <f t="shared" si="15"/>
        <v>3397788</v>
      </c>
      <c r="O110" s="7">
        <f t="shared" si="16"/>
        <v>755209.3911</v>
      </c>
      <c r="P110" s="7">
        <f t="shared" ref="P110:Q110" si="663">RANDBETWEEN(0,22)</f>
        <v>22</v>
      </c>
      <c r="Q110" s="7">
        <f t="shared" si="663"/>
        <v>1</v>
      </c>
      <c r="R110" s="7">
        <f t="shared" ref="R110:T110" si="664">IF(S110=1,1,RANDBETWEEN(0,1))</f>
        <v>1</v>
      </c>
      <c r="S110" s="7">
        <f t="shared" si="664"/>
        <v>1</v>
      </c>
      <c r="T110" s="7">
        <f t="shared" si="664"/>
        <v>1</v>
      </c>
      <c r="U110" s="7">
        <f t="shared" si="19"/>
        <v>1</v>
      </c>
      <c r="V110" s="7">
        <f t="shared" ref="V110:X110" si="665">IF(W110=1,1,RANDBETWEEN(0,1))</f>
        <v>1</v>
      </c>
      <c r="W110" s="7">
        <f t="shared" si="665"/>
        <v>1</v>
      </c>
      <c r="X110" s="7">
        <f t="shared" si="665"/>
        <v>1</v>
      </c>
      <c r="Y110" s="7">
        <f t="shared" si="21"/>
        <v>1</v>
      </c>
      <c r="Z110" s="7">
        <f t="shared" ref="Z110:AB110" si="666">IF(AA110=1,1,RANDBETWEEN(0,1))</f>
        <v>1</v>
      </c>
      <c r="AA110" s="7">
        <f t="shared" si="666"/>
        <v>1</v>
      </c>
      <c r="AB110" s="7">
        <f t="shared" si="666"/>
        <v>1</v>
      </c>
      <c r="AC110" s="7">
        <f t="shared" si="23"/>
        <v>1</v>
      </c>
      <c r="AD110" s="7">
        <f t="shared" ref="AD110:AF110" si="667">IF(AE110=1,1,RANDBETWEEN(0,1))</f>
        <v>1</v>
      </c>
      <c r="AE110" s="7">
        <f t="shared" si="667"/>
        <v>1</v>
      </c>
      <c r="AF110" s="7">
        <f t="shared" si="667"/>
        <v>1</v>
      </c>
      <c r="AG110" s="7">
        <f t="shared" si="25"/>
        <v>0</v>
      </c>
    </row>
    <row r="111">
      <c r="A111" s="4" t="s">
        <v>346</v>
      </c>
      <c r="B111" s="4" t="s">
        <v>347</v>
      </c>
      <c r="C111" s="4" t="s">
        <v>95</v>
      </c>
      <c r="D111" s="5">
        <v>423787.0</v>
      </c>
      <c r="E111" s="6">
        <f t="shared" si="7"/>
        <v>1173.93</v>
      </c>
      <c r="F111" s="7">
        <f t="shared" ref="F111:G111" si="668">ROUND(RAND(),2)</f>
        <v>0.34</v>
      </c>
      <c r="G111" s="7">
        <f t="shared" si="668"/>
        <v>0.82</v>
      </c>
      <c r="H111" s="7">
        <f t="shared" si="9"/>
        <v>4</v>
      </c>
      <c r="I111" s="7">
        <f t="shared" si="10"/>
        <v>52146</v>
      </c>
      <c r="J111" s="7">
        <f t="shared" si="11"/>
        <v>18065</v>
      </c>
      <c r="K111" s="7" t="str">
        <f t="shared" si="12"/>
        <v>E</v>
      </c>
      <c r="L111" s="7" t="str">
        <f t="shared" si="13"/>
        <v>Transformative change</v>
      </c>
      <c r="M111" s="7" t="str">
        <f t="shared" si="14"/>
        <v>Low</v>
      </c>
      <c r="N111" s="7">
        <f t="shared" si="15"/>
        <v>2514422</v>
      </c>
      <c r="O111" s="7">
        <f t="shared" si="16"/>
        <v>528581.8786</v>
      </c>
      <c r="P111" s="7">
        <f t="shared" ref="P111:Q111" si="669">RANDBETWEEN(0,22)</f>
        <v>20</v>
      </c>
      <c r="Q111" s="7">
        <f t="shared" si="669"/>
        <v>1</v>
      </c>
      <c r="R111" s="7">
        <f t="shared" ref="R111:T111" si="670">IF(S111=1,1,RANDBETWEEN(0,1))</f>
        <v>1</v>
      </c>
      <c r="S111" s="7">
        <f t="shared" si="670"/>
        <v>1</v>
      </c>
      <c r="T111" s="7">
        <f t="shared" si="670"/>
        <v>1</v>
      </c>
      <c r="U111" s="7">
        <f t="shared" si="19"/>
        <v>0</v>
      </c>
      <c r="V111" s="7">
        <f t="shared" ref="V111:X111" si="671">IF(W111=1,1,RANDBETWEEN(0,1))</f>
        <v>1</v>
      </c>
      <c r="W111" s="7">
        <f t="shared" si="671"/>
        <v>1</v>
      </c>
      <c r="X111" s="7">
        <f t="shared" si="671"/>
        <v>1</v>
      </c>
      <c r="Y111" s="7">
        <f t="shared" si="21"/>
        <v>1</v>
      </c>
      <c r="Z111" s="7">
        <f t="shared" ref="Z111:AB111" si="672">IF(AA111=1,1,RANDBETWEEN(0,1))</f>
        <v>1</v>
      </c>
      <c r="AA111" s="7">
        <f t="shared" si="672"/>
        <v>0</v>
      </c>
      <c r="AB111" s="7">
        <f t="shared" si="672"/>
        <v>0</v>
      </c>
      <c r="AC111" s="7">
        <f t="shared" si="23"/>
        <v>0</v>
      </c>
      <c r="AD111" s="7">
        <f t="shared" ref="AD111:AF111" si="673">IF(AE111=1,1,RANDBETWEEN(0,1))</f>
        <v>1</v>
      </c>
      <c r="AE111" s="7">
        <f t="shared" si="673"/>
        <v>1</v>
      </c>
      <c r="AF111" s="7">
        <f t="shared" si="673"/>
        <v>1</v>
      </c>
      <c r="AG111" s="7">
        <f t="shared" si="25"/>
        <v>1</v>
      </c>
    </row>
    <row r="112">
      <c r="A112" s="4" t="s">
        <v>348</v>
      </c>
      <c r="B112" s="4" t="s">
        <v>349</v>
      </c>
      <c r="C112" s="4" t="s">
        <v>350</v>
      </c>
      <c r="D112" s="5">
        <v>17528.0</v>
      </c>
      <c r="E112" s="6">
        <f t="shared" si="7"/>
        <v>902</v>
      </c>
      <c r="F112" s="7">
        <f t="shared" ref="F112:G112" si="674">ROUND(RAND(),2)</f>
        <v>0.99</v>
      </c>
      <c r="G112" s="7">
        <f t="shared" si="674"/>
        <v>0.21</v>
      </c>
      <c r="H112" s="7">
        <f t="shared" si="9"/>
        <v>1</v>
      </c>
      <c r="I112" s="7">
        <f t="shared" si="10"/>
        <v>91905</v>
      </c>
      <c r="J112" s="7">
        <f t="shared" si="11"/>
        <v>28129</v>
      </c>
      <c r="K112" s="7" t="str">
        <f t="shared" si="12"/>
        <v>D</v>
      </c>
      <c r="L112" s="7" t="str">
        <f t="shared" si="13"/>
        <v>Transformative change</v>
      </c>
      <c r="M112" s="7" t="str">
        <f t="shared" si="14"/>
        <v>Medium</v>
      </c>
      <c r="N112" s="7">
        <f t="shared" si="15"/>
        <v>255852</v>
      </c>
      <c r="O112" s="7">
        <f t="shared" si="16"/>
        <v>49232.30691</v>
      </c>
      <c r="P112" s="7">
        <f t="shared" ref="P112:Q112" si="675">RANDBETWEEN(0,22)</f>
        <v>6</v>
      </c>
      <c r="Q112" s="7">
        <f t="shared" si="675"/>
        <v>11</v>
      </c>
      <c r="R112" s="7">
        <f t="shared" ref="R112:T112" si="676">IF(S112=1,1,RANDBETWEEN(0,1))</f>
        <v>1</v>
      </c>
      <c r="S112" s="7">
        <f t="shared" si="676"/>
        <v>1</v>
      </c>
      <c r="T112" s="7">
        <f t="shared" si="676"/>
        <v>1</v>
      </c>
      <c r="U112" s="7">
        <f t="shared" si="19"/>
        <v>1</v>
      </c>
      <c r="V112" s="7">
        <f t="shared" ref="V112:X112" si="677">IF(W112=1,1,RANDBETWEEN(0,1))</f>
        <v>1</v>
      </c>
      <c r="W112" s="7">
        <f t="shared" si="677"/>
        <v>1</v>
      </c>
      <c r="X112" s="7">
        <f t="shared" si="677"/>
        <v>1</v>
      </c>
      <c r="Y112" s="7">
        <f t="shared" si="21"/>
        <v>0</v>
      </c>
      <c r="Z112" s="7">
        <f t="shared" ref="Z112:AB112" si="678">IF(AA112=1,1,RANDBETWEEN(0,1))</f>
        <v>1</v>
      </c>
      <c r="AA112" s="7">
        <f t="shared" si="678"/>
        <v>1</v>
      </c>
      <c r="AB112" s="7">
        <f t="shared" si="678"/>
        <v>1</v>
      </c>
      <c r="AC112" s="7">
        <f t="shared" si="23"/>
        <v>1</v>
      </c>
      <c r="AD112" s="7">
        <f t="shared" ref="AD112:AF112" si="679">IF(AE112=1,1,RANDBETWEEN(0,1))</f>
        <v>1</v>
      </c>
      <c r="AE112" s="7">
        <f t="shared" si="679"/>
        <v>1</v>
      </c>
      <c r="AF112" s="7">
        <f t="shared" si="679"/>
        <v>1</v>
      </c>
      <c r="AG112" s="7">
        <f t="shared" si="25"/>
        <v>0</v>
      </c>
    </row>
    <row r="113">
      <c r="A113" s="4" t="s">
        <v>351</v>
      </c>
      <c r="B113" s="4" t="s">
        <v>352</v>
      </c>
      <c r="C113" s="4" t="s">
        <v>353</v>
      </c>
      <c r="D113" s="5">
        <v>5442.0</v>
      </c>
      <c r="E113" s="6">
        <f t="shared" si="7"/>
        <v>852</v>
      </c>
      <c r="F113" s="7">
        <f t="shared" ref="F113:G113" si="680">ROUND(RAND(),2)</f>
        <v>0.15</v>
      </c>
      <c r="G113" s="7">
        <f t="shared" si="680"/>
        <v>0.31</v>
      </c>
      <c r="H113" s="7">
        <f t="shared" si="9"/>
        <v>4</v>
      </c>
      <c r="I113" s="7">
        <f t="shared" si="10"/>
        <v>6996</v>
      </c>
      <c r="J113" s="7">
        <f t="shared" si="11"/>
        <v>73825</v>
      </c>
      <c r="K113" s="7" t="str">
        <f t="shared" si="12"/>
        <v>C</v>
      </c>
      <c r="L113" s="7" t="str">
        <f t="shared" si="13"/>
        <v>High ambition</v>
      </c>
      <c r="M113" s="7" t="str">
        <f t="shared" si="14"/>
        <v>Medium</v>
      </c>
      <c r="N113" s="7">
        <f t="shared" si="15"/>
        <v>1122914</v>
      </c>
      <c r="O113" s="7">
        <f t="shared" si="16"/>
        <v>657392.8749</v>
      </c>
      <c r="P113" s="7">
        <f t="shared" ref="P113:Q113" si="681">RANDBETWEEN(0,22)</f>
        <v>8</v>
      </c>
      <c r="Q113" s="7">
        <f t="shared" si="681"/>
        <v>20</v>
      </c>
      <c r="R113" s="7">
        <f t="shared" ref="R113:T113" si="682">IF(S113=1,1,RANDBETWEEN(0,1))</f>
        <v>1</v>
      </c>
      <c r="S113" s="7">
        <f t="shared" si="682"/>
        <v>1</v>
      </c>
      <c r="T113" s="7">
        <f t="shared" si="682"/>
        <v>1</v>
      </c>
      <c r="U113" s="7">
        <f t="shared" si="19"/>
        <v>1</v>
      </c>
      <c r="V113" s="7">
        <f t="shared" ref="V113:X113" si="683">IF(W113=1,1,RANDBETWEEN(0,1))</f>
        <v>1</v>
      </c>
      <c r="W113" s="7">
        <f t="shared" si="683"/>
        <v>1</v>
      </c>
      <c r="X113" s="7">
        <f t="shared" si="683"/>
        <v>1</v>
      </c>
      <c r="Y113" s="7">
        <f t="shared" si="21"/>
        <v>0</v>
      </c>
      <c r="Z113" s="7">
        <f t="shared" ref="Z113:AB113" si="684">IF(AA113=1,1,RANDBETWEEN(0,1))</f>
        <v>1</v>
      </c>
      <c r="AA113" s="7">
        <f t="shared" si="684"/>
        <v>0</v>
      </c>
      <c r="AB113" s="7">
        <f t="shared" si="684"/>
        <v>0</v>
      </c>
      <c r="AC113" s="7">
        <f t="shared" si="23"/>
        <v>0</v>
      </c>
      <c r="AD113" s="7">
        <f t="shared" ref="AD113:AF113" si="685">IF(AE113=1,1,RANDBETWEEN(0,1))</f>
        <v>1</v>
      </c>
      <c r="AE113" s="7">
        <f t="shared" si="685"/>
        <v>1</v>
      </c>
      <c r="AF113" s="7">
        <f t="shared" si="685"/>
        <v>1</v>
      </c>
      <c r="AG113" s="7">
        <f t="shared" si="25"/>
        <v>0</v>
      </c>
    </row>
    <row r="114">
      <c r="A114" s="4" t="s">
        <v>354</v>
      </c>
      <c r="B114" s="4" t="s">
        <v>355</v>
      </c>
      <c r="C114" s="4" t="s">
        <v>356</v>
      </c>
      <c r="D114" s="5">
        <v>92106.0</v>
      </c>
      <c r="E114" s="6">
        <f t="shared" si="7"/>
        <v>1047</v>
      </c>
      <c r="F114" s="7">
        <f t="shared" ref="F114:G114" si="686">ROUND(RAND(),2)</f>
        <v>0.65</v>
      </c>
      <c r="G114" s="7">
        <f t="shared" si="686"/>
        <v>0.79</v>
      </c>
      <c r="H114" s="7">
        <f t="shared" si="9"/>
        <v>1</v>
      </c>
      <c r="I114" s="7">
        <f t="shared" si="10"/>
        <v>44407</v>
      </c>
      <c r="J114" s="7">
        <f t="shared" si="11"/>
        <v>42948</v>
      </c>
      <c r="K114" s="7" t="str">
        <f t="shared" si="12"/>
        <v>D</v>
      </c>
      <c r="L114" s="7" t="str">
        <f t="shared" si="13"/>
        <v>Transformative change</v>
      </c>
      <c r="M114" s="7" t="str">
        <f t="shared" si="14"/>
        <v>Low</v>
      </c>
      <c r="N114" s="7">
        <f t="shared" si="15"/>
        <v>2249564</v>
      </c>
      <c r="O114" s="7">
        <f t="shared" si="16"/>
        <v>1675361.062</v>
      </c>
      <c r="P114" s="7">
        <f t="shared" ref="P114:Q114" si="687">RANDBETWEEN(0,22)</f>
        <v>8</v>
      </c>
      <c r="Q114" s="7">
        <f t="shared" si="687"/>
        <v>15</v>
      </c>
      <c r="R114" s="7">
        <f t="shared" ref="R114:T114" si="688">IF(S114=1,1,RANDBETWEEN(0,1))</f>
        <v>1</v>
      </c>
      <c r="S114" s="7">
        <f t="shared" si="688"/>
        <v>1</v>
      </c>
      <c r="T114" s="7">
        <f t="shared" si="688"/>
        <v>1</v>
      </c>
      <c r="U114" s="7">
        <f t="shared" si="19"/>
        <v>1</v>
      </c>
      <c r="V114" s="7">
        <f t="shared" ref="V114:X114" si="689">IF(W114=1,1,RANDBETWEEN(0,1))</f>
        <v>1</v>
      </c>
      <c r="W114" s="7">
        <f t="shared" si="689"/>
        <v>1</v>
      </c>
      <c r="X114" s="7">
        <f t="shared" si="689"/>
        <v>1</v>
      </c>
      <c r="Y114" s="7">
        <f t="shared" si="21"/>
        <v>0</v>
      </c>
      <c r="Z114" s="7">
        <f t="shared" ref="Z114:AB114" si="690">IF(AA114=1,1,RANDBETWEEN(0,1))</f>
        <v>1</v>
      </c>
      <c r="AA114" s="7">
        <f t="shared" si="690"/>
        <v>1</v>
      </c>
      <c r="AB114" s="7">
        <f t="shared" si="690"/>
        <v>1</v>
      </c>
      <c r="AC114" s="7">
        <f t="shared" si="23"/>
        <v>1</v>
      </c>
      <c r="AD114" s="7">
        <f t="shared" ref="AD114:AF114" si="691">IF(AE114=1,1,RANDBETWEEN(0,1))</f>
        <v>1</v>
      </c>
      <c r="AE114" s="7">
        <f t="shared" si="691"/>
        <v>1</v>
      </c>
      <c r="AF114" s="7">
        <f t="shared" si="691"/>
        <v>1</v>
      </c>
      <c r="AG114" s="7">
        <f t="shared" si="25"/>
        <v>1</v>
      </c>
    </row>
    <row r="115">
      <c r="A115" s="4" t="s">
        <v>357</v>
      </c>
      <c r="B115" s="4" t="s">
        <v>358</v>
      </c>
      <c r="C115" s="4" t="s">
        <v>359</v>
      </c>
      <c r="D115" s="5">
        <v>16350.0</v>
      </c>
      <c r="E115" s="6">
        <f t="shared" si="7"/>
        <v>992</v>
      </c>
      <c r="F115" s="7">
        <f t="shared" ref="F115:G115" si="692">ROUND(RAND(),2)</f>
        <v>0.61</v>
      </c>
      <c r="G115" s="7">
        <f t="shared" si="692"/>
        <v>0.99</v>
      </c>
      <c r="H115" s="7">
        <f t="shared" si="9"/>
        <v>1</v>
      </c>
      <c r="I115" s="7">
        <f t="shared" si="10"/>
        <v>29454</v>
      </c>
      <c r="J115" s="7">
        <f t="shared" si="11"/>
        <v>23949</v>
      </c>
      <c r="K115" s="7" t="str">
        <f t="shared" si="12"/>
        <v>E</v>
      </c>
      <c r="L115" s="7" t="str">
        <f t="shared" si="13"/>
        <v>Transformative change</v>
      </c>
      <c r="M115" s="7" t="str">
        <f t="shared" si="14"/>
        <v>High</v>
      </c>
      <c r="N115" s="7">
        <f t="shared" si="15"/>
        <v>1009985</v>
      </c>
      <c r="O115" s="7">
        <f t="shared" si="16"/>
        <v>713190.051</v>
      </c>
      <c r="P115" s="7">
        <f t="shared" ref="P115:Q115" si="693">RANDBETWEEN(0,22)</f>
        <v>19</v>
      </c>
      <c r="Q115" s="7">
        <f t="shared" si="693"/>
        <v>22</v>
      </c>
      <c r="R115" s="7">
        <f t="shared" ref="R115:T115" si="694">IF(S115=1,1,RANDBETWEEN(0,1))</f>
        <v>1</v>
      </c>
      <c r="S115" s="7">
        <f t="shared" si="694"/>
        <v>1</v>
      </c>
      <c r="T115" s="7">
        <f t="shared" si="694"/>
        <v>1</v>
      </c>
      <c r="U115" s="7">
        <f t="shared" si="19"/>
        <v>1</v>
      </c>
      <c r="V115" s="7">
        <f t="shared" ref="V115:X115" si="695">IF(W115=1,1,RANDBETWEEN(0,1))</f>
        <v>1</v>
      </c>
      <c r="W115" s="7">
        <f t="shared" si="695"/>
        <v>1</v>
      </c>
      <c r="X115" s="7">
        <f t="shared" si="695"/>
        <v>1</v>
      </c>
      <c r="Y115" s="7">
        <f t="shared" si="21"/>
        <v>1</v>
      </c>
      <c r="Z115" s="7">
        <f t="shared" ref="Z115:AB115" si="696">IF(AA115=1,1,RANDBETWEEN(0,1))</f>
        <v>1</v>
      </c>
      <c r="AA115" s="7">
        <f t="shared" si="696"/>
        <v>1</v>
      </c>
      <c r="AB115" s="7">
        <f t="shared" si="696"/>
        <v>0</v>
      </c>
      <c r="AC115" s="7">
        <f t="shared" si="23"/>
        <v>0</v>
      </c>
      <c r="AD115" s="7">
        <f t="shared" ref="AD115:AF115" si="697">IF(AE115=1,1,RANDBETWEEN(0,1))</f>
        <v>1</v>
      </c>
      <c r="AE115" s="7">
        <f t="shared" si="697"/>
        <v>1</v>
      </c>
      <c r="AF115" s="7">
        <f t="shared" si="697"/>
        <v>0</v>
      </c>
      <c r="AG115" s="7">
        <f t="shared" si="25"/>
        <v>0</v>
      </c>
    </row>
    <row r="116">
      <c r="A116" s="4" t="s">
        <v>360</v>
      </c>
      <c r="B116" s="4" t="s">
        <v>361</v>
      </c>
      <c r="C116" s="4" t="s">
        <v>362</v>
      </c>
      <c r="D116" s="5">
        <v>76105.0</v>
      </c>
      <c r="E116" s="6">
        <f t="shared" si="7"/>
        <v>884</v>
      </c>
      <c r="F116" s="7">
        <f t="shared" ref="F116:G116" si="698">ROUND(RAND(),2)</f>
        <v>0.84</v>
      </c>
      <c r="G116" s="7">
        <f t="shared" si="698"/>
        <v>0.42</v>
      </c>
      <c r="H116" s="7">
        <f t="shared" si="9"/>
        <v>1</v>
      </c>
      <c r="I116" s="7">
        <f t="shared" si="10"/>
        <v>93996</v>
      </c>
      <c r="J116" s="7">
        <f t="shared" si="11"/>
        <v>33970</v>
      </c>
      <c r="K116" s="7" t="str">
        <f t="shared" si="12"/>
        <v>D</v>
      </c>
      <c r="L116" s="7" t="str">
        <f t="shared" si="13"/>
        <v>High ambition</v>
      </c>
      <c r="M116" s="7" t="str">
        <f t="shared" si="14"/>
        <v>High</v>
      </c>
      <c r="N116" s="7">
        <f t="shared" si="15"/>
        <v>968258</v>
      </c>
      <c r="O116" s="7">
        <f t="shared" si="16"/>
        <v>893742.6462</v>
      </c>
      <c r="P116" s="7">
        <f t="shared" ref="P116:Q116" si="699">RANDBETWEEN(0,22)</f>
        <v>19</v>
      </c>
      <c r="Q116" s="7">
        <f t="shared" si="699"/>
        <v>2</v>
      </c>
      <c r="R116" s="7">
        <f t="shared" ref="R116:T116" si="700">IF(S116=1,1,RANDBETWEEN(0,1))</f>
        <v>1</v>
      </c>
      <c r="S116" s="7">
        <f t="shared" si="700"/>
        <v>1</v>
      </c>
      <c r="T116" s="7">
        <f t="shared" si="700"/>
        <v>1</v>
      </c>
      <c r="U116" s="7">
        <f t="shared" si="19"/>
        <v>1</v>
      </c>
      <c r="V116" s="7">
        <f t="shared" ref="V116:X116" si="701">IF(W116=1,1,RANDBETWEEN(0,1))</f>
        <v>1</v>
      </c>
      <c r="W116" s="7">
        <f t="shared" si="701"/>
        <v>1</v>
      </c>
      <c r="X116" s="7">
        <f t="shared" si="701"/>
        <v>1</v>
      </c>
      <c r="Y116" s="7">
        <f t="shared" si="21"/>
        <v>1</v>
      </c>
      <c r="Z116" s="7">
        <f t="shared" ref="Z116:AB116" si="702">IF(AA116=1,1,RANDBETWEEN(0,1))</f>
        <v>1</v>
      </c>
      <c r="AA116" s="7">
        <f t="shared" si="702"/>
        <v>0</v>
      </c>
      <c r="AB116" s="7">
        <f t="shared" si="702"/>
        <v>0</v>
      </c>
      <c r="AC116" s="7">
        <f t="shared" si="23"/>
        <v>0</v>
      </c>
      <c r="AD116" s="7">
        <f t="shared" ref="AD116:AF116" si="703">IF(AE116=1,1,RANDBETWEEN(0,1))</f>
        <v>1</v>
      </c>
      <c r="AE116" s="7">
        <f t="shared" si="703"/>
        <v>1</v>
      </c>
      <c r="AF116" s="7">
        <f t="shared" si="703"/>
        <v>1</v>
      </c>
      <c r="AG116" s="7">
        <f t="shared" si="25"/>
        <v>0</v>
      </c>
    </row>
    <row r="117">
      <c r="A117" s="4" t="s">
        <v>363</v>
      </c>
      <c r="B117" s="4" t="s">
        <v>364</v>
      </c>
      <c r="C117" s="4" t="s">
        <v>365</v>
      </c>
      <c r="D117" s="5">
        <v>7365.0</v>
      </c>
      <c r="E117" s="6">
        <f t="shared" si="7"/>
        <v>1053</v>
      </c>
      <c r="F117" s="7">
        <f t="shared" ref="F117:G117" si="704">ROUND(RAND(),2)</f>
        <v>0.23</v>
      </c>
      <c r="G117" s="7">
        <f t="shared" si="704"/>
        <v>0.55</v>
      </c>
      <c r="H117" s="7">
        <f t="shared" si="9"/>
        <v>3</v>
      </c>
      <c r="I117" s="7">
        <f t="shared" si="10"/>
        <v>97231</v>
      </c>
      <c r="J117" s="7">
        <f t="shared" si="11"/>
        <v>54861</v>
      </c>
      <c r="K117" s="7" t="str">
        <f t="shared" si="12"/>
        <v>F</v>
      </c>
      <c r="L117" s="7" t="str">
        <f t="shared" si="13"/>
        <v>Transformative change</v>
      </c>
      <c r="M117" s="7" t="str">
        <f t="shared" si="14"/>
        <v>High</v>
      </c>
      <c r="N117" s="7">
        <f t="shared" si="15"/>
        <v>2842839</v>
      </c>
      <c r="O117" s="7">
        <f t="shared" si="16"/>
        <v>2824416.953</v>
      </c>
      <c r="P117" s="7">
        <f t="shared" ref="P117:Q117" si="705">RANDBETWEEN(0,22)</f>
        <v>20</v>
      </c>
      <c r="Q117" s="7">
        <f t="shared" si="705"/>
        <v>22</v>
      </c>
      <c r="R117" s="7">
        <f t="shared" ref="R117:T117" si="706">IF(S117=1,1,RANDBETWEEN(0,1))</f>
        <v>1</v>
      </c>
      <c r="S117" s="7">
        <f t="shared" si="706"/>
        <v>1</v>
      </c>
      <c r="T117" s="7">
        <f t="shared" si="706"/>
        <v>1</v>
      </c>
      <c r="U117" s="7">
        <f t="shared" si="19"/>
        <v>1</v>
      </c>
      <c r="V117" s="7">
        <f t="shared" ref="V117:X117" si="707">IF(W117=1,1,RANDBETWEEN(0,1))</f>
        <v>1</v>
      </c>
      <c r="W117" s="7">
        <f t="shared" si="707"/>
        <v>1</v>
      </c>
      <c r="X117" s="7">
        <f t="shared" si="707"/>
        <v>1</v>
      </c>
      <c r="Y117" s="7">
        <f t="shared" si="21"/>
        <v>1</v>
      </c>
      <c r="Z117" s="7">
        <f t="shared" ref="Z117:AB117" si="708">IF(AA117=1,1,RANDBETWEEN(0,1))</f>
        <v>1</v>
      </c>
      <c r="AA117" s="7">
        <f t="shared" si="708"/>
        <v>1</v>
      </c>
      <c r="AB117" s="7">
        <f t="shared" si="708"/>
        <v>1</v>
      </c>
      <c r="AC117" s="7">
        <f t="shared" si="23"/>
        <v>1</v>
      </c>
      <c r="AD117" s="7">
        <f t="shared" ref="AD117:AF117" si="709">IF(AE117=1,1,RANDBETWEEN(0,1))</f>
        <v>1</v>
      </c>
      <c r="AE117" s="7">
        <f t="shared" si="709"/>
        <v>1</v>
      </c>
      <c r="AF117" s="7">
        <f t="shared" si="709"/>
        <v>1</v>
      </c>
      <c r="AG117" s="7">
        <f t="shared" si="25"/>
        <v>1</v>
      </c>
    </row>
    <row r="118">
      <c r="A118" s="4" t="s">
        <v>366</v>
      </c>
      <c r="B118" s="4" t="s">
        <v>367</v>
      </c>
      <c r="C118" s="4" t="s">
        <v>368</v>
      </c>
      <c r="D118" s="5">
        <v>328085.0</v>
      </c>
      <c r="E118" s="6">
        <f t="shared" si="7"/>
        <v>849</v>
      </c>
      <c r="F118" s="7">
        <f t="shared" ref="F118:G118" si="710">ROUND(RAND(),2)</f>
        <v>0.93</v>
      </c>
      <c r="G118" s="7">
        <f t="shared" si="710"/>
        <v>0.6</v>
      </c>
      <c r="H118" s="7">
        <f t="shared" si="9"/>
        <v>4</v>
      </c>
      <c r="I118" s="7">
        <f t="shared" si="10"/>
        <v>83485</v>
      </c>
      <c r="J118" s="7">
        <f t="shared" si="11"/>
        <v>73182</v>
      </c>
      <c r="K118" s="7" t="str">
        <f t="shared" si="12"/>
        <v>C</v>
      </c>
      <c r="L118" s="7" t="str">
        <f t="shared" si="13"/>
        <v>High ambition</v>
      </c>
      <c r="M118" s="7" t="str">
        <f t="shared" si="14"/>
        <v>High</v>
      </c>
      <c r="N118" s="7">
        <f t="shared" si="15"/>
        <v>2401871</v>
      </c>
      <c r="O118" s="7">
        <f t="shared" si="16"/>
        <v>1136567.582</v>
      </c>
      <c r="P118" s="7">
        <f t="shared" ref="P118:Q118" si="711">RANDBETWEEN(0,22)</f>
        <v>13</v>
      </c>
      <c r="Q118" s="7">
        <f t="shared" si="711"/>
        <v>0</v>
      </c>
      <c r="R118" s="7">
        <f t="shared" ref="R118:T118" si="712">IF(S118=1,1,RANDBETWEEN(0,1))</f>
        <v>0</v>
      </c>
      <c r="S118" s="7">
        <f t="shared" si="712"/>
        <v>0</v>
      </c>
      <c r="T118" s="7">
        <f t="shared" si="712"/>
        <v>0</v>
      </c>
      <c r="U118" s="7">
        <f t="shared" si="19"/>
        <v>0</v>
      </c>
      <c r="V118" s="7">
        <f t="shared" ref="V118:X118" si="713">IF(W118=1,1,RANDBETWEEN(0,1))</f>
        <v>1</v>
      </c>
      <c r="W118" s="7">
        <f t="shared" si="713"/>
        <v>1</v>
      </c>
      <c r="X118" s="7">
        <f t="shared" si="713"/>
        <v>0</v>
      </c>
      <c r="Y118" s="7">
        <f t="shared" si="21"/>
        <v>0</v>
      </c>
      <c r="Z118" s="7">
        <f t="shared" ref="Z118:AB118" si="714">IF(AA118=1,1,RANDBETWEEN(0,1))</f>
        <v>1</v>
      </c>
      <c r="AA118" s="7">
        <f t="shared" si="714"/>
        <v>1</v>
      </c>
      <c r="AB118" s="7">
        <f t="shared" si="714"/>
        <v>1</v>
      </c>
      <c r="AC118" s="7">
        <f t="shared" si="23"/>
        <v>0</v>
      </c>
      <c r="AD118" s="7">
        <f t="shared" ref="AD118:AF118" si="715">IF(AE118=1,1,RANDBETWEEN(0,1))</f>
        <v>0</v>
      </c>
      <c r="AE118" s="7">
        <f t="shared" si="715"/>
        <v>0</v>
      </c>
      <c r="AF118" s="7">
        <f t="shared" si="715"/>
        <v>0</v>
      </c>
      <c r="AG118" s="7">
        <f t="shared" si="25"/>
        <v>0</v>
      </c>
    </row>
    <row r="119">
      <c r="A119" s="4" t="s">
        <v>369</v>
      </c>
      <c r="B119" s="4" t="s">
        <v>370</v>
      </c>
      <c r="C119" s="4" t="s">
        <v>371</v>
      </c>
      <c r="D119" s="5">
        <v>20506.0</v>
      </c>
      <c r="E119" s="6">
        <f t="shared" si="7"/>
        <v>909</v>
      </c>
      <c r="F119" s="7">
        <f t="shared" ref="F119:G119" si="716">ROUND(RAND(),2)</f>
        <v>0.76</v>
      </c>
      <c r="G119" s="7">
        <f t="shared" si="716"/>
        <v>0.66</v>
      </c>
      <c r="H119" s="7">
        <f t="shared" si="9"/>
        <v>2</v>
      </c>
      <c r="I119" s="7">
        <f t="shared" si="10"/>
        <v>5850</v>
      </c>
      <c r="J119" s="7">
        <f t="shared" si="11"/>
        <v>34514</v>
      </c>
      <c r="K119" s="7" t="str">
        <f t="shared" si="12"/>
        <v>E</v>
      </c>
      <c r="L119" s="7" t="str">
        <f t="shared" si="13"/>
        <v>High ambition</v>
      </c>
      <c r="M119" s="7" t="str">
        <f t="shared" si="14"/>
        <v>Low</v>
      </c>
      <c r="N119" s="7">
        <f t="shared" si="15"/>
        <v>3128521</v>
      </c>
      <c r="O119" s="7">
        <f t="shared" si="16"/>
        <v>935896.7375</v>
      </c>
      <c r="P119" s="7">
        <f t="shared" ref="P119:Q119" si="717">RANDBETWEEN(0,22)</f>
        <v>10</v>
      </c>
      <c r="Q119" s="7">
        <f t="shared" si="717"/>
        <v>10</v>
      </c>
      <c r="R119" s="7">
        <f t="shared" ref="R119:T119" si="718">IF(S119=1,1,RANDBETWEEN(0,1))</f>
        <v>1</v>
      </c>
      <c r="S119" s="7">
        <f t="shared" si="718"/>
        <v>1</v>
      </c>
      <c r="T119" s="7">
        <f t="shared" si="718"/>
        <v>1</v>
      </c>
      <c r="U119" s="7">
        <f t="shared" si="19"/>
        <v>1</v>
      </c>
      <c r="V119" s="7">
        <f t="shared" ref="V119:X119" si="719">IF(W119=1,1,RANDBETWEEN(0,1))</f>
        <v>1</v>
      </c>
      <c r="W119" s="7">
        <f t="shared" si="719"/>
        <v>1</v>
      </c>
      <c r="X119" s="7">
        <f t="shared" si="719"/>
        <v>1</v>
      </c>
      <c r="Y119" s="7">
        <f t="shared" si="21"/>
        <v>1</v>
      </c>
      <c r="Z119" s="7">
        <f t="shared" ref="Z119:AB119" si="720">IF(AA119=1,1,RANDBETWEEN(0,1))</f>
        <v>1</v>
      </c>
      <c r="AA119" s="7">
        <f t="shared" si="720"/>
        <v>1</v>
      </c>
      <c r="AB119" s="7">
        <f t="shared" si="720"/>
        <v>1</v>
      </c>
      <c r="AC119" s="7">
        <f t="shared" si="23"/>
        <v>0</v>
      </c>
      <c r="AD119" s="7">
        <f t="shared" ref="AD119:AF119" si="721">IF(AE119=1,1,RANDBETWEEN(0,1))</f>
        <v>1</v>
      </c>
      <c r="AE119" s="7">
        <f t="shared" si="721"/>
        <v>1</v>
      </c>
      <c r="AF119" s="7">
        <f t="shared" si="721"/>
        <v>1</v>
      </c>
      <c r="AG119" s="7">
        <f t="shared" si="25"/>
        <v>1</v>
      </c>
    </row>
    <row r="120">
      <c r="A120" s="4" t="s">
        <v>372</v>
      </c>
      <c r="B120" s="4" t="s">
        <v>373</v>
      </c>
      <c r="C120" s="4" t="s">
        <v>374</v>
      </c>
      <c r="D120" s="5">
        <v>499358.0</v>
      </c>
      <c r="E120" s="6">
        <f t="shared" si="7"/>
        <v>2107</v>
      </c>
      <c r="F120" s="7">
        <f t="shared" ref="F120:G120" si="722">ROUND(RAND(),2)</f>
        <v>0.9</v>
      </c>
      <c r="G120" s="7">
        <f t="shared" si="722"/>
        <v>0.64</v>
      </c>
      <c r="H120" s="7">
        <f t="shared" si="9"/>
        <v>5</v>
      </c>
      <c r="I120" s="7">
        <f t="shared" si="10"/>
        <v>9366</v>
      </c>
      <c r="J120" s="7">
        <f t="shared" si="11"/>
        <v>9045</v>
      </c>
      <c r="K120" s="7" t="str">
        <f t="shared" si="12"/>
        <v>C</v>
      </c>
      <c r="L120" s="7" t="str">
        <f t="shared" si="13"/>
        <v>Transformative change</v>
      </c>
      <c r="M120" s="7" t="str">
        <f t="shared" si="14"/>
        <v>Low</v>
      </c>
      <c r="N120" s="7">
        <f t="shared" si="15"/>
        <v>3730536</v>
      </c>
      <c r="O120" s="7">
        <f t="shared" si="16"/>
        <v>562654.1952</v>
      </c>
      <c r="P120" s="7">
        <f t="shared" ref="P120:Q120" si="723">RANDBETWEEN(0,22)</f>
        <v>12</v>
      </c>
      <c r="Q120" s="7">
        <f t="shared" si="723"/>
        <v>12</v>
      </c>
      <c r="R120" s="7">
        <f t="shared" ref="R120:T120" si="724">IF(S120=1,1,RANDBETWEEN(0,1))</f>
        <v>1</v>
      </c>
      <c r="S120" s="7">
        <f t="shared" si="724"/>
        <v>1</v>
      </c>
      <c r="T120" s="7">
        <f t="shared" si="724"/>
        <v>1</v>
      </c>
      <c r="U120" s="7">
        <f t="shared" si="19"/>
        <v>1</v>
      </c>
      <c r="V120" s="7">
        <f t="shared" ref="V120:X120" si="725">IF(W120=1,1,RANDBETWEEN(0,1))</f>
        <v>1</v>
      </c>
      <c r="W120" s="7">
        <f t="shared" si="725"/>
        <v>1</v>
      </c>
      <c r="X120" s="7">
        <f t="shared" si="725"/>
        <v>1</v>
      </c>
      <c r="Y120" s="7">
        <f t="shared" si="21"/>
        <v>1</v>
      </c>
      <c r="Z120" s="7">
        <f t="shared" ref="Z120:AB120" si="726">IF(AA120=1,1,RANDBETWEEN(0,1))</f>
        <v>1</v>
      </c>
      <c r="AA120" s="7">
        <f t="shared" si="726"/>
        <v>1</v>
      </c>
      <c r="AB120" s="7">
        <f t="shared" si="726"/>
        <v>1</v>
      </c>
      <c r="AC120" s="7">
        <f t="shared" si="23"/>
        <v>1</v>
      </c>
      <c r="AD120" s="7">
        <f t="shared" ref="AD120:AF120" si="727">IF(AE120=1,1,RANDBETWEEN(0,1))</f>
        <v>1</v>
      </c>
      <c r="AE120" s="7">
        <f t="shared" si="727"/>
        <v>1</v>
      </c>
      <c r="AF120" s="7">
        <f t="shared" si="727"/>
        <v>1</v>
      </c>
      <c r="AG120" s="7">
        <f t="shared" si="25"/>
        <v>1</v>
      </c>
    </row>
    <row r="121">
      <c r="A121" s="4" t="s">
        <v>375</v>
      </c>
      <c r="B121" s="4" t="s">
        <v>376</v>
      </c>
      <c r="C121" s="4" t="s">
        <v>377</v>
      </c>
      <c r="D121" s="5">
        <v>11065.0</v>
      </c>
      <c r="E121" s="6">
        <f t="shared" si="7"/>
        <v>912</v>
      </c>
      <c r="F121" s="7">
        <f t="shared" ref="F121:G121" si="728">ROUND(RAND(),2)</f>
        <v>0.79</v>
      </c>
      <c r="G121" s="7">
        <f t="shared" si="728"/>
        <v>0.74</v>
      </c>
      <c r="H121" s="7">
        <f t="shared" si="9"/>
        <v>2</v>
      </c>
      <c r="I121" s="7">
        <f t="shared" si="10"/>
        <v>38117</v>
      </c>
      <c r="J121" s="7">
        <f t="shared" si="11"/>
        <v>1754</v>
      </c>
      <c r="K121" s="7" t="str">
        <f t="shared" si="12"/>
        <v>G</v>
      </c>
      <c r="L121" s="7" t="str">
        <f t="shared" si="13"/>
        <v>Transformative change</v>
      </c>
      <c r="M121" s="7" t="str">
        <f t="shared" si="14"/>
        <v>Low</v>
      </c>
      <c r="N121" s="7">
        <f t="shared" si="15"/>
        <v>2777046</v>
      </c>
      <c r="O121" s="7">
        <f t="shared" si="16"/>
        <v>2033374.566</v>
      </c>
      <c r="P121" s="7">
        <f t="shared" ref="P121:Q121" si="729">RANDBETWEEN(0,22)</f>
        <v>15</v>
      </c>
      <c r="Q121" s="7">
        <f t="shared" si="729"/>
        <v>4</v>
      </c>
      <c r="R121" s="7">
        <f t="shared" ref="R121:T121" si="730">IF(S121=1,1,RANDBETWEEN(0,1))</f>
        <v>1</v>
      </c>
      <c r="S121" s="7">
        <f t="shared" si="730"/>
        <v>1</v>
      </c>
      <c r="T121" s="7">
        <f t="shared" si="730"/>
        <v>1</v>
      </c>
      <c r="U121" s="7">
        <f t="shared" si="19"/>
        <v>0</v>
      </c>
      <c r="V121" s="7">
        <f t="shared" ref="V121:X121" si="731">IF(W121=1,1,RANDBETWEEN(0,1))</f>
        <v>0</v>
      </c>
      <c r="W121" s="7">
        <f t="shared" si="731"/>
        <v>0</v>
      </c>
      <c r="X121" s="7">
        <f t="shared" si="731"/>
        <v>0</v>
      </c>
      <c r="Y121" s="7">
        <f t="shared" si="21"/>
        <v>0</v>
      </c>
      <c r="Z121" s="7">
        <f t="shared" ref="Z121:AB121" si="732">IF(AA121=1,1,RANDBETWEEN(0,1))</f>
        <v>1</v>
      </c>
      <c r="AA121" s="7">
        <f t="shared" si="732"/>
        <v>1</v>
      </c>
      <c r="AB121" s="7">
        <f t="shared" si="732"/>
        <v>1</v>
      </c>
      <c r="AC121" s="7">
        <f t="shared" si="23"/>
        <v>1</v>
      </c>
      <c r="AD121" s="7">
        <f t="shared" ref="AD121:AF121" si="733">IF(AE121=1,1,RANDBETWEEN(0,1))</f>
        <v>1</v>
      </c>
      <c r="AE121" s="7">
        <f t="shared" si="733"/>
        <v>1</v>
      </c>
      <c r="AF121" s="7">
        <f t="shared" si="733"/>
        <v>0</v>
      </c>
      <c r="AG121" s="7">
        <f t="shared" si="25"/>
        <v>0</v>
      </c>
    </row>
    <row r="122">
      <c r="A122" s="4" t="s">
        <v>378</v>
      </c>
      <c r="B122" s="4" t="s">
        <v>379</v>
      </c>
      <c r="C122" s="4" t="s">
        <v>380</v>
      </c>
      <c r="D122" s="5">
        <v>379611.0</v>
      </c>
      <c r="E122" s="6">
        <f t="shared" si="7"/>
        <v>1432.49</v>
      </c>
      <c r="F122" s="7">
        <f t="shared" ref="F122:G122" si="734">ROUND(RAND(),2)</f>
        <v>0.59</v>
      </c>
      <c r="G122" s="7">
        <f t="shared" si="734"/>
        <v>0.69</v>
      </c>
      <c r="H122" s="7">
        <f t="shared" si="9"/>
        <v>4</v>
      </c>
      <c r="I122" s="7">
        <f t="shared" si="10"/>
        <v>23871</v>
      </c>
      <c r="J122" s="7">
        <f t="shared" si="11"/>
        <v>4618</v>
      </c>
      <c r="K122" s="7" t="str">
        <f t="shared" si="12"/>
        <v>C</v>
      </c>
      <c r="L122" s="7" t="str">
        <f t="shared" si="13"/>
        <v>Transformative change</v>
      </c>
      <c r="M122" s="7" t="str">
        <f t="shared" si="14"/>
        <v>Low</v>
      </c>
      <c r="N122" s="7">
        <f t="shared" si="15"/>
        <v>2320146</v>
      </c>
      <c r="O122" s="7">
        <f t="shared" si="16"/>
        <v>2010768.148</v>
      </c>
      <c r="P122" s="7">
        <f t="shared" ref="P122:Q122" si="735">RANDBETWEEN(0,22)</f>
        <v>7</v>
      </c>
      <c r="Q122" s="7">
        <f t="shared" si="735"/>
        <v>0</v>
      </c>
      <c r="R122" s="7">
        <f t="shared" ref="R122:T122" si="736">IF(S122=1,1,RANDBETWEEN(0,1))</f>
        <v>1</v>
      </c>
      <c r="S122" s="7">
        <f t="shared" si="736"/>
        <v>1</v>
      </c>
      <c r="T122" s="7">
        <f t="shared" si="736"/>
        <v>1</v>
      </c>
      <c r="U122" s="7">
        <f t="shared" si="19"/>
        <v>0</v>
      </c>
      <c r="V122" s="7">
        <f t="shared" ref="V122:X122" si="737">IF(W122=1,1,RANDBETWEEN(0,1))</f>
        <v>1</v>
      </c>
      <c r="W122" s="7">
        <f t="shared" si="737"/>
        <v>1</v>
      </c>
      <c r="X122" s="7">
        <f t="shared" si="737"/>
        <v>0</v>
      </c>
      <c r="Y122" s="7">
        <f t="shared" si="21"/>
        <v>0</v>
      </c>
      <c r="Z122" s="7">
        <f t="shared" ref="Z122:AB122" si="738">IF(AA122=1,1,RANDBETWEEN(0,1))</f>
        <v>1</v>
      </c>
      <c r="AA122" s="7">
        <f t="shared" si="738"/>
        <v>1</v>
      </c>
      <c r="AB122" s="7">
        <f t="shared" si="738"/>
        <v>1</v>
      </c>
      <c r="AC122" s="7">
        <f t="shared" si="23"/>
        <v>1</v>
      </c>
      <c r="AD122" s="7">
        <f t="shared" ref="AD122:AF122" si="739">IF(AE122=1,1,RANDBETWEEN(0,1))</f>
        <v>1</v>
      </c>
      <c r="AE122" s="7">
        <f t="shared" si="739"/>
        <v>1</v>
      </c>
      <c r="AF122" s="7">
        <f t="shared" si="739"/>
        <v>0</v>
      </c>
      <c r="AG122" s="7">
        <f t="shared" si="25"/>
        <v>0</v>
      </c>
    </row>
    <row r="123">
      <c r="A123" s="4" t="s">
        <v>381</v>
      </c>
      <c r="B123" s="4" t="s">
        <v>382</v>
      </c>
      <c r="C123" s="4" t="s">
        <v>383</v>
      </c>
      <c r="D123" s="5">
        <v>256106.0</v>
      </c>
      <c r="E123" s="6">
        <f t="shared" si="7"/>
        <v>850.85</v>
      </c>
      <c r="F123" s="7">
        <f t="shared" ref="F123:G123" si="740">ROUND(RAND(),2)</f>
        <v>0.54</v>
      </c>
      <c r="G123" s="7">
        <f t="shared" si="740"/>
        <v>0.82</v>
      </c>
      <c r="H123" s="7">
        <f t="shared" si="9"/>
        <v>2</v>
      </c>
      <c r="I123" s="7">
        <f t="shared" si="10"/>
        <v>60851</v>
      </c>
      <c r="J123" s="7">
        <f t="shared" si="11"/>
        <v>12446</v>
      </c>
      <c r="K123" s="7" t="str">
        <f t="shared" si="12"/>
        <v>A</v>
      </c>
      <c r="L123" s="7" t="str">
        <f t="shared" si="13"/>
        <v>High ambition</v>
      </c>
      <c r="M123" s="7" t="str">
        <f t="shared" si="14"/>
        <v>Medium</v>
      </c>
      <c r="N123" s="7">
        <f t="shared" si="15"/>
        <v>3458920</v>
      </c>
      <c r="O123" s="7">
        <f t="shared" si="16"/>
        <v>2494083.158</v>
      </c>
      <c r="P123" s="7">
        <f t="shared" ref="P123:Q123" si="741">RANDBETWEEN(0,22)</f>
        <v>7</v>
      </c>
      <c r="Q123" s="7">
        <f t="shared" si="741"/>
        <v>18</v>
      </c>
      <c r="R123" s="7">
        <f t="shared" ref="R123:T123" si="742">IF(S123=1,1,RANDBETWEEN(0,1))</f>
        <v>1</v>
      </c>
      <c r="S123" s="7">
        <f t="shared" si="742"/>
        <v>0</v>
      </c>
      <c r="T123" s="7">
        <f t="shared" si="742"/>
        <v>0</v>
      </c>
      <c r="U123" s="7">
        <f t="shared" si="19"/>
        <v>0</v>
      </c>
      <c r="V123" s="7">
        <f t="shared" ref="V123:X123" si="743">IF(W123=1,1,RANDBETWEEN(0,1))</f>
        <v>1</v>
      </c>
      <c r="W123" s="7">
        <f t="shared" si="743"/>
        <v>1</v>
      </c>
      <c r="X123" s="7">
        <f t="shared" si="743"/>
        <v>1</v>
      </c>
      <c r="Y123" s="7">
        <f t="shared" si="21"/>
        <v>1</v>
      </c>
      <c r="Z123" s="7">
        <f t="shared" ref="Z123:AB123" si="744">IF(AA123=1,1,RANDBETWEEN(0,1))</f>
        <v>1</v>
      </c>
      <c r="AA123" s="7">
        <f t="shared" si="744"/>
        <v>1</v>
      </c>
      <c r="AB123" s="7">
        <f t="shared" si="744"/>
        <v>1</v>
      </c>
      <c r="AC123" s="7">
        <f t="shared" si="23"/>
        <v>0</v>
      </c>
      <c r="AD123" s="7">
        <f t="shared" ref="AD123:AF123" si="745">IF(AE123=1,1,RANDBETWEEN(0,1))</f>
        <v>1</v>
      </c>
      <c r="AE123" s="7">
        <f t="shared" si="745"/>
        <v>1</v>
      </c>
      <c r="AF123" s="7">
        <f t="shared" si="745"/>
        <v>1</v>
      </c>
      <c r="AG123" s="7">
        <f t="shared" si="25"/>
        <v>0</v>
      </c>
    </row>
    <row r="124">
      <c r="A124" s="4" t="s">
        <v>57</v>
      </c>
      <c r="B124" s="4" t="s">
        <v>384</v>
      </c>
      <c r="C124" s="4" t="s">
        <v>385</v>
      </c>
      <c r="D124" s="5">
        <v>886346.0</v>
      </c>
      <c r="E124" s="6">
        <f t="shared" si="7"/>
        <v>6376.59</v>
      </c>
      <c r="F124" s="7">
        <f t="shared" ref="F124:G124" si="746">ROUND(RAND(),2)</f>
        <v>0.88</v>
      </c>
      <c r="G124" s="7">
        <f t="shared" si="746"/>
        <v>0.72</v>
      </c>
      <c r="H124" s="7">
        <f t="shared" si="9"/>
        <v>1</v>
      </c>
      <c r="I124" s="7">
        <f t="shared" si="10"/>
        <v>13920</v>
      </c>
      <c r="J124" s="7">
        <f t="shared" si="11"/>
        <v>50619</v>
      </c>
      <c r="K124" s="7" t="str">
        <f t="shared" si="12"/>
        <v>A</v>
      </c>
      <c r="L124" s="7" t="str">
        <f t="shared" si="13"/>
        <v>Transformative change</v>
      </c>
      <c r="M124" s="7" t="str">
        <f t="shared" si="14"/>
        <v>Medium</v>
      </c>
      <c r="N124" s="7">
        <f t="shared" si="15"/>
        <v>3020361</v>
      </c>
      <c r="O124" s="7">
        <f t="shared" si="16"/>
        <v>1563137.214</v>
      </c>
      <c r="P124" s="7">
        <f t="shared" ref="P124:Q124" si="747">RANDBETWEEN(0,22)</f>
        <v>9</v>
      </c>
      <c r="Q124" s="7">
        <f t="shared" si="747"/>
        <v>7</v>
      </c>
      <c r="R124" s="7">
        <f t="shared" ref="R124:T124" si="748">IF(S124=1,1,RANDBETWEEN(0,1))</f>
        <v>1</v>
      </c>
      <c r="S124" s="7">
        <f t="shared" si="748"/>
        <v>1</v>
      </c>
      <c r="T124" s="7">
        <f t="shared" si="748"/>
        <v>1</v>
      </c>
      <c r="U124" s="7">
        <f t="shared" si="19"/>
        <v>1</v>
      </c>
      <c r="V124" s="7">
        <f t="shared" ref="V124:X124" si="749">IF(W124=1,1,RANDBETWEEN(0,1))</f>
        <v>1</v>
      </c>
      <c r="W124" s="7">
        <f t="shared" si="749"/>
        <v>1</v>
      </c>
      <c r="X124" s="7">
        <f t="shared" si="749"/>
        <v>1</v>
      </c>
      <c r="Y124" s="7">
        <f t="shared" si="21"/>
        <v>0</v>
      </c>
      <c r="Z124" s="7">
        <f t="shared" ref="Z124:AB124" si="750">IF(AA124=1,1,RANDBETWEEN(0,1))</f>
        <v>1</v>
      </c>
      <c r="AA124" s="7">
        <f t="shared" si="750"/>
        <v>1</v>
      </c>
      <c r="AB124" s="7">
        <f t="shared" si="750"/>
        <v>1</v>
      </c>
      <c r="AC124" s="7">
        <f t="shared" si="23"/>
        <v>1</v>
      </c>
      <c r="AD124" s="7">
        <f t="shared" ref="AD124:AF124" si="751">IF(AE124=1,1,RANDBETWEEN(0,1))</f>
        <v>1</v>
      </c>
      <c r="AE124" s="7">
        <f t="shared" si="751"/>
        <v>1</v>
      </c>
      <c r="AF124" s="7">
        <f t="shared" si="751"/>
        <v>1</v>
      </c>
      <c r="AG124" s="7">
        <f t="shared" si="25"/>
        <v>1</v>
      </c>
    </row>
    <row r="125">
      <c r="A125" s="4" t="s">
        <v>386</v>
      </c>
      <c r="B125" s="4" t="s">
        <v>387</v>
      </c>
      <c r="C125" s="4" t="s">
        <v>95</v>
      </c>
      <c r="D125" s="5">
        <v>89067.0</v>
      </c>
      <c r="E125" s="6">
        <f t="shared" si="7"/>
        <v>1032</v>
      </c>
      <c r="F125" s="7">
        <f t="shared" ref="F125:G125" si="752">ROUND(RAND(),2)</f>
        <v>0.85</v>
      </c>
      <c r="G125" s="7">
        <f t="shared" si="752"/>
        <v>0.25</v>
      </c>
      <c r="H125" s="7">
        <f t="shared" si="9"/>
        <v>4</v>
      </c>
      <c r="I125" s="7">
        <f t="shared" si="10"/>
        <v>91391</v>
      </c>
      <c r="J125" s="7">
        <f t="shared" si="11"/>
        <v>14636</v>
      </c>
      <c r="K125" s="7" t="str">
        <f t="shared" si="12"/>
        <v>B</v>
      </c>
      <c r="L125" s="7" t="str">
        <f t="shared" si="13"/>
        <v>High ambition</v>
      </c>
      <c r="M125" s="7" t="str">
        <f t="shared" si="14"/>
        <v>Medium</v>
      </c>
      <c r="N125" s="7">
        <f t="shared" si="15"/>
        <v>3564859</v>
      </c>
      <c r="O125" s="7">
        <f t="shared" si="16"/>
        <v>1371638.427</v>
      </c>
      <c r="P125" s="7">
        <f t="shared" ref="P125:Q125" si="753">RANDBETWEEN(0,22)</f>
        <v>5</v>
      </c>
      <c r="Q125" s="7">
        <f t="shared" si="753"/>
        <v>8</v>
      </c>
      <c r="R125" s="7">
        <f t="shared" ref="R125:T125" si="754">IF(S125=1,1,RANDBETWEEN(0,1))</f>
        <v>1</v>
      </c>
      <c r="S125" s="7">
        <f t="shared" si="754"/>
        <v>1</v>
      </c>
      <c r="T125" s="7">
        <f t="shared" si="754"/>
        <v>1</v>
      </c>
      <c r="U125" s="7">
        <f t="shared" si="19"/>
        <v>0</v>
      </c>
      <c r="V125" s="7">
        <f t="shared" ref="V125:X125" si="755">IF(W125=1,1,RANDBETWEEN(0,1))</f>
        <v>1</v>
      </c>
      <c r="W125" s="7">
        <f t="shared" si="755"/>
        <v>0</v>
      </c>
      <c r="X125" s="7">
        <f t="shared" si="755"/>
        <v>0</v>
      </c>
      <c r="Y125" s="7">
        <f t="shared" si="21"/>
        <v>0</v>
      </c>
      <c r="Z125" s="7">
        <f t="shared" ref="Z125:AB125" si="756">IF(AA125=1,1,RANDBETWEEN(0,1))</f>
        <v>1</v>
      </c>
      <c r="AA125" s="7">
        <f t="shared" si="756"/>
        <v>1</v>
      </c>
      <c r="AB125" s="7">
        <f t="shared" si="756"/>
        <v>1</v>
      </c>
      <c r="AC125" s="7">
        <f t="shared" si="23"/>
        <v>1</v>
      </c>
      <c r="AD125" s="7">
        <f t="shared" ref="AD125:AF125" si="757">IF(AE125=1,1,RANDBETWEEN(0,1))</f>
        <v>1</v>
      </c>
      <c r="AE125" s="7">
        <f t="shared" si="757"/>
        <v>1</v>
      </c>
      <c r="AF125" s="7">
        <f t="shared" si="757"/>
        <v>1</v>
      </c>
      <c r="AG125" s="7">
        <f t="shared" si="25"/>
        <v>1</v>
      </c>
    </row>
    <row r="126">
      <c r="A126" s="4" t="s">
        <v>388</v>
      </c>
      <c r="B126" s="4" t="s">
        <v>389</v>
      </c>
      <c r="C126" s="4" t="s">
        <v>95</v>
      </c>
      <c r="D126" s="5">
        <v>8203.0</v>
      </c>
      <c r="E126" s="6">
        <f t="shared" si="7"/>
        <v>893</v>
      </c>
      <c r="F126" s="7">
        <f t="shared" ref="F126:G126" si="758">ROUND(RAND(),2)</f>
        <v>0.82</v>
      </c>
      <c r="G126" s="7">
        <f t="shared" si="758"/>
        <v>0.65</v>
      </c>
      <c r="H126" s="7">
        <f t="shared" si="9"/>
        <v>2</v>
      </c>
      <c r="I126" s="7">
        <f t="shared" si="10"/>
        <v>44874</v>
      </c>
      <c r="J126" s="7">
        <f t="shared" si="11"/>
        <v>7603</v>
      </c>
      <c r="K126" s="7" t="str">
        <f t="shared" si="12"/>
        <v>F</v>
      </c>
      <c r="L126" s="7" t="str">
        <f t="shared" si="13"/>
        <v>Transformative change</v>
      </c>
      <c r="M126" s="7" t="str">
        <f t="shared" si="14"/>
        <v>Medium</v>
      </c>
      <c r="N126" s="7">
        <f t="shared" si="15"/>
        <v>2298756</v>
      </c>
      <c r="O126" s="7">
        <f t="shared" si="16"/>
        <v>1793216.965</v>
      </c>
      <c r="P126" s="7">
        <f t="shared" ref="P126:Q126" si="759">RANDBETWEEN(0,22)</f>
        <v>12</v>
      </c>
      <c r="Q126" s="7">
        <f t="shared" si="759"/>
        <v>0</v>
      </c>
      <c r="R126" s="7">
        <f t="shared" ref="R126:T126" si="760">IF(S126=1,1,RANDBETWEEN(0,1))</f>
        <v>1</v>
      </c>
      <c r="S126" s="7">
        <f t="shared" si="760"/>
        <v>1</v>
      </c>
      <c r="T126" s="7">
        <f t="shared" si="760"/>
        <v>1</v>
      </c>
      <c r="U126" s="7">
        <f t="shared" si="19"/>
        <v>1</v>
      </c>
      <c r="V126" s="7">
        <f t="shared" ref="V126:X126" si="761">IF(W126=1,1,RANDBETWEEN(0,1))</f>
        <v>1</v>
      </c>
      <c r="W126" s="7">
        <f t="shared" si="761"/>
        <v>0</v>
      </c>
      <c r="X126" s="7">
        <f t="shared" si="761"/>
        <v>0</v>
      </c>
      <c r="Y126" s="7">
        <f t="shared" si="21"/>
        <v>0</v>
      </c>
      <c r="Z126" s="7">
        <f t="shared" ref="Z126:AB126" si="762">IF(AA126=1,1,RANDBETWEEN(0,1))</f>
        <v>1</v>
      </c>
      <c r="AA126" s="7">
        <f t="shared" si="762"/>
        <v>1</v>
      </c>
      <c r="AB126" s="7">
        <f t="shared" si="762"/>
        <v>1</v>
      </c>
      <c r="AC126" s="7">
        <f t="shared" si="23"/>
        <v>1</v>
      </c>
      <c r="AD126" s="7">
        <f t="shared" ref="AD126:AF126" si="763">IF(AE126=1,1,RANDBETWEEN(0,1))</f>
        <v>1</v>
      </c>
      <c r="AE126" s="7">
        <f t="shared" si="763"/>
        <v>1</v>
      </c>
      <c r="AF126" s="7">
        <f t="shared" si="763"/>
        <v>0</v>
      </c>
      <c r="AG126" s="7">
        <f t="shared" si="25"/>
        <v>0</v>
      </c>
    </row>
    <row r="127">
      <c r="A127" s="4" t="s">
        <v>390</v>
      </c>
      <c r="B127" s="4" t="s">
        <v>391</v>
      </c>
      <c r="C127" s="4" t="s">
        <v>392</v>
      </c>
      <c r="D127" s="5">
        <v>13897.0</v>
      </c>
      <c r="E127" s="6">
        <f t="shared" si="7"/>
        <v>1009</v>
      </c>
      <c r="F127" s="7">
        <f t="shared" ref="F127:G127" si="764">ROUND(RAND(),2)</f>
        <v>0.8</v>
      </c>
      <c r="G127" s="7">
        <f t="shared" si="764"/>
        <v>0.15</v>
      </c>
      <c r="H127" s="7">
        <f t="shared" si="9"/>
        <v>5</v>
      </c>
      <c r="I127" s="7">
        <f t="shared" si="10"/>
        <v>69743</v>
      </c>
      <c r="J127" s="7">
        <f t="shared" si="11"/>
        <v>64610</v>
      </c>
      <c r="K127" s="7" t="str">
        <f t="shared" si="12"/>
        <v>C</v>
      </c>
      <c r="L127" s="7" t="str">
        <f t="shared" si="13"/>
        <v>Transformative change</v>
      </c>
      <c r="M127" s="7" t="str">
        <f t="shared" si="14"/>
        <v>High</v>
      </c>
      <c r="N127" s="7">
        <f t="shared" si="15"/>
        <v>509007</v>
      </c>
      <c r="O127" s="7">
        <f t="shared" si="16"/>
        <v>15680.74453</v>
      </c>
      <c r="P127" s="7">
        <f t="shared" ref="P127:Q127" si="765">RANDBETWEEN(0,22)</f>
        <v>12</v>
      </c>
      <c r="Q127" s="7">
        <f t="shared" si="765"/>
        <v>15</v>
      </c>
      <c r="R127" s="7">
        <f t="shared" ref="R127:T127" si="766">IF(S127=1,1,RANDBETWEEN(0,1))</f>
        <v>1</v>
      </c>
      <c r="S127" s="7">
        <f t="shared" si="766"/>
        <v>1</v>
      </c>
      <c r="T127" s="7">
        <f t="shared" si="766"/>
        <v>1</v>
      </c>
      <c r="U127" s="7">
        <f t="shared" si="19"/>
        <v>0</v>
      </c>
      <c r="V127" s="7">
        <f t="shared" ref="V127:X127" si="767">IF(W127=1,1,RANDBETWEEN(0,1))</f>
        <v>1</v>
      </c>
      <c r="W127" s="7">
        <f t="shared" si="767"/>
        <v>1</v>
      </c>
      <c r="X127" s="7">
        <f t="shared" si="767"/>
        <v>0</v>
      </c>
      <c r="Y127" s="7">
        <f t="shared" si="21"/>
        <v>0</v>
      </c>
      <c r="Z127" s="7">
        <f t="shared" ref="Z127:AB127" si="768">IF(AA127=1,1,RANDBETWEEN(0,1))</f>
        <v>1</v>
      </c>
      <c r="AA127" s="7">
        <f t="shared" si="768"/>
        <v>1</v>
      </c>
      <c r="AB127" s="7">
        <f t="shared" si="768"/>
        <v>1</v>
      </c>
      <c r="AC127" s="7">
        <f t="shared" si="23"/>
        <v>1</v>
      </c>
      <c r="AD127" s="7">
        <f t="shared" ref="AD127:AF127" si="769">IF(AE127=1,1,RANDBETWEEN(0,1))</f>
        <v>1</v>
      </c>
      <c r="AE127" s="7">
        <f t="shared" si="769"/>
        <v>1</v>
      </c>
      <c r="AF127" s="7">
        <f t="shared" si="769"/>
        <v>1</v>
      </c>
      <c r="AG127" s="7">
        <f t="shared" si="25"/>
        <v>1</v>
      </c>
    </row>
    <row r="128">
      <c r="A128" s="4" t="s">
        <v>393</v>
      </c>
      <c r="B128" s="4" t="s">
        <v>394</v>
      </c>
      <c r="C128" s="4" t="s">
        <v>395</v>
      </c>
      <c r="D128" s="5">
        <v>6842.0</v>
      </c>
      <c r="E128" s="6">
        <f t="shared" si="7"/>
        <v>1076</v>
      </c>
      <c r="F128" s="7">
        <f t="shared" ref="F128:G128" si="770">ROUND(RAND(),2)</f>
        <v>0.79</v>
      </c>
      <c r="G128" s="7">
        <f t="shared" si="770"/>
        <v>0.25</v>
      </c>
      <c r="H128" s="7">
        <f t="shared" si="9"/>
        <v>3</v>
      </c>
      <c r="I128" s="7">
        <f t="shared" si="10"/>
        <v>79724</v>
      </c>
      <c r="J128" s="7">
        <f t="shared" si="11"/>
        <v>62178</v>
      </c>
      <c r="K128" s="7" t="str">
        <f t="shared" si="12"/>
        <v>C</v>
      </c>
      <c r="L128" s="7" t="str">
        <f t="shared" si="13"/>
        <v>Transformative change</v>
      </c>
      <c r="M128" s="7" t="str">
        <f t="shared" si="14"/>
        <v>Low</v>
      </c>
      <c r="N128" s="7">
        <f t="shared" si="15"/>
        <v>1878770</v>
      </c>
      <c r="O128" s="7">
        <f t="shared" si="16"/>
        <v>783351.9437</v>
      </c>
      <c r="P128" s="7">
        <f t="shared" ref="P128:Q128" si="771">RANDBETWEEN(0,22)</f>
        <v>19</v>
      </c>
      <c r="Q128" s="7">
        <f t="shared" si="771"/>
        <v>17</v>
      </c>
      <c r="R128" s="7">
        <f t="shared" ref="R128:T128" si="772">IF(S128=1,1,RANDBETWEEN(0,1))</f>
        <v>1</v>
      </c>
      <c r="S128" s="7">
        <f t="shared" si="772"/>
        <v>1</v>
      </c>
      <c r="T128" s="7">
        <f t="shared" si="772"/>
        <v>1</v>
      </c>
      <c r="U128" s="7">
        <f t="shared" si="19"/>
        <v>1</v>
      </c>
      <c r="V128" s="7">
        <f t="shared" ref="V128:X128" si="773">IF(W128=1,1,RANDBETWEEN(0,1))</f>
        <v>1</v>
      </c>
      <c r="W128" s="7">
        <f t="shared" si="773"/>
        <v>0</v>
      </c>
      <c r="X128" s="7">
        <f t="shared" si="773"/>
        <v>0</v>
      </c>
      <c r="Y128" s="7">
        <f t="shared" si="21"/>
        <v>0</v>
      </c>
      <c r="Z128" s="7">
        <f t="shared" ref="Z128:AB128" si="774">IF(AA128=1,1,RANDBETWEEN(0,1))</f>
        <v>1</v>
      </c>
      <c r="AA128" s="7">
        <f t="shared" si="774"/>
        <v>1</v>
      </c>
      <c r="AB128" s="7">
        <f t="shared" si="774"/>
        <v>1</v>
      </c>
      <c r="AC128" s="7">
        <f t="shared" si="23"/>
        <v>1</v>
      </c>
      <c r="AD128" s="7">
        <f t="shared" ref="AD128:AF128" si="775">IF(AE128=1,1,RANDBETWEEN(0,1))</f>
        <v>1</v>
      </c>
      <c r="AE128" s="7">
        <f t="shared" si="775"/>
        <v>0</v>
      </c>
      <c r="AF128" s="7">
        <f t="shared" si="775"/>
        <v>0</v>
      </c>
      <c r="AG128" s="7">
        <f t="shared" si="25"/>
        <v>0</v>
      </c>
    </row>
    <row r="129">
      <c r="A129" s="4" t="s">
        <v>396</v>
      </c>
      <c r="B129" s="4" t="s">
        <v>397</v>
      </c>
      <c r="C129" s="4" t="s">
        <v>95</v>
      </c>
      <c r="D129" s="5">
        <v>19601.0</v>
      </c>
      <c r="E129" s="6">
        <f t="shared" si="7"/>
        <v>941</v>
      </c>
      <c r="F129" s="7">
        <f t="shared" ref="F129:G129" si="776">ROUND(RAND(),2)</f>
        <v>0.53</v>
      </c>
      <c r="G129" s="7">
        <f t="shared" si="776"/>
        <v>0.49</v>
      </c>
      <c r="H129" s="7">
        <f t="shared" si="9"/>
        <v>5</v>
      </c>
      <c r="I129" s="7">
        <f t="shared" si="10"/>
        <v>27023</v>
      </c>
      <c r="J129" s="7">
        <f t="shared" si="11"/>
        <v>38009</v>
      </c>
      <c r="K129" s="7" t="str">
        <f t="shared" si="12"/>
        <v>A</v>
      </c>
      <c r="L129" s="7" t="str">
        <f t="shared" si="13"/>
        <v>Transformative change</v>
      </c>
      <c r="M129" s="7" t="str">
        <f t="shared" si="14"/>
        <v>High</v>
      </c>
      <c r="N129" s="7">
        <f t="shared" si="15"/>
        <v>296312</v>
      </c>
      <c r="O129" s="7">
        <f t="shared" si="16"/>
        <v>137141.4599</v>
      </c>
      <c r="P129" s="7">
        <f t="shared" ref="P129:Q129" si="777">RANDBETWEEN(0,22)</f>
        <v>10</v>
      </c>
      <c r="Q129" s="7">
        <f t="shared" si="777"/>
        <v>6</v>
      </c>
      <c r="R129" s="7">
        <f t="shared" ref="R129:T129" si="778">IF(S129=1,1,RANDBETWEEN(0,1))</f>
        <v>1</v>
      </c>
      <c r="S129" s="7">
        <f t="shared" si="778"/>
        <v>1</v>
      </c>
      <c r="T129" s="7">
        <f t="shared" si="778"/>
        <v>1</v>
      </c>
      <c r="U129" s="7">
        <f t="shared" si="19"/>
        <v>0</v>
      </c>
      <c r="V129" s="7">
        <f t="shared" ref="V129:X129" si="779">IF(W129=1,1,RANDBETWEEN(0,1))</f>
        <v>1</v>
      </c>
      <c r="W129" s="7">
        <f t="shared" si="779"/>
        <v>1</v>
      </c>
      <c r="X129" s="7">
        <f t="shared" si="779"/>
        <v>1</v>
      </c>
      <c r="Y129" s="7">
        <f t="shared" si="21"/>
        <v>1</v>
      </c>
      <c r="Z129" s="7">
        <f t="shared" ref="Z129:AB129" si="780">IF(AA129=1,1,RANDBETWEEN(0,1))</f>
        <v>1</v>
      </c>
      <c r="AA129" s="7">
        <f t="shared" si="780"/>
        <v>1</v>
      </c>
      <c r="AB129" s="7">
        <f t="shared" si="780"/>
        <v>1</v>
      </c>
      <c r="AC129" s="7">
        <f t="shared" si="23"/>
        <v>1</v>
      </c>
      <c r="AD129" s="7">
        <f t="shared" ref="AD129:AF129" si="781">IF(AE129=1,1,RANDBETWEEN(0,1))</f>
        <v>1</v>
      </c>
      <c r="AE129" s="7">
        <f t="shared" si="781"/>
        <v>0</v>
      </c>
      <c r="AF129" s="7">
        <f t="shared" si="781"/>
        <v>0</v>
      </c>
      <c r="AG129" s="7">
        <f t="shared" si="25"/>
        <v>0</v>
      </c>
    </row>
    <row r="130">
      <c r="A130" s="4" t="s">
        <v>398</v>
      </c>
      <c r="B130" s="4" t="s">
        <v>399</v>
      </c>
      <c r="C130" s="4" t="s">
        <v>400</v>
      </c>
      <c r="D130" s="5">
        <v>19167.0</v>
      </c>
      <c r="E130" s="6">
        <f t="shared" si="7"/>
        <v>1050</v>
      </c>
      <c r="F130" s="7">
        <f t="shared" ref="F130:G130" si="782">ROUND(RAND(),2)</f>
        <v>0.84</v>
      </c>
      <c r="G130" s="7">
        <f t="shared" si="782"/>
        <v>0.43</v>
      </c>
      <c r="H130" s="7">
        <f t="shared" si="9"/>
        <v>1</v>
      </c>
      <c r="I130" s="7">
        <f t="shared" si="10"/>
        <v>52524</v>
      </c>
      <c r="J130" s="7">
        <f t="shared" si="11"/>
        <v>18957</v>
      </c>
      <c r="K130" s="7" t="str">
        <f t="shared" si="12"/>
        <v>A</v>
      </c>
      <c r="L130" s="7" t="str">
        <f t="shared" si="13"/>
        <v>Transformative change</v>
      </c>
      <c r="M130" s="7" t="str">
        <f t="shared" si="14"/>
        <v>Medium</v>
      </c>
      <c r="N130" s="7">
        <f t="shared" si="15"/>
        <v>2025447</v>
      </c>
      <c r="O130" s="7">
        <f t="shared" si="16"/>
        <v>1898807.68</v>
      </c>
      <c r="P130" s="7">
        <f t="shared" ref="P130:Q130" si="783">RANDBETWEEN(0,22)</f>
        <v>5</v>
      </c>
      <c r="Q130" s="7">
        <f t="shared" si="783"/>
        <v>17</v>
      </c>
      <c r="R130" s="7">
        <f t="shared" ref="R130:T130" si="784">IF(S130=1,1,RANDBETWEEN(0,1))</f>
        <v>1</v>
      </c>
      <c r="S130" s="7">
        <f t="shared" si="784"/>
        <v>1</v>
      </c>
      <c r="T130" s="7">
        <f t="shared" si="784"/>
        <v>0</v>
      </c>
      <c r="U130" s="7">
        <f t="shared" si="19"/>
        <v>0</v>
      </c>
      <c r="V130" s="7">
        <f t="shared" ref="V130:X130" si="785">IF(W130=1,1,RANDBETWEEN(0,1))</f>
        <v>1</v>
      </c>
      <c r="W130" s="7">
        <f t="shared" si="785"/>
        <v>1</v>
      </c>
      <c r="X130" s="7">
        <f t="shared" si="785"/>
        <v>1</v>
      </c>
      <c r="Y130" s="7">
        <f t="shared" si="21"/>
        <v>1</v>
      </c>
      <c r="Z130" s="7">
        <f t="shared" ref="Z130:AB130" si="786">IF(AA130=1,1,RANDBETWEEN(0,1))</f>
        <v>0</v>
      </c>
      <c r="AA130" s="7">
        <f t="shared" si="786"/>
        <v>0</v>
      </c>
      <c r="AB130" s="7">
        <f t="shared" si="786"/>
        <v>0</v>
      </c>
      <c r="AC130" s="7">
        <f t="shared" si="23"/>
        <v>0</v>
      </c>
      <c r="AD130" s="7">
        <f t="shared" ref="AD130:AF130" si="787">IF(AE130=1,1,RANDBETWEEN(0,1))</f>
        <v>0</v>
      </c>
      <c r="AE130" s="7">
        <f t="shared" si="787"/>
        <v>0</v>
      </c>
      <c r="AF130" s="7">
        <f t="shared" si="787"/>
        <v>0</v>
      </c>
      <c r="AG130" s="7">
        <f t="shared" si="25"/>
        <v>0</v>
      </c>
    </row>
    <row r="131">
      <c r="A131" s="4" t="s">
        <v>401</v>
      </c>
      <c r="B131" s="4" t="s">
        <v>402</v>
      </c>
      <c r="C131" s="4" t="s">
        <v>403</v>
      </c>
      <c r="D131" s="5">
        <v>51943.0</v>
      </c>
      <c r="E131" s="6">
        <f t="shared" si="7"/>
        <v>1040</v>
      </c>
      <c r="F131" s="7">
        <f t="shared" ref="F131:G131" si="788">ROUND(RAND(),2)</f>
        <v>0.78</v>
      </c>
      <c r="G131" s="7">
        <f t="shared" si="788"/>
        <v>0.75</v>
      </c>
      <c r="H131" s="7">
        <f t="shared" si="9"/>
        <v>4</v>
      </c>
      <c r="I131" s="7">
        <f t="shared" si="10"/>
        <v>41889</v>
      </c>
      <c r="J131" s="7">
        <f t="shared" si="11"/>
        <v>4267</v>
      </c>
      <c r="K131" s="7" t="str">
        <f t="shared" si="12"/>
        <v>G</v>
      </c>
      <c r="L131" s="7" t="str">
        <f t="shared" si="13"/>
        <v>Transformative change</v>
      </c>
      <c r="M131" s="7" t="str">
        <f t="shared" si="14"/>
        <v>Low</v>
      </c>
      <c r="N131" s="7">
        <f t="shared" si="15"/>
        <v>3525205</v>
      </c>
      <c r="O131" s="7">
        <f t="shared" si="16"/>
        <v>1091955.925</v>
      </c>
      <c r="P131" s="7">
        <f t="shared" ref="P131:Q131" si="789">RANDBETWEEN(0,22)</f>
        <v>0</v>
      </c>
      <c r="Q131" s="7">
        <f t="shared" si="789"/>
        <v>10</v>
      </c>
      <c r="R131" s="7">
        <f t="shared" ref="R131:T131" si="790">IF(S131=1,1,RANDBETWEEN(0,1))</f>
        <v>1</v>
      </c>
      <c r="S131" s="7">
        <f t="shared" si="790"/>
        <v>1</v>
      </c>
      <c r="T131" s="7">
        <f t="shared" si="790"/>
        <v>1</v>
      </c>
      <c r="U131" s="7">
        <f t="shared" si="19"/>
        <v>1</v>
      </c>
      <c r="V131" s="7">
        <f t="shared" ref="V131:X131" si="791">IF(W131=1,1,RANDBETWEEN(0,1))</f>
        <v>1</v>
      </c>
      <c r="W131" s="7">
        <f t="shared" si="791"/>
        <v>1</v>
      </c>
      <c r="X131" s="7">
        <f t="shared" si="791"/>
        <v>0</v>
      </c>
      <c r="Y131" s="7">
        <f t="shared" si="21"/>
        <v>0</v>
      </c>
      <c r="Z131" s="7">
        <f t="shared" ref="Z131:AB131" si="792">IF(AA131=1,1,RANDBETWEEN(0,1))</f>
        <v>1</v>
      </c>
      <c r="AA131" s="7">
        <f t="shared" si="792"/>
        <v>1</v>
      </c>
      <c r="AB131" s="7">
        <f t="shared" si="792"/>
        <v>1</v>
      </c>
      <c r="AC131" s="7">
        <f t="shared" si="23"/>
        <v>0</v>
      </c>
      <c r="AD131" s="7">
        <f t="shared" ref="AD131:AF131" si="793">IF(AE131=1,1,RANDBETWEEN(0,1))</f>
        <v>1</v>
      </c>
      <c r="AE131" s="7">
        <f t="shared" si="793"/>
        <v>1</v>
      </c>
      <c r="AF131" s="7">
        <f t="shared" si="793"/>
        <v>1</v>
      </c>
      <c r="AG131" s="7">
        <f t="shared" si="25"/>
        <v>1</v>
      </c>
    </row>
    <row r="132">
      <c r="A132" s="4" t="s">
        <v>404</v>
      </c>
      <c r="B132" s="4" t="s">
        <v>405</v>
      </c>
      <c r="C132" s="4" t="s">
        <v>406</v>
      </c>
      <c r="D132" s="5">
        <v>31956.0</v>
      </c>
      <c r="E132" s="6">
        <f t="shared" si="7"/>
        <v>857</v>
      </c>
      <c r="F132" s="7">
        <f t="shared" ref="F132:G132" si="794">ROUND(RAND(),2)</f>
        <v>0.86</v>
      </c>
      <c r="G132" s="7">
        <f t="shared" si="794"/>
        <v>0.51</v>
      </c>
      <c r="H132" s="7">
        <f t="shared" si="9"/>
        <v>4</v>
      </c>
      <c r="I132" s="7">
        <f t="shared" si="10"/>
        <v>45165</v>
      </c>
      <c r="J132" s="7">
        <f t="shared" si="11"/>
        <v>42582</v>
      </c>
      <c r="K132" s="7" t="str">
        <f t="shared" si="12"/>
        <v>G</v>
      </c>
      <c r="L132" s="7" t="str">
        <f t="shared" si="13"/>
        <v>Transformative change</v>
      </c>
      <c r="M132" s="7" t="str">
        <f t="shared" si="14"/>
        <v>High</v>
      </c>
      <c r="N132" s="7">
        <f t="shared" si="15"/>
        <v>2462935</v>
      </c>
      <c r="O132" s="7">
        <f t="shared" si="16"/>
        <v>771104.5245</v>
      </c>
      <c r="P132" s="7">
        <f t="shared" ref="P132:Q132" si="795">RANDBETWEEN(0,22)</f>
        <v>3</v>
      </c>
      <c r="Q132" s="7">
        <f t="shared" si="795"/>
        <v>18</v>
      </c>
      <c r="R132" s="7">
        <f t="shared" ref="R132:T132" si="796">IF(S132=1,1,RANDBETWEEN(0,1))</f>
        <v>1</v>
      </c>
      <c r="S132" s="7">
        <f t="shared" si="796"/>
        <v>1</v>
      </c>
      <c r="T132" s="7">
        <f t="shared" si="796"/>
        <v>1</v>
      </c>
      <c r="U132" s="7">
        <f t="shared" si="19"/>
        <v>1</v>
      </c>
      <c r="V132" s="7">
        <f t="shared" ref="V132:X132" si="797">IF(W132=1,1,RANDBETWEEN(0,1))</f>
        <v>0</v>
      </c>
      <c r="W132" s="7">
        <f t="shared" si="797"/>
        <v>0</v>
      </c>
      <c r="X132" s="7">
        <f t="shared" si="797"/>
        <v>0</v>
      </c>
      <c r="Y132" s="7">
        <f t="shared" si="21"/>
        <v>0</v>
      </c>
      <c r="Z132" s="7">
        <f t="shared" ref="Z132:AB132" si="798">IF(AA132=1,1,RANDBETWEEN(0,1))</f>
        <v>1</v>
      </c>
      <c r="AA132" s="7">
        <f t="shared" si="798"/>
        <v>0</v>
      </c>
      <c r="AB132" s="7">
        <f t="shared" si="798"/>
        <v>0</v>
      </c>
      <c r="AC132" s="7">
        <f t="shared" si="23"/>
        <v>0</v>
      </c>
      <c r="AD132" s="7">
        <f t="shared" ref="AD132:AF132" si="799">IF(AE132=1,1,RANDBETWEEN(0,1))</f>
        <v>1</v>
      </c>
      <c r="AE132" s="7">
        <f t="shared" si="799"/>
        <v>1</v>
      </c>
      <c r="AF132" s="7">
        <f t="shared" si="799"/>
        <v>1</v>
      </c>
      <c r="AG132" s="7">
        <f t="shared" si="25"/>
        <v>0</v>
      </c>
    </row>
    <row r="133">
      <c r="A133" s="4" t="s">
        <v>407</v>
      </c>
      <c r="B133" s="4" t="s">
        <v>408</v>
      </c>
      <c r="C133" s="4" t="s">
        <v>409</v>
      </c>
      <c r="D133" s="5">
        <v>11874.0</v>
      </c>
      <c r="E133" s="6">
        <f t="shared" si="7"/>
        <v>943</v>
      </c>
      <c r="F133" s="7">
        <f t="shared" ref="F133:G133" si="800">ROUND(RAND(),2)</f>
        <v>0.42</v>
      </c>
      <c r="G133" s="7">
        <f t="shared" si="800"/>
        <v>0.36</v>
      </c>
      <c r="H133" s="7">
        <f t="shared" si="9"/>
        <v>4</v>
      </c>
      <c r="I133" s="7">
        <f t="shared" si="10"/>
        <v>34499</v>
      </c>
      <c r="J133" s="7">
        <f t="shared" si="11"/>
        <v>21996</v>
      </c>
      <c r="K133" s="7" t="str">
        <f t="shared" si="12"/>
        <v>G</v>
      </c>
      <c r="L133" s="7" t="str">
        <f t="shared" si="13"/>
        <v>Transformative change</v>
      </c>
      <c r="M133" s="7" t="str">
        <f t="shared" si="14"/>
        <v>Low</v>
      </c>
      <c r="N133" s="7">
        <f t="shared" si="15"/>
        <v>48178</v>
      </c>
      <c r="O133" s="7">
        <f t="shared" si="16"/>
        <v>45074.38451</v>
      </c>
      <c r="P133" s="7">
        <f t="shared" ref="P133:Q133" si="801">RANDBETWEEN(0,22)</f>
        <v>16</v>
      </c>
      <c r="Q133" s="7">
        <f t="shared" si="801"/>
        <v>8</v>
      </c>
      <c r="R133" s="7">
        <f t="shared" ref="R133:T133" si="802">IF(S133=1,1,RANDBETWEEN(0,1))</f>
        <v>1</v>
      </c>
      <c r="S133" s="7">
        <f t="shared" si="802"/>
        <v>1</v>
      </c>
      <c r="T133" s="7">
        <f t="shared" si="802"/>
        <v>1</v>
      </c>
      <c r="U133" s="7">
        <f t="shared" si="19"/>
        <v>1</v>
      </c>
      <c r="V133" s="7">
        <f t="shared" ref="V133:X133" si="803">IF(W133=1,1,RANDBETWEEN(0,1))</f>
        <v>1</v>
      </c>
      <c r="W133" s="7">
        <f t="shared" si="803"/>
        <v>1</v>
      </c>
      <c r="X133" s="7">
        <f t="shared" si="803"/>
        <v>1</v>
      </c>
      <c r="Y133" s="7">
        <f t="shared" si="21"/>
        <v>0</v>
      </c>
      <c r="Z133" s="7">
        <f t="shared" ref="Z133:AB133" si="804">IF(AA133=1,1,RANDBETWEEN(0,1))</f>
        <v>1</v>
      </c>
      <c r="AA133" s="7">
        <f t="shared" si="804"/>
        <v>1</v>
      </c>
      <c r="AB133" s="7">
        <f t="shared" si="804"/>
        <v>1</v>
      </c>
      <c r="AC133" s="7">
        <f t="shared" si="23"/>
        <v>0</v>
      </c>
      <c r="AD133" s="7">
        <f t="shared" ref="AD133:AF133" si="805">IF(AE133=1,1,RANDBETWEEN(0,1))</f>
        <v>1</v>
      </c>
      <c r="AE133" s="7">
        <f t="shared" si="805"/>
        <v>1</v>
      </c>
      <c r="AF133" s="7">
        <f t="shared" si="805"/>
        <v>1</v>
      </c>
      <c r="AG133" s="7">
        <f t="shared" si="25"/>
        <v>1</v>
      </c>
    </row>
    <row r="134">
      <c r="A134" s="4" t="s">
        <v>410</v>
      </c>
      <c r="B134" s="4" t="s">
        <v>411</v>
      </c>
      <c r="C134" s="4" t="s">
        <v>412</v>
      </c>
      <c r="D134" s="5">
        <v>9081.0</v>
      </c>
      <c r="E134" s="6">
        <f t="shared" si="7"/>
        <v>1092</v>
      </c>
      <c r="F134" s="7">
        <f t="shared" ref="F134:G134" si="806">ROUND(RAND(),2)</f>
        <v>0.78</v>
      </c>
      <c r="G134" s="7">
        <f t="shared" si="806"/>
        <v>0.76</v>
      </c>
      <c r="H134" s="7">
        <f t="shared" si="9"/>
        <v>3</v>
      </c>
      <c r="I134" s="7">
        <f t="shared" si="10"/>
        <v>21174</v>
      </c>
      <c r="J134" s="7">
        <f t="shared" si="11"/>
        <v>5154</v>
      </c>
      <c r="K134" s="7" t="str">
        <f t="shared" si="12"/>
        <v>B</v>
      </c>
      <c r="L134" s="7" t="str">
        <f t="shared" si="13"/>
        <v>Transformative change</v>
      </c>
      <c r="M134" s="7" t="str">
        <f t="shared" si="14"/>
        <v>Low</v>
      </c>
      <c r="N134" s="7">
        <f t="shared" si="15"/>
        <v>1587981</v>
      </c>
      <c r="O134" s="7">
        <f t="shared" si="16"/>
        <v>222582.4134</v>
      </c>
      <c r="P134" s="7">
        <f t="shared" ref="P134:Q134" si="807">RANDBETWEEN(0,22)</f>
        <v>22</v>
      </c>
      <c r="Q134" s="7">
        <f t="shared" si="807"/>
        <v>0</v>
      </c>
      <c r="R134" s="7">
        <f t="shared" ref="R134:T134" si="808">IF(S134=1,1,RANDBETWEEN(0,1))</f>
        <v>1</v>
      </c>
      <c r="S134" s="7">
        <f t="shared" si="808"/>
        <v>1</v>
      </c>
      <c r="T134" s="7">
        <f t="shared" si="808"/>
        <v>1</v>
      </c>
      <c r="U134" s="7">
        <f t="shared" si="19"/>
        <v>0</v>
      </c>
      <c r="V134" s="7">
        <f t="shared" ref="V134:X134" si="809">IF(W134=1,1,RANDBETWEEN(0,1))</f>
        <v>1</v>
      </c>
      <c r="W134" s="7">
        <f t="shared" si="809"/>
        <v>1</v>
      </c>
      <c r="X134" s="7">
        <f t="shared" si="809"/>
        <v>1</v>
      </c>
      <c r="Y134" s="7">
        <f t="shared" si="21"/>
        <v>1</v>
      </c>
      <c r="Z134" s="7">
        <f t="shared" ref="Z134:AB134" si="810">IF(AA134=1,1,RANDBETWEEN(0,1))</f>
        <v>1</v>
      </c>
      <c r="AA134" s="7">
        <f t="shared" si="810"/>
        <v>0</v>
      </c>
      <c r="AB134" s="7">
        <f t="shared" si="810"/>
        <v>0</v>
      </c>
      <c r="AC134" s="7">
        <f t="shared" si="23"/>
        <v>0</v>
      </c>
      <c r="AD134" s="7">
        <f t="shared" ref="AD134:AF134" si="811">IF(AE134=1,1,RANDBETWEEN(0,1))</f>
        <v>1</v>
      </c>
      <c r="AE134" s="7">
        <f t="shared" si="811"/>
        <v>0</v>
      </c>
      <c r="AF134" s="7">
        <f t="shared" si="811"/>
        <v>0</v>
      </c>
      <c r="AG134" s="7">
        <f t="shared" si="25"/>
        <v>0</v>
      </c>
    </row>
    <row r="135">
      <c r="A135" s="4" t="s">
        <v>413</v>
      </c>
      <c r="B135" s="4" t="s">
        <v>414</v>
      </c>
      <c r="C135" s="4" t="s">
        <v>415</v>
      </c>
      <c r="D135" s="5">
        <v>11966.0</v>
      </c>
      <c r="E135" s="6">
        <f t="shared" si="7"/>
        <v>1023</v>
      </c>
      <c r="F135" s="7">
        <f t="shared" ref="F135:G135" si="812">ROUND(RAND(),2)</f>
        <v>0.71</v>
      </c>
      <c r="G135" s="7">
        <f t="shared" si="812"/>
        <v>0.01</v>
      </c>
      <c r="H135" s="7">
        <f t="shared" si="9"/>
        <v>5</v>
      </c>
      <c r="I135" s="7">
        <f t="shared" si="10"/>
        <v>79682</v>
      </c>
      <c r="J135" s="7">
        <f t="shared" si="11"/>
        <v>64838</v>
      </c>
      <c r="K135" s="7" t="str">
        <f t="shared" si="12"/>
        <v>B</v>
      </c>
      <c r="L135" s="7" t="str">
        <f t="shared" si="13"/>
        <v>Transformative change</v>
      </c>
      <c r="M135" s="7" t="str">
        <f t="shared" si="14"/>
        <v>Medium</v>
      </c>
      <c r="N135" s="7">
        <f t="shared" si="15"/>
        <v>3634243</v>
      </c>
      <c r="O135" s="7">
        <f t="shared" si="16"/>
        <v>1289981.746</v>
      </c>
      <c r="P135" s="7">
        <f t="shared" ref="P135:Q135" si="813">RANDBETWEEN(0,22)</f>
        <v>16</v>
      </c>
      <c r="Q135" s="7">
        <f t="shared" si="813"/>
        <v>16</v>
      </c>
      <c r="R135" s="7">
        <f t="shared" ref="R135:T135" si="814">IF(S135=1,1,RANDBETWEEN(0,1))</f>
        <v>1</v>
      </c>
      <c r="S135" s="7">
        <f t="shared" si="814"/>
        <v>1</v>
      </c>
      <c r="T135" s="7">
        <f t="shared" si="814"/>
        <v>1</v>
      </c>
      <c r="U135" s="7">
        <f t="shared" si="19"/>
        <v>1</v>
      </c>
      <c r="V135" s="7">
        <f t="shared" ref="V135:X135" si="815">IF(W135=1,1,RANDBETWEEN(0,1))</f>
        <v>1</v>
      </c>
      <c r="W135" s="7">
        <f t="shared" si="815"/>
        <v>1</v>
      </c>
      <c r="X135" s="7">
        <f t="shared" si="815"/>
        <v>1</v>
      </c>
      <c r="Y135" s="7">
        <f t="shared" si="21"/>
        <v>1</v>
      </c>
      <c r="Z135" s="7">
        <f t="shared" ref="Z135:AB135" si="816">IF(AA135=1,1,RANDBETWEEN(0,1))</f>
        <v>0</v>
      </c>
      <c r="AA135" s="7">
        <f t="shared" si="816"/>
        <v>0</v>
      </c>
      <c r="AB135" s="7">
        <f t="shared" si="816"/>
        <v>0</v>
      </c>
      <c r="AC135" s="7">
        <f t="shared" si="23"/>
        <v>0</v>
      </c>
      <c r="AD135" s="7">
        <f t="shared" ref="AD135:AF135" si="817">IF(AE135=1,1,RANDBETWEEN(0,1))</f>
        <v>0</v>
      </c>
      <c r="AE135" s="7">
        <f t="shared" si="817"/>
        <v>0</v>
      </c>
      <c r="AF135" s="7">
        <f t="shared" si="817"/>
        <v>0</v>
      </c>
      <c r="AG135" s="7">
        <f t="shared" si="25"/>
        <v>0</v>
      </c>
    </row>
    <row r="136">
      <c r="A136" s="4" t="s">
        <v>416</v>
      </c>
      <c r="B136" s="4" t="s">
        <v>417</v>
      </c>
      <c r="C136" s="4" t="s">
        <v>418</v>
      </c>
      <c r="D136" s="5">
        <v>16095.0</v>
      </c>
      <c r="E136" s="6">
        <f t="shared" si="7"/>
        <v>867</v>
      </c>
      <c r="F136" s="7">
        <f t="shared" ref="F136:G136" si="818">ROUND(RAND(),2)</f>
        <v>0.12</v>
      </c>
      <c r="G136" s="7">
        <f t="shared" si="818"/>
        <v>0.55</v>
      </c>
      <c r="H136" s="7">
        <f t="shared" si="9"/>
        <v>2</v>
      </c>
      <c r="I136" s="7">
        <f t="shared" si="10"/>
        <v>75183</v>
      </c>
      <c r="J136" s="7">
        <f t="shared" si="11"/>
        <v>22280</v>
      </c>
      <c r="K136" s="7" t="str">
        <f t="shared" si="12"/>
        <v>G</v>
      </c>
      <c r="L136" s="7" t="str">
        <f t="shared" si="13"/>
        <v>Transformative change</v>
      </c>
      <c r="M136" s="7" t="str">
        <f t="shared" si="14"/>
        <v>Low</v>
      </c>
      <c r="N136" s="7">
        <f t="shared" si="15"/>
        <v>542857</v>
      </c>
      <c r="O136" s="7">
        <f t="shared" si="16"/>
        <v>93958.36916</v>
      </c>
      <c r="P136" s="7">
        <f t="shared" ref="P136:Q136" si="819">RANDBETWEEN(0,22)</f>
        <v>5</v>
      </c>
      <c r="Q136" s="7">
        <f t="shared" si="819"/>
        <v>12</v>
      </c>
      <c r="R136" s="7">
        <f t="shared" ref="R136:T136" si="820">IF(S136=1,1,RANDBETWEEN(0,1))</f>
        <v>1</v>
      </c>
      <c r="S136" s="7">
        <f t="shared" si="820"/>
        <v>0</v>
      </c>
      <c r="T136" s="7">
        <f t="shared" si="820"/>
        <v>0</v>
      </c>
      <c r="U136" s="7">
        <f t="shared" si="19"/>
        <v>0</v>
      </c>
      <c r="V136" s="7">
        <f t="shared" ref="V136:X136" si="821">IF(W136=1,1,RANDBETWEEN(0,1))</f>
        <v>1</v>
      </c>
      <c r="W136" s="7">
        <f t="shared" si="821"/>
        <v>1</v>
      </c>
      <c r="X136" s="7">
        <f t="shared" si="821"/>
        <v>1</v>
      </c>
      <c r="Y136" s="7">
        <f t="shared" si="21"/>
        <v>1</v>
      </c>
      <c r="Z136" s="7">
        <f t="shared" ref="Z136:AB136" si="822">IF(AA136=1,1,RANDBETWEEN(0,1))</f>
        <v>1</v>
      </c>
      <c r="AA136" s="7">
        <f t="shared" si="822"/>
        <v>1</v>
      </c>
      <c r="AB136" s="7">
        <f t="shared" si="822"/>
        <v>1</v>
      </c>
      <c r="AC136" s="7">
        <f t="shared" si="23"/>
        <v>0</v>
      </c>
      <c r="AD136" s="7">
        <f t="shared" ref="AD136:AF136" si="823">IF(AE136=1,1,RANDBETWEEN(0,1))</f>
        <v>1</v>
      </c>
      <c r="AE136" s="7">
        <f t="shared" si="823"/>
        <v>1</v>
      </c>
      <c r="AF136" s="7">
        <f t="shared" si="823"/>
        <v>1</v>
      </c>
      <c r="AG136" s="7">
        <f t="shared" si="25"/>
        <v>1</v>
      </c>
    </row>
    <row r="137">
      <c r="A137" s="4" t="s">
        <v>419</v>
      </c>
      <c r="B137" s="4" t="s">
        <v>420</v>
      </c>
      <c r="C137" s="4" t="s">
        <v>95</v>
      </c>
      <c r="D137" s="5">
        <v>85484.0</v>
      </c>
      <c r="E137" s="6">
        <f t="shared" si="7"/>
        <v>1096</v>
      </c>
      <c r="F137" s="7">
        <f t="shared" ref="F137:G137" si="824">ROUND(RAND(),2)</f>
        <v>0.27</v>
      </c>
      <c r="G137" s="7">
        <f t="shared" si="824"/>
        <v>0.96</v>
      </c>
      <c r="H137" s="7">
        <f t="shared" si="9"/>
        <v>1</v>
      </c>
      <c r="I137" s="7">
        <f t="shared" si="10"/>
        <v>18629</v>
      </c>
      <c r="J137" s="7">
        <f t="shared" si="11"/>
        <v>5181</v>
      </c>
      <c r="K137" s="7" t="str">
        <f t="shared" si="12"/>
        <v>C</v>
      </c>
      <c r="L137" s="7" t="str">
        <f t="shared" si="13"/>
        <v>Transformative change</v>
      </c>
      <c r="M137" s="7" t="str">
        <f t="shared" si="14"/>
        <v>Low</v>
      </c>
      <c r="N137" s="7">
        <f t="shared" si="15"/>
        <v>467823</v>
      </c>
      <c r="O137" s="7">
        <f t="shared" si="16"/>
        <v>95849.20768</v>
      </c>
      <c r="P137" s="7">
        <f t="shared" ref="P137:Q137" si="825">RANDBETWEEN(0,22)</f>
        <v>12</v>
      </c>
      <c r="Q137" s="7">
        <f t="shared" si="825"/>
        <v>1</v>
      </c>
      <c r="R137" s="7">
        <f t="shared" ref="R137:T137" si="826">IF(S137=1,1,RANDBETWEEN(0,1))</f>
        <v>1</v>
      </c>
      <c r="S137" s="7">
        <f t="shared" si="826"/>
        <v>1</v>
      </c>
      <c r="T137" s="7">
        <f t="shared" si="826"/>
        <v>0</v>
      </c>
      <c r="U137" s="7">
        <f t="shared" si="19"/>
        <v>0</v>
      </c>
      <c r="V137" s="7">
        <f t="shared" ref="V137:X137" si="827">IF(W137=1,1,RANDBETWEEN(0,1))</f>
        <v>1</v>
      </c>
      <c r="W137" s="7">
        <f t="shared" si="827"/>
        <v>1</v>
      </c>
      <c r="X137" s="7">
        <f t="shared" si="827"/>
        <v>1</v>
      </c>
      <c r="Y137" s="7">
        <f t="shared" si="21"/>
        <v>0</v>
      </c>
      <c r="Z137" s="7">
        <f t="shared" ref="Z137:AB137" si="828">IF(AA137=1,1,RANDBETWEEN(0,1))</f>
        <v>0</v>
      </c>
      <c r="AA137" s="7">
        <f t="shared" si="828"/>
        <v>0</v>
      </c>
      <c r="AB137" s="7">
        <f t="shared" si="828"/>
        <v>0</v>
      </c>
      <c r="AC137" s="7">
        <f t="shared" si="23"/>
        <v>0</v>
      </c>
      <c r="AD137" s="7">
        <f t="shared" ref="AD137:AF137" si="829">IF(AE137=1,1,RANDBETWEEN(0,1))</f>
        <v>1</v>
      </c>
      <c r="AE137" s="7">
        <f t="shared" si="829"/>
        <v>1</v>
      </c>
      <c r="AF137" s="7">
        <f t="shared" si="829"/>
        <v>1</v>
      </c>
      <c r="AG137" s="7">
        <f t="shared" si="25"/>
        <v>1</v>
      </c>
    </row>
    <row r="138">
      <c r="A138" s="4" t="s">
        <v>421</v>
      </c>
      <c r="B138" s="4" t="s">
        <v>422</v>
      </c>
      <c r="C138" s="4" t="s">
        <v>423</v>
      </c>
      <c r="D138" s="5">
        <v>17580.0</v>
      </c>
      <c r="E138" s="6">
        <f t="shared" si="7"/>
        <v>917</v>
      </c>
      <c r="F138" s="7">
        <f t="shared" ref="F138:G138" si="830">ROUND(RAND(),2)</f>
        <v>0.83</v>
      </c>
      <c r="G138" s="7">
        <f t="shared" si="830"/>
        <v>0.01</v>
      </c>
      <c r="H138" s="7">
        <f t="shared" si="9"/>
        <v>5</v>
      </c>
      <c r="I138" s="7">
        <f t="shared" si="10"/>
        <v>96609</v>
      </c>
      <c r="J138" s="7">
        <f t="shared" si="11"/>
        <v>38100</v>
      </c>
      <c r="K138" s="7" t="str">
        <f t="shared" si="12"/>
        <v>B</v>
      </c>
      <c r="L138" s="7" t="str">
        <f t="shared" si="13"/>
        <v>Transformative change</v>
      </c>
      <c r="M138" s="7" t="str">
        <f t="shared" si="14"/>
        <v>High</v>
      </c>
      <c r="N138" s="7">
        <f t="shared" si="15"/>
        <v>262375</v>
      </c>
      <c r="O138" s="7">
        <f t="shared" si="16"/>
        <v>249666.158</v>
      </c>
      <c r="P138" s="7">
        <f t="shared" ref="P138:Q138" si="831">RANDBETWEEN(0,22)</f>
        <v>15</v>
      </c>
      <c r="Q138" s="7">
        <f t="shared" si="831"/>
        <v>13</v>
      </c>
      <c r="R138" s="7">
        <f t="shared" ref="R138:T138" si="832">IF(S138=1,1,RANDBETWEEN(0,1))</f>
        <v>1</v>
      </c>
      <c r="S138" s="7">
        <f t="shared" si="832"/>
        <v>1</v>
      </c>
      <c r="T138" s="7">
        <f t="shared" si="832"/>
        <v>1</v>
      </c>
      <c r="U138" s="7">
        <f t="shared" si="19"/>
        <v>0</v>
      </c>
      <c r="V138" s="7">
        <f t="shared" ref="V138:X138" si="833">IF(W138=1,1,RANDBETWEEN(0,1))</f>
        <v>1</v>
      </c>
      <c r="W138" s="7">
        <f t="shared" si="833"/>
        <v>1</v>
      </c>
      <c r="X138" s="7">
        <f t="shared" si="833"/>
        <v>1</v>
      </c>
      <c r="Y138" s="7">
        <f t="shared" si="21"/>
        <v>1</v>
      </c>
      <c r="Z138" s="7">
        <f t="shared" ref="Z138:AB138" si="834">IF(AA138=1,1,RANDBETWEEN(0,1))</f>
        <v>1</v>
      </c>
      <c r="AA138" s="7">
        <f t="shared" si="834"/>
        <v>1</v>
      </c>
      <c r="AB138" s="7">
        <f t="shared" si="834"/>
        <v>1</v>
      </c>
      <c r="AC138" s="7">
        <f t="shared" si="23"/>
        <v>0</v>
      </c>
      <c r="AD138" s="7">
        <f t="shared" ref="AD138:AF138" si="835">IF(AE138=1,1,RANDBETWEEN(0,1))</f>
        <v>1</v>
      </c>
      <c r="AE138" s="7">
        <f t="shared" si="835"/>
        <v>1</v>
      </c>
      <c r="AF138" s="7">
        <f t="shared" si="835"/>
        <v>1</v>
      </c>
      <c r="AG138" s="7">
        <f t="shared" si="25"/>
        <v>1</v>
      </c>
    </row>
    <row r="139">
      <c r="A139" s="4" t="s">
        <v>424</v>
      </c>
      <c r="B139" s="4" t="s">
        <v>425</v>
      </c>
      <c r="C139" s="4" t="s">
        <v>426</v>
      </c>
      <c r="D139" s="5">
        <v>11812.0</v>
      </c>
      <c r="E139" s="6">
        <f t="shared" si="7"/>
        <v>800</v>
      </c>
      <c r="F139" s="7">
        <f t="shared" ref="F139:G139" si="836">ROUND(RAND(),2)</f>
        <v>0.05</v>
      </c>
      <c r="G139" s="7">
        <f t="shared" si="836"/>
        <v>0.92</v>
      </c>
      <c r="H139" s="7">
        <f t="shared" si="9"/>
        <v>2</v>
      </c>
      <c r="I139" s="7">
        <f t="shared" si="10"/>
        <v>97377</v>
      </c>
      <c r="J139" s="7">
        <f t="shared" si="11"/>
        <v>28587</v>
      </c>
      <c r="K139" s="7" t="str">
        <f t="shared" si="12"/>
        <v>B</v>
      </c>
      <c r="L139" s="7" t="str">
        <f t="shared" si="13"/>
        <v>Transformative change</v>
      </c>
      <c r="M139" s="7" t="str">
        <f t="shared" si="14"/>
        <v>Low</v>
      </c>
      <c r="N139" s="7">
        <f t="shared" si="15"/>
        <v>3168150</v>
      </c>
      <c r="O139" s="7">
        <f t="shared" si="16"/>
        <v>1670962.806</v>
      </c>
      <c r="P139" s="7">
        <f t="shared" ref="P139:Q139" si="837">RANDBETWEEN(0,22)</f>
        <v>2</v>
      </c>
      <c r="Q139" s="7">
        <f t="shared" si="837"/>
        <v>4</v>
      </c>
      <c r="R139" s="7">
        <f t="shared" ref="R139:T139" si="838">IF(S139=1,1,RANDBETWEEN(0,1))</f>
        <v>1</v>
      </c>
      <c r="S139" s="7">
        <f t="shared" si="838"/>
        <v>1</v>
      </c>
      <c r="T139" s="7">
        <f t="shared" si="838"/>
        <v>1</v>
      </c>
      <c r="U139" s="7">
        <f t="shared" si="19"/>
        <v>1</v>
      </c>
      <c r="V139" s="7">
        <f t="shared" ref="V139:X139" si="839">IF(W139=1,1,RANDBETWEEN(0,1))</f>
        <v>1</v>
      </c>
      <c r="W139" s="7">
        <f t="shared" si="839"/>
        <v>1</v>
      </c>
      <c r="X139" s="7">
        <f t="shared" si="839"/>
        <v>1</v>
      </c>
      <c r="Y139" s="7">
        <f t="shared" si="21"/>
        <v>1</v>
      </c>
      <c r="Z139" s="7">
        <f t="shared" ref="Z139:AB139" si="840">IF(AA139=1,1,RANDBETWEEN(0,1))</f>
        <v>0</v>
      </c>
      <c r="AA139" s="7">
        <f t="shared" si="840"/>
        <v>0</v>
      </c>
      <c r="AB139" s="7">
        <f t="shared" si="840"/>
        <v>0</v>
      </c>
      <c r="AC139" s="7">
        <f t="shared" si="23"/>
        <v>0</v>
      </c>
      <c r="AD139" s="7">
        <f t="shared" ref="AD139:AF139" si="841">IF(AE139=1,1,RANDBETWEEN(0,1))</f>
        <v>1</v>
      </c>
      <c r="AE139" s="7">
        <f t="shared" si="841"/>
        <v>0</v>
      </c>
      <c r="AF139" s="7">
        <f t="shared" si="841"/>
        <v>0</v>
      </c>
      <c r="AG139" s="7">
        <f t="shared" si="25"/>
        <v>0</v>
      </c>
    </row>
    <row r="140">
      <c r="A140" s="4" t="s">
        <v>427</v>
      </c>
      <c r="B140" s="4" t="s">
        <v>428</v>
      </c>
      <c r="C140" s="4" t="s">
        <v>429</v>
      </c>
      <c r="D140" s="5">
        <v>15360.0</v>
      </c>
      <c r="E140" s="6">
        <f t="shared" si="7"/>
        <v>1012</v>
      </c>
      <c r="F140" s="7">
        <f t="shared" ref="F140:G140" si="842">ROUND(RAND(),2)</f>
        <v>0.46</v>
      </c>
      <c r="G140" s="7">
        <f t="shared" si="842"/>
        <v>0.72</v>
      </c>
      <c r="H140" s="7">
        <f t="shared" si="9"/>
        <v>2</v>
      </c>
      <c r="I140" s="7">
        <f t="shared" si="10"/>
        <v>30777</v>
      </c>
      <c r="J140" s="7">
        <f t="shared" si="11"/>
        <v>23691</v>
      </c>
      <c r="K140" s="7" t="str">
        <f t="shared" si="12"/>
        <v>G</v>
      </c>
      <c r="L140" s="7" t="str">
        <f t="shared" si="13"/>
        <v>Transformative change</v>
      </c>
      <c r="M140" s="7" t="str">
        <f t="shared" si="14"/>
        <v>High</v>
      </c>
      <c r="N140" s="7">
        <f t="shared" si="15"/>
        <v>3033622</v>
      </c>
      <c r="O140" s="7">
        <f t="shared" si="16"/>
        <v>1242866.066</v>
      </c>
      <c r="P140" s="7">
        <f t="shared" ref="P140:Q140" si="843">RANDBETWEEN(0,22)</f>
        <v>21</v>
      </c>
      <c r="Q140" s="7">
        <f t="shared" si="843"/>
        <v>9</v>
      </c>
      <c r="R140" s="7">
        <f t="shared" ref="R140:T140" si="844">IF(S140=1,1,RANDBETWEEN(0,1))</f>
        <v>1</v>
      </c>
      <c r="S140" s="7">
        <f t="shared" si="844"/>
        <v>1</v>
      </c>
      <c r="T140" s="7">
        <f t="shared" si="844"/>
        <v>1</v>
      </c>
      <c r="U140" s="7">
        <f t="shared" si="19"/>
        <v>1</v>
      </c>
      <c r="V140" s="7">
        <f t="shared" ref="V140:X140" si="845">IF(W140=1,1,RANDBETWEEN(0,1))</f>
        <v>1</v>
      </c>
      <c r="W140" s="7">
        <f t="shared" si="845"/>
        <v>1</v>
      </c>
      <c r="X140" s="7">
        <f t="shared" si="845"/>
        <v>1</v>
      </c>
      <c r="Y140" s="7">
        <f t="shared" si="21"/>
        <v>0</v>
      </c>
      <c r="Z140" s="7">
        <f t="shared" ref="Z140:AB140" si="846">IF(AA140=1,1,RANDBETWEEN(0,1))</f>
        <v>1</v>
      </c>
      <c r="AA140" s="7">
        <f t="shared" si="846"/>
        <v>1</v>
      </c>
      <c r="AB140" s="7">
        <f t="shared" si="846"/>
        <v>0</v>
      </c>
      <c r="AC140" s="7">
        <f t="shared" si="23"/>
        <v>0</v>
      </c>
      <c r="AD140" s="7">
        <f t="shared" ref="AD140:AF140" si="847">IF(AE140=1,1,RANDBETWEEN(0,1))</f>
        <v>1</v>
      </c>
      <c r="AE140" s="7">
        <f t="shared" si="847"/>
        <v>1</v>
      </c>
      <c r="AF140" s="7">
        <f t="shared" si="847"/>
        <v>1</v>
      </c>
      <c r="AG140" s="7">
        <f t="shared" si="25"/>
        <v>1</v>
      </c>
    </row>
    <row r="141">
      <c r="A141" s="4" t="s">
        <v>430</v>
      </c>
      <c r="B141" s="4" t="s">
        <v>431</v>
      </c>
      <c r="C141" s="4" t="s">
        <v>432</v>
      </c>
      <c r="D141" s="5">
        <v>14865.0</v>
      </c>
      <c r="E141" s="6">
        <f t="shared" si="7"/>
        <v>918</v>
      </c>
      <c r="F141" s="7">
        <f t="shared" ref="F141:G141" si="848">ROUND(RAND(),2)</f>
        <v>0.31</v>
      </c>
      <c r="G141" s="7">
        <f t="shared" si="848"/>
        <v>0.14</v>
      </c>
      <c r="H141" s="7">
        <f t="shared" si="9"/>
        <v>5</v>
      </c>
      <c r="I141" s="7">
        <f t="shared" si="10"/>
        <v>3570</v>
      </c>
      <c r="J141" s="7">
        <f t="shared" si="11"/>
        <v>35297</v>
      </c>
      <c r="K141" s="7" t="str">
        <f t="shared" si="12"/>
        <v>F</v>
      </c>
      <c r="L141" s="7" t="str">
        <f t="shared" si="13"/>
        <v>Transformative change</v>
      </c>
      <c r="M141" s="7" t="str">
        <f t="shared" si="14"/>
        <v>Low</v>
      </c>
      <c r="N141" s="7">
        <f t="shared" si="15"/>
        <v>3763370</v>
      </c>
      <c r="O141" s="7">
        <f t="shared" si="16"/>
        <v>2770504.063</v>
      </c>
      <c r="P141" s="7">
        <f t="shared" ref="P141:Q141" si="849">RANDBETWEEN(0,22)</f>
        <v>3</v>
      </c>
      <c r="Q141" s="7">
        <f t="shared" si="849"/>
        <v>15</v>
      </c>
      <c r="R141" s="7">
        <f t="shared" ref="R141:T141" si="850">IF(S141=1,1,RANDBETWEEN(0,1))</f>
        <v>1</v>
      </c>
      <c r="S141" s="7">
        <f t="shared" si="850"/>
        <v>1</v>
      </c>
      <c r="T141" s="7">
        <f t="shared" si="850"/>
        <v>1</v>
      </c>
      <c r="U141" s="7">
        <f t="shared" si="19"/>
        <v>1</v>
      </c>
      <c r="V141" s="7">
        <f t="shared" ref="V141:X141" si="851">IF(W141=1,1,RANDBETWEEN(0,1))</f>
        <v>1</v>
      </c>
      <c r="W141" s="7">
        <f t="shared" si="851"/>
        <v>1</v>
      </c>
      <c r="X141" s="7">
        <f t="shared" si="851"/>
        <v>1</v>
      </c>
      <c r="Y141" s="7">
        <f t="shared" si="21"/>
        <v>1</v>
      </c>
      <c r="Z141" s="7">
        <f t="shared" ref="Z141:AB141" si="852">IF(AA141=1,1,RANDBETWEEN(0,1))</f>
        <v>1</v>
      </c>
      <c r="AA141" s="7">
        <f t="shared" si="852"/>
        <v>1</v>
      </c>
      <c r="AB141" s="7">
        <f t="shared" si="852"/>
        <v>1</v>
      </c>
      <c r="AC141" s="7">
        <f t="shared" si="23"/>
        <v>1</v>
      </c>
      <c r="AD141" s="7">
        <f t="shared" ref="AD141:AF141" si="853">IF(AE141=1,1,RANDBETWEEN(0,1))</f>
        <v>1</v>
      </c>
      <c r="AE141" s="7">
        <f t="shared" si="853"/>
        <v>1</v>
      </c>
      <c r="AF141" s="7">
        <f t="shared" si="853"/>
        <v>1</v>
      </c>
      <c r="AG141" s="7">
        <f t="shared" si="25"/>
        <v>0</v>
      </c>
    </row>
    <row r="142">
      <c r="A142" s="4" t="s">
        <v>433</v>
      </c>
      <c r="B142" s="4" t="s">
        <v>434</v>
      </c>
      <c r="C142" s="4" t="s">
        <v>435</v>
      </c>
      <c r="D142" s="5">
        <v>10659.0</v>
      </c>
      <c r="E142" s="6">
        <f t="shared" si="7"/>
        <v>1056</v>
      </c>
      <c r="F142" s="7">
        <f t="shared" ref="F142:G142" si="854">ROUND(RAND(),2)</f>
        <v>0.96</v>
      </c>
      <c r="G142" s="7">
        <f t="shared" si="854"/>
        <v>0.79</v>
      </c>
      <c r="H142" s="7">
        <f t="shared" si="9"/>
        <v>2</v>
      </c>
      <c r="I142" s="7">
        <f t="shared" si="10"/>
        <v>21085</v>
      </c>
      <c r="J142" s="7">
        <f t="shared" si="11"/>
        <v>43605</v>
      </c>
      <c r="K142" s="7" t="str">
        <f t="shared" si="12"/>
        <v>D</v>
      </c>
      <c r="L142" s="7" t="str">
        <f t="shared" si="13"/>
        <v>High ambition</v>
      </c>
      <c r="M142" s="7" t="str">
        <f t="shared" si="14"/>
        <v>Low</v>
      </c>
      <c r="N142" s="7">
        <f t="shared" si="15"/>
        <v>2544736</v>
      </c>
      <c r="O142" s="7">
        <f t="shared" si="16"/>
        <v>244031.417</v>
      </c>
      <c r="P142" s="7">
        <f t="shared" ref="P142:Q142" si="855">RANDBETWEEN(0,22)</f>
        <v>11</v>
      </c>
      <c r="Q142" s="7">
        <f t="shared" si="855"/>
        <v>17</v>
      </c>
      <c r="R142" s="7">
        <f t="shared" ref="R142:T142" si="856">IF(S142=1,1,RANDBETWEEN(0,1))</f>
        <v>1</v>
      </c>
      <c r="S142" s="7">
        <f t="shared" si="856"/>
        <v>1</v>
      </c>
      <c r="T142" s="7">
        <f t="shared" si="856"/>
        <v>1</v>
      </c>
      <c r="U142" s="7">
        <f t="shared" si="19"/>
        <v>1</v>
      </c>
      <c r="V142" s="7">
        <f t="shared" ref="V142:X142" si="857">IF(W142=1,1,RANDBETWEEN(0,1))</f>
        <v>1</v>
      </c>
      <c r="W142" s="7">
        <f t="shared" si="857"/>
        <v>1</v>
      </c>
      <c r="X142" s="7">
        <f t="shared" si="857"/>
        <v>1</v>
      </c>
      <c r="Y142" s="7">
        <f t="shared" si="21"/>
        <v>1</v>
      </c>
      <c r="Z142" s="7">
        <f t="shared" ref="Z142:AB142" si="858">IF(AA142=1,1,RANDBETWEEN(0,1))</f>
        <v>1</v>
      </c>
      <c r="AA142" s="7">
        <f t="shared" si="858"/>
        <v>1</v>
      </c>
      <c r="AB142" s="7">
        <f t="shared" si="858"/>
        <v>0</v>
      </c>
      <c r="AC142" s="7">
        <f t="shared" si="23"/>
        <v>0</v>
      </c>
      <c r="AD142" s="7">
        <f t="shared" ref="AD142:AF142" si="859">IF(AE142=1,1,RANDBETWEEN(0,1))</f>
        <v>1</v>
      </c>
      <c r="AE142" s="7">
        <f t="shared" si="859"/>
        <v>1</v>
      </c>
      <c r="AF142" s="7">
        <f t="shared" si="859"/>
        <v>0</v>
      </c>
      <c r="AG142" s="7">
        <f t="shared" si="25"/>
        <v>0</v>
      </c>
    </row>
    <row r="143">
      <c r="A143" s="4" t="s">
        <v>436</v>
      </c>
      <c r="B143" s="4" t="s">
        <v>437</v>
      </c>
      <c r="C143" s="4" t="s">
        <v>98</v>
      </c>
      <c r="D143" s="5">
        <v>14805.0</v>
      </c>
      <c r="E143" s="6">
        <f t="shared" si="7"/>
        <v>934</v>
      </c>
      <c r="F143" s="7">
        <f t="shared" ref="F143:G143" si="860">ROUND(RAND(),2)</f>
        <v>0.73</v>
      </c>
      <c r="G143" s="7">
        <f t="shared" si="860"/>
        <v>0.26</v>
      </c>
      <c r="H143" s="7">
        <f t="shared" si="9"/>
        <v>2</v>
      </c>
      <c r="I143" s="7">
        <f t="shared" si="10"/>
        <v>91842</v>
      </c>
      <c r="J143" s="7">
        <f t="shared" si="11"/>
        <v>40326</v>
      </c>
      <c r="K143" s="7" t="str">
        <f t="shared" si="12"/>
        <v>D</v>
      </c>
      <c r="L143" s="7" t="str">
        <f t="shared" si="13"/>
        <v>Transformative change</v>
      </c>
      <c r="M143" s="7" t="str">
        <f t="shared" si="14"/>
        <v>High</v>
      </c>
      <c r="N143" s="7">
        <f t="shared" si="15"/>
        <v>92789</v>
      </c>
      <c r="O143" s="7">
        <f t="shared" si="16"/>
        <v>92568.02135</v>
      </c>
      <c r="P143" s="7">
        <f t="shared" ref="P143:Q143" si="861">RANDBETWEEN(0,22)</f>
        <v>2</v>
      </c>
      <c r="Q143" s="7">
        <f t="shared" si="861"/>
        <v>12</v>
      </c>
      <c r="R143" s="7">
        <f t="shared" ref="R143:T143" si="862">IF(S143=1,1,RANDBETWEEN(0,1))</f>
        <v>1</v>
      </c>
      <c r="S143" s="7">
        <f t="shared" si="862"/>
        <v>1</v>
      </c>
      <c r="T143" s="7">
        <f t="shared" si="862"/>
        <v>1</v>
      </c>
      <c r="U143" s="7">
        <f t="shared" si="19"/>
        <v>1</v>
      </c>
      <c r="V143" s="7">
        <f t="shared" ref="V143:X143" si="863">IF(W143=1,1,RANDBETWEEN(0,1))</f>
        <v>1</v>
      </c>
      <c r="W143" s="7">
        <f t="shared" si="863"/>
        <v>1</v>
      </c>
      <c r="X143" s="7">
        <f t="shared" si="863"/>
        <v>1</v>
      </c>
      <c r="Y143" s="7">
        <f t="shared" si="21"/>
        <v>0</v>
      </c>
      <c r="Z143" s="7">
        <f t="shared" ref="Z143:AB143" si="864">IF(AA143=1,1,RANDBETWEEN(0,1))</f>
        <v>1</v>
      </c>
      <c r="AA143" s="7">
        <f t="shared" si="864"/>
        <v>1</v>
      </c>
      <c r="AB143" s="7">
        <f t="shared" si="864"/>
        <v>1</v>
      </c>
      <c r="AC143" s="7">
        <f t="shared" si="23"/>
        <v>1</v>
      </c>
      <c r="AD143" s="7">
        <f t="shared" ref="AD143:AF143" si="865">IF(AE143=1,1,RANDBETWEEN(0,1))</f>
        <v>1</v>
      </c>
      <c r="AE143" s="7">
        <f t="shared" si="865"/>
        <v>1</v>
      </c>
      <c r="AF143" s="7">
        <f t="shared" si="865"/>
        <v>1</v>
      </c>
      <c r="AG143" s="7">
        <f t="shared" si="25"/>
        <v>1</v>
      </c>
    </row>
    <row r="144">
      <c r="A144" s="4" t="s">
        <v>438</v>
      </c>
      <c r="B144" s="4" t="s">
        <v>439</v>
      </c>
      <c r="C144" s="4" t="s">
        <v>440</v>
      </c>
      <c r="D144" s="5">
        <v>15023.0</v>
      </c>
      <c r="E144" s="6">
        <f t="shared" si="7"/>
        <v>842</v>
      </c>
      <c r="F144" s="7">
        <f t="shared" ref="F144:G144" si="866">ROUND(RAND(),2)</f>
        <v>0.4</v>
      </c>
      <c r="G144" s="7">
        <f t="shared" si="866"/>
        <v>0.82</v>
      </c>
      <c r="H144" s="7">
        <f t="shared" si="9"/>
        <v>5</v>
      </c>
      <c r="I144" s="7">
        <f t="shared" si="10"/>
        <v>85610</v>
      </c>
      <c r="J144" s="7">
        <f t="shared" si="11"/>
        <v>60675</v>
      </c>
      <c r="K144" s="7" t="str">
        <f t="shared" si="12"/>
        <v>B</v>
      </c>
      <c r="L144" s="7" t="str">
        <f t="shared" si="13"/>
        <v>Transformative change</v>
      </c>
      <c r="M144" s="7" t="str">
        <f t="shared" si="14"/>
        <v>High</v>
      </c>
      <c r="N144" s="7">
        <f t="shared" si="15"/>
        <v>1330053</v>
      </c>
      <c r="O144" s="7">
        <f t="shared" si="16"/>
        <v>560317.6077</v>
      </c>
      <c r="P144" s="7">
        <f t="shared" ref="P144:Q144" si="867">RANDBETWEEN(0,22)</f>
        <v>12</v>
      </c>
      <c r="Q144" s="7">
        <f t="shared" si="867"/>
        <v>1</v>
      </c>
      <c r="R144" s="7">
        <f t="shared" ref="R144:T144" si="868">IF(S144=1,1,RANDBETWEEN(0,1))</f>
        <v>1</v>
      </c>
      <c r="S144" s="7">
        <f t="shared" si="868"/>
        <v>1</v>
      </c>
      <c r="T144" s="7">
        <f t="shared" si="868"/>
        <v>1</v>
      </c>
      <c r="U144" s="7">
        <f t="shared" si="19"/>
        <v>0</v>
      </c>
      <c r="V144" s="7">
        <f t="shared" ref="V144:X144" si="869">IF(W144=1,1,RANDBETWEEN(0,1))</f>
        <v>1</v>
      </c>
      <c r="W144" s="7">
        <f t="shared" si="869"/>
        <v>1</v>
      </c>
      <c r="X144" s="7">
        <f t="shared" si="869"/>
        <v>1</v>
      </c>
      <c r="Y144" s="7">
        <f t="shared" si="21"/>
        <v>1</v>
      </c>
      <c r="Z144" s="7">
        <f t="shared" ref="Z144:AB144" si="870">IF(AA144=1,1,RANDBETWEEN(0,1))</f>
        <v>1</v>
      </c>
      <c r="AA144" s="7">
        <f t="shared" si="870"/>
        <v>1</v>
      </c>
      <c r="AB144" s="7">
        <f t="shared" si="870"/>
        <v>1</v>
      </c>
      <c r="AC144" s="7">
        <f t="shared" si="23"/>
        <v>1</v>
      </c>
      <c r="AD144" s="7">
        <f t="shared" ref="AD144:AF144" si="871">IF(AE144=1,1,RANDBETWEEN(0,1))</f>
        <v>1</v>
      </c>
      <c r="AE144" s="7">
        <f t="shared" si="871"/>
        <v>1</v>
      </c>
      <c r="AF144" s="7">
        <f t="shared" si="871"/>
        <v>1</v>
      </c>
      <c r="AG144" s="7">
        <f t="shared" si="25"/>
        <v>1</v>
      </c>
    </row>
    <row r="145">
      <c r="A145" s="4" t="s">
        <v>441</v>
      </c>
      <c r="B145" s="4" t="s">
        <v>442</v>
      </c>
      <c r="C145" s="4" t="s">
        <v>95</v>
      </c>
      <c r="D145" s="5">
        <v>9864.0</v>
      </c>
      <c r="E145" s="6">
        <f t="shared" si="7"/>
        <v>976</v>
      </c>
      <c r="F145" s="7">
        <f t="shared" ref="F145:G145" si="872">ROUND(RAND(),2)</f>
        <v>0.96</v>
      </c>
      <c r="G145" s="7">
        <f t="shared" si="872"/>
        <v>0.22</v>
      </c>
      <c r="H145" s="7">
        <f t="shared" si="9"/>
        <v>5</v>
      </c>
      <c r="I145" s="7">
        <f t="shared" si="10"/>
        <v>13989</v>
      </c>
      <c r="J145" s="7">
        <f t="shared" si="11"/>
        <v>31748</v>
      </c>
      <c r="K145" s="7" t="str">
        <f t="shared" si="12"/>
        <v>B</v>
      </c>
      <c r="L145" s="7" t="str">
        <f t="shared" si="13"/>
        <v>Transformative change</v>
      </c>
      <c r="M145" s="7" t="str">
        <f t="shared" si="14"/>
        <v>Low</v>
      </c>
      <c r="N145" s="7">
        <f t="shared" si="15"/>
        <v>992266</v>
      </c>
      <c r="O145" s="7">
        <f t="shared" si="16"/>
        <v>111397.3348</v>
      </c>
      <c r="P145" s="7">
        <f t="shared" ref="P145:Q145" si="873">RANDBETWEEN(0,22)</f>
        <v>8</v>
      </c>
      <c r="Q145" s="7">
        <f t="shared" si="873"/>
        <v>16</v>
      </c>
      <c r="R145" s="7">
        <f t="shared" ref="R145:T145" si="874">IF(S145=1,1,RANDBETWEEN(0,1))</f>
        <v>1</v>
      </c>
      <c r="S145" s="7">
        <f t="shared" si="874"/>
        <v>1</v>
      </c>
      <c r="T145" s="7">
        <f t="shared" si="874"/>
        <v>1</v>
      </c>
      <c r="U145" s="7">
        <f t="shared" si="19"/>
        <v>0</v>
      </c>
      <c r="V145" s="7">
        <f t="shared" ref="V145:X145" si="875">IF(W145=1,1,RANDBETWEEN(0,1))</f>
        <v>1</v>
      </c>
      <c r="W145" s="7">
        <f t="shared" si="875"/>
        <v>1</v>
      </c>
      <c r="X145" s="7">
        <f t="shared" si="875"/>
        <v>0</v>
      </c>
      <c r="Y145" s="7">
        <f t="shared" si="21"/>
        <v>0</v>
      </c>
      <c r="Z145" s="7">
        <f t="shared" ref="Z145:AB145" si="876">IF(AA145=1,1,RANDBETWEEN(0,1))</f>
        <v>1</v>
      </c>
      <c r="AA145" s="7">
        <f t="shared" si="876"/>
        <v>1</v>
      </c>
      <c r="AB145" s="7">
        <f t="shared" si="876"/>
        <v>1</v>
      </c>
      <c r="AC145" s="7">
        <f t="shared" si="23"/>
        <v>1</v>
      </c>
      <c r="AD145" s="7">
        <f t="shared" ref="AD145:AF145" si="877">IF(AE145=1,1,RANDBETWEEN(0,1))</f>
        <v>1</v>
      </c>
      <c r="AE145" s="7">
        <f t="shared" si="877"/>
        <v>1</v>
      </c>
      <c r="AF145" s="7">
        <f t="shared" si="877"/>
        <v>1</v>
      </c>
      <c r="AG145" s="7">
        <f t="shared" si="25"/>
        <v>1</v>
      </c>
    </row>
    <row r="146">
      <c r="A146" s="4" t="s">
        <v>443</v>
      </c>
      <c r="B146" s="4" t="s">
        <v>444</v>
      </c>
      <c r="C146" s="4" t="s">
        <v>445</v>
      </c>
      <c r="D146" s="5">
        <v>7851.0</v>
      </c>
      <c r="E146" s="6">
        <f t="shared" si="7"/>
        <v>930</v>
      </c>
      <c r="F146" s="7">
        <f t="shared" ref="F146:G146" si="878">ROUND(RAND(),2)</f>
        <v>0.55</v>
      </c>
      <c r="G146" s="7">
        <f t="shared" si="878"/>
        <v>0.18</v>
      </c>
      <c r="H146" s="7">
        <f t="shared" si="9"/>
        <v>5</v>
      </c>
      <c r="I146" s="7">
        <f t="shared" si="10"/>
        <v>68301</v>
      </c>
      <c r="J146" s="7">
        <f t="shared" si="11"/>
        <v>56389</v>
      </c>
      <c r="K146" s="7" t="str">
        <f t="shared" si="12"/>
        <v>D</v>
      </c>
      <c r="L146" s="7" t="str">
        <f t="shared" si="13"/>
        <v>High ambition</v>
      </c>
      <c r="M146" s="7" t="str">
        <f t="shared" si="14"/>
        <v>Medium</v>
      </c>
      <c r="N146" s="7">
        <f t="shared" si="15"/>
        <v>1169202</v>
      </c>
      <c r="O146" s="7">
        <f t="shared" si="16"/>
        <v>772291.4581</v>
      </c>
      <c r="P146" s="7">
        <f t="shared" ref="P146:Q146" si="879">RANDBETWEEN(0,22)</f>
        <v>18</v>
      </c>
      <c r="Q146" s="7">
        <f t="shared" si="879"/>
        <v>12</v>
      </c>
      <c r="R146" s="7">
        <f t="shared" ref="R146:T146" si="880">IF(S146=1,1,RANDBETWEEN(0,1))</f>
        <v>1</v>
      </c>
      <c r="S146" s="7">
        <f t="shared" si="880"/>
        <v>1</v>
      </c>
      <c r="T146" s="7">
        <f t="shared" si="880"/>
        <v>1</v>
      </c>
      <c r="U146" s="7">
        <f t="shared" si="19"/>
        <v>1</v>
      </c>
      <c r="V146" s="7">
        <f t="shared" ref="V146:X146" si="881">IF(W146=1,1,RANDBETWEEN(0,1))</f>
        <v>1</v>
      </c>
      <c r="W146" s="7">
        <f t="shared" si="881"/>
        <v>1</v>
      </c>
      <c r="X146" s="7">
        <f t="shared" si="881"/>
        <v>0</v>
      </c>
      <c r="Y146" s="7">
        <f t="shared" si="21"/>
        <v>0</v>
      </c>
      <c r="Z146" s="7">
        <f t="shared" ref="Z146:AB146" si="882">IF(AA146=1,1,RANDBETWEEN(0,1))</f>
        <v>1</v>
      </c>
      <c r="AA146" s="7">
        <f t="shared" si="882"/>
        <v>0</v>
      </c>
      <c r="AB146" s="7">
        <f t="shared" si="882"/>
        <v>0</v>
      </c>
      <c r="AC146" s="7">
        <f t="shared" si="23"/>
        <v>0</v>
      </c>
      <c r="AD146" s="7">
        <f t="shared" ref="AD146:AF146" si="883">IF(AE146=1,1,RANDBETWEEN(0,1))</f>
        <v>1</v>
      </c>
      <c r="AE146" s="7">
        <f t="shared" si="883"/>
        <v>1</v>
      </c>
      <c r="AF146" s="7">
        <f t="shared" si="883"/>
        <v>1</v>
      </c>
      <c r="AG146" s="7">
        <f t="shared" si="25"/>
        <v>1</v>
      </c>
    </row>
    <row r="147">
      <c r="A147" s="4" t="s">
        <v>446</v>
      </c>
      <c r="B147" s="4" t="s">
        <v>447</v>
      </c>
      <c r="C147" s="4" t="s">
        <v>448</v>
      </c>
      <c r="D147" s="5">
        <v>11688.0</v>
      </c>
      <c r="E147" s="6">
        <f t="shared" si="7"/>
        <v>1008</v>
      </c>
      <c r="F147" s="7">
        <f t="shared" ref="F147:G147" si="884">ROUND(RAND(),2)</f>
        <v>0.14</v>
      </c>
      <c r="G147" s="7">
        <f t="shared" si="884"/>
        <v>0.51</v>
      </c>
      <c r="H147" s="7">
        <f t="shared" si="9"/>
        <v>5</v>
      </c>
      <c r="I147" s="7">
        <f t="shared" si="10"/>
        <v>82975</v>
      </c>
      <c r="J147" s="7">
        <f t="shared" si="11"/>
        <v>53758</v>
      </c>
      <c r="K147" s="7" t="str">
        <f t="shared" si="12"/>
        <v>C</v>
      </c>
      <c r="L147" s="7" t="str">
        <f t="shared" si="13"/>
        <v>Transformative change</v>
      </c>
      <c r="M147" s="7" t="str">
        <f t="shared" si="14"/>
        <v>Medium</v>
      </c>
      <c r="N147" s="7">
        <f t="shared" si="15"/>
        <v>1246517</v>
      </c>
      <c r="O147" s="7">
        <f t="shared" si="16"/>
        <v>469468.1775</v>
      </c>
      <c r="P147" s="7">
        <f t="shared" ref="P147:Q147" si="885">RANDBETWEEN(0,22)</f>
        <v>1</v>
      </c>
      <c r="Q147" s="7">
        <f t="shared" si="885"/>
        <v>3</v>
      </c>
      <c r="R147" s="7">
        <f t="shared" ref="R147:T147" si="886">IF(S147=1,1,RANDBETWEEN(0,1))</f>
        <v>1</v>
      </c>
      <c r="S147" s="7">
        <f t="shared" si="886"/>
        <v>1</v>
      </c>
      <c r="T147" s="7">
        <f t="shared" si="886"/>
        <v>1</v>
      </c>
      <c r="U147" s="7">
        <f t="shared" si="19"/>
        <v>0</v>
      </c>
      <c r="V147" s="7">
        <f t="shared" ref="V147:X147" si="887">IF(W147=1,1,RANDBETWEEN(0,1))</f>
        <v>1</v>
      </c>
      <c r="W147" s="7">
        <f t="shared" si="887"/>
        <v>1</v>
      </c>
      <c r="X147" s="7">
        <f t="shared" si="887"/>
        <v>1</v>
      </c>
      <c r="Y147" s="7">
        <f t="shared" si="21"/>
        <v>1</v>
      </c>
      <c r="Z147" s="7">
        <f t="shared" ref="Z147:AB147" si="888">IF(AA147=1,1,RANDBETWEEN(0,1))</f>
        <v>1</v>
      </c>
      <c r="AA147" s="7">
        <f t="shared" si="888"/>
        <v>1</v>
      </c>
      <c r="AB147" s="7">
        <f t="shared" si="888"/>
        <v>1</v>
      </c>
      <c r="AC147" s="7">
        <f t="shared" si="23"/>
        <v>0</v>
      </c>
      <c r="AD147" s="7">
        <f t="shared" ref="AD147:AF147" si="889">IF(AE147=1,1,RANDBETWEEN(0,1))</f>
        <v>1</v>
      </c>
      <c r="AE147" s="7">
        <f t="shared" si="889"/>
        <v>1</v>
      </c>
      <c r="AF147" s="7">
        <f t="shared" si="889"/>
        <v>1</v>
      </c>
      <c r="AG147" s="7">
        <f t="shared" si="25"/>
        <v>1</v>
      </c>
    </row>
    <row r="148">
      <c r="A148" s="4" t="s">
        <v>449</v>
      </c>
      <c r="B148" s="4" t="s">
        <v>450</v>
      </c>
      <c r="C148" s="4" t="s">
        <v>451</v>
      </c>
      <c r="D148" s="5">
        <v>9702.0</v>
      </c>
      <c r="E148" s="6">
        <f t="shared" si="7"/>
        <v>819</v>
      </c>
      <c r="F148" s="7">
        <f t="shared" ref="F148:G148" si="890">ROUND(RAND(),2)</f>
        <v>0.42</v>
      </c>
      <c r="G148" s="7">
        <f t="shared" si="890"/>
        <v>0.58</v>
      </c>
      <c r="H148" s="7">
        <f t="shared" si="9"/>
        <v>1</v>
      </c>
      <c r="I148" s="7">
        <f t="shared" si="10"/>
        <v>50690</v>
      </c>
      <c r="J148" s="7">
        <f t="shared" si="11"/>
        <v>17400</v>
      </c>
      <c r="K148" s="7" t="str">
        <f t="shared" si="12"/>
        <v>E</v>
      </c>
      <c r="L148" s="7" t="str">
        <f t="shared" si="13"/>
        <v>Transformative change</v>
      </c>
      <c r="M148" s="7" t="str">
        <f t="shared" si="14"/>
        <v>High</v>
      </c>
      <c r="N148" s="7">
        <f t="shared" si="15"/>
        <v>2390636</v>
      </c>
      <c r="O148" s="7">
        <f t="shared" si="16"/>
        <v>1350168.177</v>
      </c>
      <c r="P148" s="7">
        <f t="shared" ref="P148:Q148" si="891">RANDBETWEEN(0,22)</f>
        <v>0</v>
      </c>
      <c r="Q148" s="7">
        <f t="shared" si="891"/>
        <v>16</v>
      </c>
      <c r="R148" s="7">
        <f t="shared" ref="R148:T148" si="892">IF(S148=1,1,RANDBETWEEN(0,1))</f>
        <v>1</v>
      </c>
      <c r="S148" s="7">
        <f t="shared" si="892"/>
        <v>1</v>
      </c>
      <c r="T148" s="7">
        <f t="shared" si="892"/>
        <v>1</v>
      </c>
      <c r="U148" s="7">
        <f t="shared" si="19"/>
        <v>1</v>
      </c>
      <c r="V148" s="7">
        <f t="shared" ref="V148:X148" si="893">IF(W148=1,1,RANDBETWEEN(0,1))</f>
        <v>1</v>
      </c>
      <c r="W148" s="7">
        <f t="shared" si="893"/>
        <v>1</v>
      </c>
      <c r="X148" s="7">
        <f t="shared" si="893"/>
        <v>1</v>
      </c>
      <c r="Y148" s="7">
        <f t="shared" si="21"/>
        <v>1</v>
      </c>
      <c r="Z148" s="7">
        <f t="shared" ref="Z148:AB148" si="894">IF(AA148=1,1,RANDBETWEEN(0,1))</f>
        <v>1</v>
      </c>
      <c r="AA148" s="7">
        <f t="shared" si="894"/>
        <v>1</v>
      </c>
      <c r="AB148" s="7">
        <f t="shared" si="894"/>
        <v>1</v>
      </c>
      <c r="AC148" s="7">
        <f t="shared" si="23"/>
        <v>0</v>
      </c>
      <c r="AD148" s="7">
        <f t="shared" ref="AD148:AF148" si="895">IF(AE148=1,1,RANDBETWEEN(0,1))</f>
        <v>1</v>
      </c>
      <c r="AE148" s="7">
        <f t="shared" si="895"/>
        <v>1</v>
      </c>
      <c r="AF148" s="7">
        <f t="shared" si="895"/>
        <v>1</v>
      </c>
      <c r="AG148" s="7">
        <f t="shared" si="25"/>
        <v>1</v>
      </c>
    </row>
    <row r="149">
      <c r="A149" s="4" t="s">
        <v>452</v>
      </c>
      <c r="B149" s="4" t="s">
        <v>453</v>
      </c>
      <c r="C149" s="4" t="s">
        <v>454</v>
      </c>
      <c r="D149" s="5">
        <v>12739.0</v>
      </c>
      <c r="E149" s="6">
        <f t="shared" si="7"/>
        <v>852</v>
      </c>
      <c r="F149" s="7">
        <f t="shared" ref="F149:G149" si="896">ROUND(RAND(),2)</f>
        <v>0.37</v>
      </c>
      <c r="G149" s="7">
        <f t="shared" si="896"/>
        <v>0.27</v>
      </c>
      <c r="H149" s="7">
        <f t="shared" si="9"/>
        <v>2</v>
      </c>
      <c r="I149" s="7">
        <f t="shared" si="10"/>
        <v>34111</v>
      </c>
      <c r="J149" s="7">
        <f t="shared" si="11"/>
        <v>26499</v>
      </c>
      <c r="K149" s="7" t="str">
        <f t="shared" si="12"/>
        <v>G</v>
      </c>
      <c r="L149" s="7" t="str">
        <f t="shared" si="13"/>
        <v>Transformative change</v>
      </c>
      <c r="M149" s="7" t="str">
        <f t="shared" si="14"/>
        <v>Medium</v>
      </c>
      <c r="N149" s="7">
        <f t="shared" si="15"/>
        <v>1498653</v>
      </c>
      <c r="O149" s="7">
        <f t="shared" si="16"/>
        <v>587292.7382</v>
      </c>
      <c r="P149" s="7">
        <f t="shared" ref="P149:Q149" si="897">RANDBETWEEN(0,22)</f>
        <v>13</v>
      </c>
      <c r="Q149" s="7">
        <f t="shared" si="897"/>
        <v>7</v>
      </c>
      <c r="R149" s="7">
        <f t="shared" ref="R149:T149" si="898">IF(S149=1,1,RANDBETWEEN(0,1))</f>
        <v>1</v>
      </c>
      <c r="S149" s="7">
        <f t="shared" si="898"/>
        <v>1</v>
      </c>
      <c r="T149" s="7">
        <f t="shared" si="898"/>
        <v>1</v>
      </c>
      <c r="U149" s="7">
        <f t="shared" si="19"/>
        <v>1</v>
      </c>
      <c r="V149" s="7">
        <f t="shared" ref="V149:X149" si="899">IF(W149=1,1,RANDBETWEEN(0,1))</f>
        <v>1</v>
      </c>
      <c r="W149" s="7">
        <f t="shared" si="899"/>
        <v>1</v>
      </c>
      <c r="X149" s="7">
        <f t="shared" si="899"/>
        <v>1</v>
      </c>
      <c r="Y149" s="7">
        <f t="shared" si="21"/>
        <v>1</v>
      </c>
      <c r="Z149" s="7">
        <f t="shared" ref="Z149:AB149" si="900">IF(AA149=1,1,RANDBETWEEN(0,1))</f>
        <v>1</v>
      </c>
      <c r="AA149" s="7">
        <f t="shared" si="900"/>
        <v>1</v>
      </c>
      <c r="AB149" s="7">
        <f t="shared" si="900"/>
        <v>1</v>
      </c>
      <c r="AC149" s="7">
        <f t="shared" si="23"/>
        <v>0</v>
      </c>
      <c r="AD149" s="7">
        <f t="shared" ref="AD149:AF149" si="901">IF(AE149=1,1,RANDBETWEEN(0,1))</f>
        <v>1</v>
      </c>
      <c r="AE149" s="7">
        <f t="shared" si="901"/>
        <v>1</v>
      </c>
      <c r="AF149" s="7">
        <f t="shared" si="901"/>
        <v>0</v>
      </c>
      <c r="AG149" s="7">
        <f t="shared" si="25"/>
        <v>0</v>
      </c>
    </row>
    <row r="150">
      <c r="A150" s="4" t="s">
        <v>455</v>
      </c>
      <c r="B150" s="4" t="s">
        <v>456</v>
      </c>
      <c r="C150" s="4" t="s">
        <v>95</v>
      </c>
      <c r="D150" s="5">
        <v>154600.0</v>
      </c>
      <c r="E150" s="6">
        <f t="shared" si="7"/>
        <v>929</v>
      </c>
      <c r="F150" s="7">
        <f t="shared" ref="F150:G150" si="902">ROUND(RAND(),2)</f>
        <v>0.16</v>
      </c>
      <c r="G150" s="7">
        <f t="shared" si="902"/>
        <v>0.04</v>
      </c>
      <c r="H150" s="7">
        <f t="shared" si="9"/>
        <v>1</v>
      </c>
      <c r="I150" s="7">
        <f t="shared" si="10"/>
        <v>95790</v>
      </c>
      <c r="J150" s="7">
        <f t="shared" si="11"/>
        <v>56985</v>
      </c>
      <c r="K150" s="7" t="str">
        <f t="shared" si="12"/>
        <v>E</v>
      </c>
      <c r="L150" s="7" t="str">
        <f t="shared" si="13"/>
        <v>High ambition</v>
      </c>
      <c r="M150" s="7" t="str">
        <f t="shared" si="14"/>
        <v>Low</v>
      </c>
      <c r="N150" s="7">
        <f t="shared" si="15"/>
        <v>414387</v>
      </c>
      <c r="O150" s="7">
        <f t="shared" si="16"/>
        <v>160532.2772</v>
      </c>
      <c r="P150" s="7">
        <f t="shared" ref="P150:Q150" si="903">RANDBETWEEN(0,22)</f>
        <v>18</v>
      </c>
      <c r="Q150" s="7">
        <f t="shared" si="903"/>
        <v>19</v>
      </c>
      <c r="R150" s="7">
        <f t="shared" ref="R150:T150" si="904">IF(S150=1,1,RANDBETWEEN(0,1))</f>
        <v>1</v>
      </c>
      <c r="S150" s="7">
        <f t="shared" si="904"/>
        <v>1</v>
      </c>
      <c r="T150" s="7">
        <f t="shared" si="904"/>
        <v>1</v>
      </c>
      <c r="U150" s="7">
        <f t="shared" si="19"/>
        <v>0</v>
      </c>
      <c r="V150" s="7">
        <f t="shared" ref="V150:X150" si="905">IF(W150=1,1,RANDBETWEEN(0,1))</f>
        <v>1</v>
      </c>
      <c r="W150" s="7">
        <f t="shared" si="905"/>
        <v>1</v>
      </c>
      <c r="X150" s="7">
        <f t="shared" si="905"/>
        <v>1</v>
      </c>
      <c r="Y150" s="7">
        <f t="shared" si="21"/>
        <v>0</v>
      </c>
      <c r="Z150" s="7">
        <f t="shared" ref="Z150:AB150" si="906">IF(AA150=1,1,RANDBETWEEN(0,1))</f>
        <v>1</v>
      </c>
      <c r="AA150" s="7">
        <f t="shared" si="906"/>
        <v>1</v>
      </c>
      <c r="AB150" s="7">
        <f t="shared" si="906"/>
        <v>1</v>
      </c>
      <c r="AC150" s="7">
        <f t="shared" si="23"/>
        <v>1</v>
      </c>
      <c r="AD150" s="7">
        <f t="shared" ref="AD150:AF150" si="907">IF(AE150=1,1,RANDBETWEEN(0,1))</f>
        <v>1</v>
      </c>
      <c r="AE150" s="7">
        <f t="shared" si="907"/>
        <v>1</v>
      </c>
      <c r="AF150" s="7">
        <f t="shared" si="907"/>
        <v>1</v>
      </c>
      <c r="AG150" s="7">
        <f t="shared" si="25"/>
        <v>1</v>
      </c>
    </row>
    <row r="151">
      <c r="A151" s="4" t="s">
        <v>457</v>
      </c>
      <c r="B151" s="4" t="s">
        <v>458</v>
      </c>
      <c r="C151" s="4" t="s">
        <v>459</v>
      </c>
      <c r="D151" s="5">
        <v>5165.0</v>
      </c>
      <c r="E151" s="6">
        <f t="shared" si="7"/>
        <v>888</v>
      </c>
      <c r="F151" s="7">
        <f t="shared" ref="F151:G151" si="908">ROUND(RAND(),2)</f>
        <v>0.42</v>
      </c>
      <c r="G151" s="7">
        <f t="shared" si="908"/>
        <v>0.42</v>
      </c>
      <c r="H151" s="7">
        <f t="shared" si="9"/>
        <v>1</v>
      </c>
      <c r="I151" s="7">
        <f t="shared" si="10"/>
        <v>2781</v>
      </c>
      <c r="J151" s="7">
        <f t="shared" si="11"/>
        <v>49186</v>
      </c>
      <c r="K151" s="7" t="str">
        <f t="shared" si="12"/>
        <v>E</v>
      </c>
      <c r="L151" s="7" t="str">
        <f t="shared" si="13"/>
        <v>Transformative change</v>
      </c>
      <c r="M151" s="7" t="str">
        <f t="shared" si="14"/>
        <v>High</v>
      </c>
      <c r="N151" s="7">
        <f t="shared" si="15"/>
        <v>845189</v>
      </c>
      <c r="O151" s="7">
        <f t="shared" si="16"/>
        <v>642537.6427</v>
      </c>
      <c r="P151" s="7">
        <f t="shared" ref="P151:Q151" si="909">RANDBETWEEN(0,22)</f>
        <v>22</v>
      </c>
      <c r="Q151" s="7">
        <f t="shared" si="909"/>
        <v>7</v>
      </c>
      <c r="R151" s="7">
        <f t="shared" ref="R151:T151" si="910">IF(S151=1,1,RANDBETWEEN(0,1))</f>
        <v>1</v>
      </c>
      <c r="S151" s="7">
        <f t="shared" si="910"/>
        <v>1</v>
      </c>
      <c r="T151" s="7">
        <f t="shared" si="910"/>
        <v>0</v>
      </c>
      <c r="U151" s="7">
        <f t="shared" si="19"/>
        <v>0</v>
      </c>
      <c r="V151" s="7">
        <f t="shared" ref="V151:X151" si="911">IF(W151=1,1,RANDBETWEEN(0,1))</f>
        <v>1</v>
      </c>
      <c r="W151" s="7">
        <f t="shared" si="911"/>
        <v>1</v>
      </c>
      <c r="X151" s="7">
        <f t="shared" si="911"/>
        <v>1</v>
      </c>
      <c r="Y151" s="7">
        <f t="shared" si="21"/>
        <v>1</v>
      </c>
      <c r="Z151" s="7">
        <f t="shared" ref="Z151:AB151" si="912">IF(AA151=1,1,RANDBETWEEN(0,1))</f>
        <v>1</v>
      </c>
      <c r="AA151" s="7">
        <f t="shared" si="912"/>
        <v>1</v>
      </c>
      <c r="AB151" s="7">
        <f t="shared" si="912"/>
        <v>1</v>
      </c>
      <c r="AC151" s="7">
        <f t="shared" si="23"/>
        <v>1</v>
      </c>
      <c r="AD151" s="7">
        <f t="shared" ref="AD151:AF151" si="913">IF(AE151=1,1,RANDBETWEEN(0,1))</f>
        <v>1</v>
      </c>
      <c r="AE151" s="7">
        <f t="shared" si="913"/>
        <v>1</v>
      </c>
      <c r="AF151" s="7">
        <f t="shared" si="913"/>
        <v>1</v>
      </c>
      <c r="AG151" s="7">
        <f t="shared" si="25"/>
        <v>1</v>
      </c>
    </row>
    <row r="152">
      <c r="A152" s="4" t="s">
        <v>460</v>
      </c>
      <c r="B152" s="4" t="s">
        <v>461</v>
      </c>
      <c r="C152" s="4" t="s">
        <v>95</v>
      </c>
      <c r="D152" s="5">
        <v>18218.0</v>
      </c>
      <c r="E152" s="6">
        <f t="shared" si="7"/>
        <v>1019</v>
      </c>
      <c r="F152" s="7">
        <f t="shared" ref="F152:G152" si="914">ROUND(RAND(),2)</f>
        <v>0.92</v>
      </c>
      <c r="G152" s="7">
        <f t="shared" si="914"/>
        <v>0.5</v>
      </c>
      <c r="H152" s="7">
        <f t="shared" si="9"/>
        <v>4</v>
      </c>
      <c r="I152" s="7">
        <f t="shared" si="10"/>
        <v>73869</v>
      </c>
      <c r="J152" s="7">
        <f t="shared" si="11"/>
        <v>32972</v>
      </c>
      <c r="K152" s="7" t="str">
        <f t="shared" si="12"/>
        <v>G</v>
      </c>
      <c r="L152" s="7" t="str">
        <f t="shared" si="13"/>
        <v>High ambition</v>
      </c>
      <c r="M152" s="7" t="str">
        <f t="shared" si="14"/>
        <v>Low</v>
      </c>
      <c r="N152" s="7">
        <f t="shared" si="15"/>
        <v>2672582</v>
      </c>
      <c r="O152" s="7">
        <f t="shared" si="16"/>
        <v>42281.36923</v>
      </c>
      <c r="P152" s="7">
        <f t="shared" ref="P152:Q152" si="915">RANDBETWEEN(0,22)</f>
        <v>0</v>
      </c>
      <c r="Q152" s="7">
        <f t="shared" si="915"/>
        <v>17</v>
      </c>
      <c r="R152" s="7">
        <f t="shared" ref="R152:T152" si="916">IF(S152=1,1,RANDBETWEEN(0,1))</f>
        <v>1</v>
      </c>
      <c r="S152" s="7">
        <f t="shared" si="916"/>
        <v>1</v>
      </c>
      <c r="T152" s="7">
        <f t="shared" si="916"/>
        <v>1</v>
      </c>
      <c r="U152" s="7">
        <f t="shared" si="19"/>
        <v>1</v>
      </c>
      <c r="V152" s="7">
        <f t="shared" ref="V152:X152" si="917">IF(W152=1,1,RANDBETWEEN(0,1))</f>
        <v>1</v>
      </c>
      <c r="W152" s="7">
        <f t="shared" si="917"/>
        <v>1</v>
      </c>
      <c r="X152" s="7">
        <f t="shared" si="917"/>
        <v>1</v>
      </c>
      <c r="Y152" s="7">
        <f t="shared" si="21"/>
        <v>1</v>
      </c>
      <c r="Z152" s="7">
        <f t="shared" ref="Z152:AB152" si="918">IF(AA152=1,1,RANDBETWEEN(0,1))</f>
        <v>1</v>
      </c>
      <c r="AA152" s="7">
        <f t="shared" si="918"/>
        <v>1</v>
      </c>
      <c r="AB152" s="7">
        <f t="shared" si="918"/>
        <v>0</v>
      </c>
      <c r="AC152" s="7">
        <f t="shared" si="23"/>
        <v>0</v>
      </c>
      <c r="AD152" s="7">
        <f t="shared" ref="AD152:AF152" si="919">IF(AE152=1,1,RANDBETWEEN(0,1))</f>
        <v>1</v>
      </c>
      <c r="AE152" s="7">
        <f t="shared" si="919"/>
        <v>1</v>
      </c>
      <c r="AF152" s="7">
        <f t="shared" si="919"/>
        <v>1</v>
      </c>
      <c r="AG152" s="7">
        <f t="shared" si="25"/>
        <v>1</v>
      </c>
    </row>
    <row r="153">
      <c r="A153" s="4" t="s">
        <v>462</v>
      </c>
      <c r="B153" s="4" t="s">
        <v>463</v>
      </c>
      <c r="C153" s="4" t="s">
        <v>95</v>
      </c>
      <c r="D153" s="5">
        <v>5862.0</v>
      </c>
      <c r="E153" s="6">
        <f t="shared" si="7"/>
        <v>1060</v>
      </c>
      <c r="F153" s="7">
        <f t="shared" ref="F153:G153" si="920">ROUND(RAND(),2)</f>
        <v>0.1</v>
      </c>
      <c r="G153" s="7">
        <f t="shared" si="920"/>
        <v>0.19</v>
      </c>
      <c r="H153" s="7">
        <f t="shared" si="9"/>
        <v>4</v>
      </c>
      <c r="I153" s="7">
        <f t="shared" si="10"/>
        <v>47227</v>
      </c>
      <c r="J153" s="7">
        <f t="shared" si="11"/>
        <v>7043</v>
      </c>
      <c r="K153" s="7" t="str">
        <f t="shared" si="12"/>
        <v>A</v>
      </c>
      <c r="L153" s="7" t="str">
        <f t="shared" si="13"/>
        <v>High ambition</v>
      </c>
      <c r="M153" s="7" t="str">
        <f t="shared" si="14"/>
        <v>Medium</v>
      </c>
      <c r="N153" s="7">
        <f t="shared" si="15"/>
        <v>3449636</v>
      </c>
      <c r="O153" s="7">
        <f t="shared" si="16"/>
        <v>3340219.201</v>
      </c>
      <c r="P153" s="7">
        <f t="shared" ref="P153:Q153" si="921">RANDBETWEEN(0,22)</f>
        <v>15</v>
      </c>
      <c r="Q153" s="7">
        <f t="shared" si="921"/>
        <v>2</v>
      </c>
      <c r="R153" s="7">
        <f t="shared" ref="R153:T153" si="922">IF(S153=1,1,RANDBETWEEN(0,1))</f>
        <v>1</v>
      </c>
      <c r="S153" s="7">
        <f t="shared" si="922"/>
        <v>1</v>
      </c>
      <c r="T153" s="7">
        <f t="shared" si="922"/>
        <v>1</v>
      </c>
      <c r="U153" s="7">
        <f t="shared" si="19"/>
        <v>0</v>
      </c>
      <c r="V153" s="7">
        <f t="shared" ref="V153:X153" si="923">IF(W153=1,1,RANDBETWEEN(0,1))</f>
        <v>1</v>
      </c>
      <c r="W153" s="7">
        <f t="shared" si="923"/>
        <v>1</v>
      </c>
      <c r="X153" s="7">
        <f t="shared" si="923"/>
        <v>1</v>
      </c>
      <c r="Y153" s="7">
        <f t="shared" si="21"/>
        <v>1</v>
      </c>
      <c r="Z153" s="7">
        <f t="shared" ref="Z153:AB153" si="924">IF(AA153=1,1,RANDBETWEEN(0,1))</f>
        <v>1</v>
      </c>
      <c r="AA153" s="7">
        <f t="shared" si="924"/>
        <v>1</v>
      </c>
      <c r="AB153" s="7">
        <f t="shared" si="924"/>
        <v>1</v>
      </c>
      <c r="AC153" s="7">
        <f t="shared" si="23"/>
        <v>1</v>
      </c>
      <c r="AD153" s="7">
        <f t="shared" ref="AD153:AF153" si="925">IF(AE153=1,1,RANDBETWEEN(0,1))</f>
        <v>1</v>
      </c>
      <c r="AE153" s="7">
        <f t="shared" si="925"/>
        <v>1</v>
      </c>
      <c r="AF153" s="7">
        <f t="shared" si="925"/>
        <v>1</v>
      </c>
      <c r="AG153" s="7">
        <f t="shared" si="25"/>
        <v>0</v>
      </c>
    </row>
    <row r="154">
      <c r="A154" s="4" t="s">
        <v>464</v>
      </c>
      <c r="B154" s="4" t="s">
        <v>465</v>
      </c>
      <c r="C154" s="4" t="s">
        <v>95</v>
      </c>
      <c r="D154" s="5">
        <v>93321.0</v>
      </c>
      <c r="E154" s="6">
        <f t="shared" si="7"/>
        <v>932</v>
      </c>
      <c r="F154" s="7">
        <f t="shared" ref="F154:G154" si="926">ROUND(RAND(),2)</f>
        <v>0.61</v>
      </c>
      <c r="G154" s="7">
        <f t="shared" si="926"/>
        <v>0.7</v>
      </c>
      <c r="H154" s="7">
        <f t="shared" si="9"/>
        <v>1</v>
      </c>
      <c r="I154" s="7">
        <f t="shared" si="10"/>
        <v>16198</v>
      </c>
      <c r="J154" s="7">
        <f t="shared" si="11"/>
        <v>13081</v>
      </c>
      <c r="K154" s="7" t="str">
        <f t="shared" si="12"/>
        <v>C</v>
      </c>
      <c r="L154" s="7" t="str">
        <f t="shared" si="13"/>
        <v>Transformative change</v>
      </c>
      <c r="M154" s="7" t="str">
        <f t="shared" si="14"/>
        <v>Medium</v>
      </c>
      <c r="N154" s="7">
        <f t="shared" si="15"/>
        <v>2726408</v>
      </c>
      <c r="O154" s="7">
        <f t="shared" si="16"/>
        <v>2307612.171</v>
      </c>
      <c r="P154" s="7">
        <f t="shared" ref="P154:Q154" si="927">RANDBETWEEN(0,22)</f>
        <v>9</v>
      </c>
      <c r="Q154" s="7">
        <f t="shared" si="927"/>
        <v>22</v>
      </c>
      <c r="R154" s="7">
        <f t="shared" ref="R154:T154" si="928">IF(S154=1,1,RANDBETWEEN(0,1))</f>
        <v>1</v>
      </c>
      <c r="S154" s="7">
        <f t="shared" si="928"/>
        <v>1</v>
      </c>
      <c r="T154" s="7">
        <f t="shared" si="928"/>
        <v>1</v>
      </c>
      <c r="U154" s="7">
        <f t="shared" si="19"/>
        <v>0</v>
      </c>
      <c r="V154" s="7">
        <f t="shared" ref="V154:X154" si="929">IF(W154=1,1,RANDBETWEEN(0,1))</f>
        <v>1</v>
      </c>
      <c r="W154" s="7">
        <f t="shared" si="929"/>
        <v>1</v>
      </c>
      <c r="X154" s="7">
        <f t="shared" si="929"/>
        <v>1</v>
      </c>
      <c r="Y154" s="7">
        <f t="shared" si="21"/>
        <v>1</v>
      </c>
      <c r="Z154" s="7">
        <f t="shared" ref="Z154:AB154" si="930">IF(AA154=1,1,RANDBETWEEN(0,1))</f>
        <v>1</v>
      </c>
      <c r="AA154" s="7">
        <f t="shared" si="930"/>
        <v>1</v>
      </c>
      <c r="AB154" s="7">
        <f t="shared" si="930"/>
        <v>0</v>
      </c>
      <c r="AC154" s="7">
        <f t="shared" si="23"/>
        <v>0</v>
      </c>
      <c r="AD154" s="7">
        <f t="shared" ref="AD154:AF154" si="931">IF(AE154=1,1,RANDBETWEEN(0,1))</f>
        <v>1</v>
      </c>
      <c r="AE154" s="7">
        <f t="shared" si="931"/>
        <v>1</v>
      </c>
      <c r="AF154" s="7">
        <f t="shared" si="931"/>
        <v>1</v>
      </c>
      <c r="AG154" s="7">
        <f t="shared" si="25"/>
        <v>1</v>
      </c>
    </row>
    <row r="155">
      <c r="A155" s="4" t="s">
        <v>466</v>
      </c>
      <c r="B155" s="4" t="s">
        <v>467</v>
      </c>
      <c r="C155" s="4" t="s">
        <v>468</v>
      </c>
      <c r="D155" s="5">
        <v>15811.0</v>
      </c>
      <c r="E155" s="6">
        <f t="shared" si="7"/>
        <v>839</v>
      </c>
      <c r="F155" s="7">
        <f t="shared" ref="F155:G155" si="932">ROUND(RAND(),2)</f>
        <v>0.74</v>
      </c>
      <c r="G155" s="7">
        <f t="shared" si="932"/>
        <v>0.33</v>
      </c>
      <c r="H155" s="7">
        <f t="shared" si="9"/>
        <v>5</v>
      </c>
      <c r="I155" s="7">
        <f t="shared" si="10"/>
        <v>16630</v>
      </c>
      <c r="J155" s="7">
        <f t="shared" si="11"/>
        <v>7639</v>
      </c>
      <c r="K155" s="7" t="str">
        <f t="shared" si="12"/>
        <v>C</v>
      </c>
      <c r="L155" s="7" t="str">
        <f t="shared" si="13"/>
        <v>High ambition</v>
      </c>
      <c r="M155" s="7" t="str">
        <f t="shared" si="14"/>
        <v>Low</v>
      </c>
      <c r="N155" s="7">
        <f t="shared" si="15"/>
        <v>424735</v>
      </c>
      <c r="O155" s="7">
        <f t="shared" si="16"/>
        <v>41563.28544</v>
      </c>
      <c r="P155" s="7">
        <f t="shared" ref="P155:Q155" si="933">RANDBETWEEN(0,22)</f>
        <v>3</v>
      </c>
      <c r="Q155" s="7">
        <f t="shared" si="933"/>
        <v>11</v>
      </c>
      <c r="R155" s="7">
        <f t="shared" ref="R155:T155" si="934">IF(S155=1,1,RANDBETWEEN(0,1))</f>
        <v>1</v>
      </c>
      <c r="S155" s="7">
        <f t="shared" si="934"/>
        <v>1</v>
      </c>
      <c r="T155" s="7">
        <f t="shared" si="934"/>
        <v>1</v>
      </c>
      <c r="U155" s="7">
        <f t="shared" si="19"/>
        <v>1</v>
      </c>
      <c r="V155" s="7">
        <f t="shared" ref="V155:X155" si="935">IF(W155=1,1,RANDBETWEEN(0,1))</f>
        <v>1</v>
      </c>
      <c r="W155" s="7">
        <f t="shared" si="935"/>
        <v>1</v>
      </c>
      <c r="X155" s="7">
        <f t="shared" si="935"/>
        <v>1</v>
      </c>
      <c r="Y155" s="7">
        <f t="shared" si="21"/>
        <v>1</v>
      </c>
      <c r="Z155" s="7">
        <f t="shared" ref="Z155:AB155" si="936">IF(AA155=1,1,RANDBETWEEN(0,1))</f>
        <v>1</v>
      </c>
      <c r="AA155" s="7">
        <f t="shared" si="936"/>
        <v>1</v>
      </c>
      <c r="AB155" s="7">
        <f t="shared" si="936"/>
        <v>1</v>
      </c>
      <c r="AC155" s="7">
        <f t="shared" si="23"/>
        <v>1</v>
      </c>
      <c r="AD155" s="7">
        <f t="shared" ref="AD155:AF155" si="937">IF(AE155=1,1,RANDBETWEEN(0,1))</f>
        <v>1</v>
      </c>
      <c r="AE155" s="7">
        <f t="shared" si="937"/>
        <v>1</v>
      </c>
      <c r="AF155" s="7">
        <f t="shared" si="937"/>
        <v>1</v>
      </c>
      <c r="AG155" s="7">
        <f t="shared" si="25"/>
        <v>0</v>
      </c>
    </row>
    <row r="156">
      <c r="A156" s="4" t="s">
        <v>469</v>
      </c>
      <c r="B156" s="4" t="s">
        <v>470</v>
      </c>
      <c r="C156" s="4" t="s">
        <v>471</v>
      </c>
      <c r="D156" s="5">
        <v>237720.0</v>
      </c>
      <c r="E156" s="6">
        <f t="shared" si="7"/>
        <v>1026</v>
      </c>
      <c r="F156" s="7">
        <f t="shared" ref="F156:G156" si="938">ROUND(RAND(),2)</f>
        <v>0.57</v>
      </c>
      <c r="G156" s="7">
        <f t="shared" si="938"/>
        <v>0.12</v>
      </c>
      <c r="H156" s="7">
        <f t="shared" si="9"/>
        <v>4</v>
      </c>
      <c r="I156" s="7">
        <f t="shared" si="10"/>
        <v>42617</v>
      </c>
      <c r="J156" s="7">
        <f t="shared" si="11"/>
        <v>9012</v>
      </c>
      <c r="K156" s="7" t="str">
        <f t="shared" si="12"/>
        <v>B</v>
      </c>
      <c r="L156" s="7" t="str">
        <f t="shared" si="13"/>
        <v>Transformative change</v>
      </c>
      <c r="M156" s="7" t="str">
        <f t="shared" si="14"/>
        <v>Low</v>
      </c>
      <c r="N156" s="7">
        <f t="shared" si="15"/>
        <v>783092</v>
      </c>
      <c r="O156" s="7">
        <f t="shared" si="16"/>
        <v>506517.8541</v>
      </c>
      <c r="P156" s="7">
        <f t="shared" ref="P156:Q156" si="939">RANDBETWEEN(0,22)</f>
        <v>18</v>
      </c>
      <c r="Q156" s="7">
        <f t="shared" si="939"/>
        <v>17</v>
      </c>
      <c r="R156" s="7">
        <f t="shared" ref="R156:T156" si="940">IF(S156=1,1,RANDBETWEEN(0,1))</f>
        <v>0</v>
      </c>
      <c r="S156" s="7">
        <f t="shared" si="940"/>
        <v>0</v>
      </c>
      <c r="T156" s="7">
        <f t="shared" si="940"/>
        <v>0</v>
      </c>
      <c r="U156" s="7">
        <f t="shared" si="19"/>
        <v>0</v>
      </c>
      <c r="V156" s="7">
        <f t="shared" ref="V156:X156" si="941">IF(W156=1,1,RANDBETWEEN(0,1))</f>
        <v>1</v>
      </c>
      <c r="W156" s="7">
        <f t="shared" si="941"/>
        <v>1</v>
      </c>
      <c r="X156" s="7">
        <f t="shared" si="941"/>
        <v>1</v>
      </c>
      <c r="Y156" s="7">
        <f t="shared" si="21"/>
        <v>0</v>
      </c>
      <c r="Z156" s="7">
        <f t="shared" ref="Z156:AB156" si="942">IF(AA156=1,1,RANDBETWEEN(0,1))</f>
        <v>1</v>
      </c>
      <c r="AA156" s="7">
        <f t="shared" si="942"/>
        <v>0</v>
      </c>
      <c r="AB156" s="7">
        <f t="shared" si="942"/>
        <v>0</v>
      </c>
      <c r="AC156" s="7">
        <f t="shared" si="23"/>
        <v>0</v>
      </c>
      <c r="AD156" s="7">
        <f t="shared" ref="AD156:AF156" si="943">IF(AE156=1,1,RANDBETWEEN(0,1))</f>
        <v>1</v>
      </c>
      <c r="AE156" s="7">
        <f t="shared" si="943"/>
        <v>1</v>
      </c>
      <c r="AF156" s="7">
        <f t="shared" si="943"/>
        <v>1</v>
      </c>
      <c r="AG156" s="7">
        <f t="shared" si="25"/>
        <v>1</v>
      </c>
    </row>
    <row r="157">
      <c r="A157" s="4" t="s">
        <v>472</v>
      </c>
      <c r="B157" s="4" t="s">
        <v>473</v>
      </c>
      <c r="C157" s="4" t="s">
        <v>474</v>
      </c>
      <c r="D157" s="5">
        <v>10402.0</v>
      </c>
      <c r="E157" s="6">
        <f t="shared" si="7"/>
        <v>803</v>
      </c>
      <c r="F157" s="7">
        <f t="shared" ref="F157:G157" si="944">ROUND(RAND(),2)</f>
        <v>0.37</v>
      </c>
      <c r="G157" s="7">
        <f t="shared" si="944"/>
        <v>0.09</v>
      </c>
      <c r="H157" s="7">
        <f t="shared" si="9"/>
        <v>4</v>
      </c>
      <c r="I157" s="7">
        <f t="shared" si="10"/>
        <v>6542</v>
      </c>
      <c r="J157" s="7">
        <f t="shared" si="11"/>
        <v>61967</v>
      </c>
      <c r="K157" s="7" t="str">
        <f t="shared" si="12"/>
        <v>B</v>
      </c>
      <c r="L157" s="7" t="str">
        <f t="shared" si="13"/>
        <v>Transformative change</v>
      </c>
      <c r="M157" s="7" t="str">
        <f t="shared" si="14"/>
        <v>High</v>
      </c>
      <c r="N157" s="7">
        <f t="shared" si="15"/>
        <v>3415028</v>
      </c>
      <c r="O157" s="7">
        <f t="shared" si="16"/>
        <v>671779.3037</v>
      </c>
      <c r="P157" s="7">
        <f t="shared" ref="P157:Q157" si="945">RANDBETWEEN(0,22)</f>
        <v>8</v>
      </c>
      <c r="Q157" s="7">
        <f t="shared" si="945"/>
        <v>3</v>
      </c>
      <c r="R157" s="7">
        <f t="shared" ref="R157:T157" si="946">IF(S157=1,1,RANDBETWEEN(0,1))</f>
        <v>1</v>
      </c>
      <c r="S157" s="7">
        <f t="shared" si="946"/>
        <v>1</v>
      </c>
      <c r="T157" s="7">
        <f t="shared" si="946"/>
        <v>0</v>
      </c>
      <c r="U157" s="7">
        <f t="shared" si="19"/>
        <v>0</v>
      </c>
      <c r="V157" s="7">
        <f t="shared" ref="V157:X157" si="947">IF(W157=1,1,RANDBETWEEN(0,1))</f>
        <v>1</v>
      </c>
      <c r="W157" s="7">
        <f t="shared" si="947"/>
        <v>1</v>
      </c>
      <c r="X157" s="7">
        <f t="shared" si="947"/>
        <v>1</v>
      </c>
      <c r="Y157" s="7">
        <f t="shared" si="21"/>
        <v>1</v>
      </c>
      <c r="Z157" s="7">
        <f t="shared" ref="Z157:AB157" si="948">IF(AA157=1,1,RANDBETWEEN(0,1))</f>
        <v>1</v>
      </c>
      <c r="AA157" s="7">
        <f t="shared" si="948"/>
        <v>1</v>
      </c>
      <c r="AB157" s="7">
        <f t="shared" si="948"/>
        <v>1</v>
      </c>
      <c r="AC157" s="7">
        <f t="shared" si="23"/>
        <v>0</v>
      </c>
      <c r="AD157" s="7">
        <f t="shared" ref="AD157:AF157" si="949">IF(AE157=1,1,RANDBETWEEN(0,1))</f>
        <v>0</v>
      </c>
      <c r="AE157" s="7">
        <f t="shared" si="949"/>
        <v>0</v>
      </c>
      <c r="AF157" s="7">
        <f t="shared" si="949"/>
        <v>0</v>
      </c>
      <c r="AG157" s="7">
        <f t="shared" si="25"/>
        <v>0</v>
      </c>
    </row>
    <row r="158">
      <c r="A158" s="4" t="s">
        <v>475</v>
      </c>
      <c r="B158" s="4" t="s">
        <v>442</v>
      </c>
      <c r="C158" s="4" t="s">
        <v>476</v>
      </c>
      <c r="D158" s="5">
        <v>7333.0</v>
      </c>
      <c r="E158" s="6">
        <f t="shared" si="7"/>
        <v>1094</v>
      </c>
      <c r="F158" s="7">
        <f t="shared" ref="F158:G158" si="950">ROUND(RAND(),2)</f>
        <v>0.27</v>
      </c>
      <c r="G158" s="7">
        <f t="shared" si="950"/>
        <v>0.08</v>
      </c>
      <c r="H158" s="7">
        <f t="shared" si="9"/>
        <v>4</v>
      </c>
      <c r="I158" s="7">
        <f t="shared" si="10"/>
        <v>96585</v>
      </c>
      <c r="J158" s="7">
        <f t="shared" si="11"/>
        <v>86088</v>
      </c>
      <c r="K158" s="7" t="str">
        <f t="shared" si="12"/>
        <v>G</v>
      </c>
      <c r="L158" s="7" t="str">
        <f t="shared" si="13"/>
        <v>High ambition</v>
      </c>
      <c r="M158" s="7" t="str">
        <f t="shared" si="14"/>
        <v>Medium</v>
      </c>
      <c r="N158" s="7">
        <f t="shared" si="15"/>
        <v>3805681</v>
      </c>
      <c r="O158" s="7">
        <f t="shared" si="16"/>
        <v>2710853.869</v>
      </c>
      <c r="P158" s="7">
        <f t="shared" ref="P158:Q158" si="951">RANDBETWEEN(0,22)</f>
        <v>14</v>
      </c>
      <c r="Q158" s="7">
        <f t="shared" si="951"/>
        <v>13</v>
      </c>
      <c r="R158" s="7">
        <f t="shared" ref="R158:T158" si="952">IF(S158=1,1,RANDBETWEEN(0,1))</f>
        <v>0</v>
      </c>
      <c r="S158" s="7">
        <f t="shared" si="952"/>
        <v>0</v>
      </c>
      <c r="T158" s="7">
        <f t="shared" si="952"/>
        <v>0</v>
      </c>
      <c r="U158" s="7">
        <f t="shared" si="19"/>
        <v>0</v>
      </c>
      <c r="V158" s="7">
        <f t="shared" ref="V158:X158" si="953">IF(W158=1,1,RANDBETWEEN(0,1))</f>
        <v>1</v>
      </c>
      <c r="W158" s="7">
        <f t="shared" si="953"/>
        <v>1</v>
      </c>
      <c r="X158" s="7">
        <f t="shared" si="953"/>
        <v>1</v>
      </c>
      <c r="Y158" s="7">
        <f t="shared" si="21"/>
        <v>1</v>
      </c>
      <c r="Z158" s="7">
        <f t="shared" ref="Z158:AB158" si="954">IF(AA158=1,1,RANDBETWEEN(0,1))</f>
        <v>1</v>
      </c>
      <c r="AA158" s="7">
        <f t="shared" si="954"/>
        <v>1</v>
      </c>
      <c r="AB158" s="7">
        <f t="shared" si="954"/>
        <v>1</v>
      </c>
      <c r="AC158" s="7">
        <f t="shared" si="23"/>
        <v>0</v>
      </c>
      <c r="AD158" s="7">
        <f t="shared" ref="AD158:AF158" si="955">IF(AE158=1,1,RANDBETWEEN(0,1))</f>
        <v>1</v>
      </c>
      <c r="AE158" s="7">
        <f t="shared" si="955"/>
        <v>1</v>
      </c>
      <c r="AF158" s="7">
        <f t="shared" si="955"/>
        <v>1</v>
      </c>
      <c r="AG158" s="7">
        <f t="shared" si="25"/>
        <v>1</v>
      </c>
    </row>
    <row r="159">
      <c r="A159" s="4" t="s">
        <v>477</v>
      </c>
      <c r="B159" s="4" t="s">
        <v>478</v>
      </c>
      <c r="C159" s="4" t="s">
        <v>479</v>
      </c>
      <c r="D159" s="5">
        <v>12089.0</v>
      </c>
      <c r="E159" s="6">
        <f t="shared" si="7"/>
        <v>1046</v>
      </c>
      <c r="F159" s="7">
        <f t="shared" ref="F159:G159" si="956">ROUND(RAND(),2)</f>
        <v>0.5</v>
      </c>
      <c r="G159" s="7">
        <f t="shared" si="956"/>
        <v>0.47</v>
      </c>
      <c r="H159" s="7">
        <f t="shared" si="9"/>
        <v>4</v>
      </c>
      <c r="I159" s="7">
        <f t="shared" si="10"/>
        <v>7957</v>
      </c>
      <c r="J159" s="7">
        <f t="shared" si="11"/>
        <v>1659</v>
      </c>
      <c r="K159" s="7" t="str">
        <f t="shared" si="12"/>
        <v>A</v>
      </c>
      <c r="L159" s="7" t="str">
        <f t="shared" si="13"/>
        <v>Transformative change</v>
      </c>
      <c r="M159" s="7" t="str">
        <f t="shared" si="14"/>
        <v>Medium</v>
      </c>
      <c r="N159" s="7">
        <f t="shared" si="15"/>
        <v>2996156</v>
      </c>
      <c r="O159" s="7">
        <f t="shared" si="16"/>
        <v>844866.245</v>
      </c>
      <c r="P159" s="7">
        <f t="shared" ref="P159:Q159" si="957">RANDBETWEEN(0,22)</f>
        <v>11</v>
      </c>
      <c r="Q159" s="7">
        <f t="shared" si="957"/>
        <v>6</v>
      </c>
      <c r="R159" s="7">
        <f t="shared" ref="R159:T159" si="958">IF(S159=1,1,RANDBETWEEN(0,1))</f>
        <v>1</v>
      </c>
      <c r="S159" s="7">
        <f t="shared" si="958"/>
        <v>1</v>
      </c>
      <c r="T159" s="7">
        <f t="shared" si="958"/>
        <v>1</v>
      </c>
      <c r="U159" s="7">
        <f t="shared" si="19"/>
        <v>0</v>
      </c>
      <c r="V159" s="7">
        <f t="shared" ref="V159:X159" si="959">IF(W159=1,1,RANDBETWEEN(0,1))</f>
        <v>1</v>
      </c>
      <c r="W159" s="7">
        <f t="shared" si="959"/>
        <v>1</v>
      </c>
      <c r="X159" s="7">
        <f t="shared" si="959"/>
        <v>1</v>
      </c>
      <c r="Y159" s="7">
        <f t="shared" si="21"/>
        <v>1</v>
      </c>
      <c r="Z159" s="7">
        <f t="shared" ref="Z159:AB159" si="960">IF(AA159=1,1,RANDBETWEEN(0,1))</f>
        <v>0</v>
      </c>
      <c r="AA159" s="7">
        <f t="shared" si="960"/>
        <v>0</v>
      </c>
      <c r="AB159" s="7">
        <f t="shared" si="960"/>
        <v>0</v>
      </c>
      <c r="AC159" s="7">
        <f t="shared" si="23"/>
        <v>0</v>
      </c>
      <c r="AD159" s="7">
        <f t="shared" ref="AD159:AF159" si="961">IF(AE159=1,1,RANDBETWEEN(0,1))</f>
        <v>1</v>
      </c>
      <c r="AE159" s="7">
        <f t="shared" si="961"/>
        <v>1</v>
      </c>
      <c r="AF159" s="7">
        <f t="shared" si="961"/>
        <v>1</v>
      </c>
      <c r="AG159" s="7">
        <f t="shared" si="25"/>
        <v>1</v>
      </c>
    </row>
    <row r="160">
      <c r="A160" s="4" t="s">
        <v>480</v>
      </c>
      <c r="B160" s="4" t="s">
        <v>481</v>
      </c>
      <c r="C160" s="4" t="s">
        <v>482</v>
      </c>
      <c r="D160" s="5">
        <v>19954.0</v>
      </c>
      <c r="E160" s="6">
        <f t="shared" si="7"/>
        <v>992</v>
      </c>
      <c r="F160" s="7">
        <f t="shared" ref="F160:G160" si="962">ROUND(RAND(),2)</f>
        <v>0.41</v>
      </c>
      <c r="G160" s="7">
        <f t="shared" si="962"/>
        <v>0.35</v>
      </c>
      <c r="H160" s="7">
        <f t="shared" si="9"/>
        <v>4</v>
      </c>
      <c r="I160" s="7">
        <f t="shared" si="10"/>
        <v>87177</v>
      </c>
      <c r="J160" s="7">
        <f t="shared" si="11"/>
        <v>15265</v>
      </c>
      <c r="K160" s="7" t="str">
        <f t="shared" si="12"/>
        <v>G</v>
      </c>
      <c r="L160" s="7" t="str">
        <f t="shared" si="13"/>
        <v>High ambition</v>
      </c>
      <c r="M160" s="7" t="str">
        <f t="shared" si="14"/>
        <v>Low</v>
      </c>
      <c r="N160" s="7">
        <f t="shared" si="15"/>
        <v>1421115</v>
      </c>
      <c r="O160" s="7">
        <f t="shared" si="16"/>
        <v>210148.6808</v>
      </c>
      <c r="P160" s="7">
        <f t="shared" ref="P160:Q160" si="963">RANDBETWEEN(0,22)</f>
        <v>1</v>
      </c>
      <c r="Q160" s="7">
        <f t="shared" si="963"/>
        <v>2</v>
      </c>
      <c r="R160" s="7">
        <f t="shared" ref="R160:T160" si="964">IF(S160=1,1,RANDBETWEEN(0,1))</f>
        <v>1</v>
      </c>
      <c r="S160" s="7">
        <f t="shared" si="964"/>
        <v>1</v>
      </c>
      <c r="T160" s="7">
        <f t="shared" si="964"/>
        <v>1</v>
      </c>
      <c r="U160" s="7">
        <f t="shared" si="19"/>
        <v>1</v>
      </c>
      <c r="V160" s="7">
        <f t="shared" ref="V160:X160" si="965">IF(W160=1,1,RANDBETWEEN(0,1))</f>
        <v>1</v>
      </c>
      <c r="W160" s="7">
        <f t="shared" si="965"/>
        <v>1</v>
      </c>
      <c r="X160" s="7">
        <f t="shared" si="965"/>
        <v>1</v>
      </c>
      <c r="Y160" s="7">
        <f t="shared" si="21"/>
        <v>1</v>
      </c>
      <c r="Z160" s="7">
        <f t="shared" ref="Z160:AB160" si="966">IF(AA160=1,1,RANDBETWEEN(0,1))</f>
        <v>1</v>
      </c>
      <c r="AA160" s="7">
        <f t="shared" si="966"/>
        <v>1</v>
      </c>
      <c r="AB160" s="7">
        <f t="shared" si="966"/>
        <v>1</v>
      </c>
      <c r="AC160" s="7">
        <f t="shared" si="23"/>
        <v>1</v>
      </c>
      <c r="AD160" s="7">
        <f t="shared" ref="AD160:AF160" si="967">IF(AE160=1,1,RANDBETWEEN(0,1))</f>
        <v>1</v>
      </c>
      <c r="AE160" s="7">
        <f t="shared" si="967"/>
        <v>1</v>
      </c>
      <c r="AF160" s="7">
        <f t="shared" si="967"/>
        <v>1</v>
      </c>
      <c r="AG160" s="7">
        <f t="shared" si="25"/>
        <v>0</v>
      </c>
    </row>
    <row r="161">
      <c r="A161" s="4" t="s">
        <v>483</v>
      </c>
      <c r="B161" s="4" t="s">
        <v>484</v>
      </c>
      <c r="C161" s="4" t="s">
        <v>95</v>
      </c>
      <c r="D161" s="5">
        <v>35707.0</v>
      </c>
      <c r="E161" s="6">
        <f t="shared" si="7"/>
        <v>983</v>
      </c>
      <c r="F161" s="7">
        <f t="shared" ref="F161:G161" si="968">ROUND(RAND(),2)</f>
        <v>0.07</v>
      </c>
      <c r="G161" s="7">
        <f t="shared" si="968"/>
        <v>0.11</v>
      </c>
      <c r="H161" s="7">
        <f t="shared" si="9"/>
        <v>2</v>
      </c>
      <c r="I161" s="7">
        <f t="shared" si="10"/>
        <v>41043</v>
      </c>
      <c r="J161" s="7">
        <f t="shared" si="11"/>
        <v>11023</v>
      </c>
      <c r="K161" s="7" t="str">
        <f t="shared" si="12"/>
        <v>C</v>
      </c>
      <c r="L161" s="7" t="str">
        <f t="shared" si="13"/>
        <v>Transformative change</v>
      </c>
      <c r="M161" s="7" t="str">
        <f t="shared" si="14"/>
        <v>Low</v>
      </c>
      <c r="N161" s="7">
        <f t="shared" si="15"/>
        <v>1974885</v>
      </c>
      <c r="O161" s="7">
        <f t="shared" si="16"/>
        <v>1328836.138</v>
      </c>
      <c r="P161" s="7">
        <f t="shared" ref="P161:Q161" si="969">RANDBETWEEN(0,22)</f>
        <v>17</v>
      </c>
      <c r="Q161" s="7">
        <f t="shared" si="969"/>
        <v>3</v>
      </c>
      <c r="R161" s="7">
        <f t="shared" ref="R161:T161" si="970">IF(S161=1,1,RANDBETWEEN(0,1))</f>
        <v>1</v>
      </c>
      <c r="S161" s="7">
        <f t="shared" si="970"/>
        <v>1</v>
      </c>
      <c r="T161" s="7">
        <f t="shared" si="970"/>
        <v>1</v>
      </c>
      <c r="U161" s="7">
        <f t="shared" si="19"/>
        <v>1</v>
      </c>
      <c r="V161" s="7">
        <f t="shared" ref="V161:X161" si="971">IF(W161=1,1,RANDBETWEEN(0,1))</f>
        <v>1</v>
      </c>
      <c r="W161" s="7">
        <f t="shared" si="971"/>
        <v>0</v>
      </c>
      <c r="X161" s="7">
        <f t="shared" si="971"/>
        <v>0</v>
      </c>
      <c r="Y161" s="7">
        <f t="shared" si="21"/>
        <v>0</v>
      </c>
      <c r="Z161" s="7">
        <f t="shared" ref="Z161:AB161" si="972">IF(AA161=1,1,RANDBETWEEN(0,1))</f>
        <v>1</v>
      </c>
      <c r="AA161" s="7">
        <f t="shared" si="972"/>
        <v>1</v>
      </c>
      <c r="AB161" s="7">
        <f t="shared" si="972"/>
        <v>1</v>
      </c>
      <c r="AC161" s="7">
        <f t="shared" si="23"/>
        <v>0</v>
      </c>
      <c r="AD161" s="7">
        <f t="shared" ref="AD161:AF161" si="973">IF(AE161=1,1,RANDBETWEEN(0,1))</f>
        <v>1</v>
      </c>
      <c r="AE161" s="7">
        <f t="shared" si="973"/>
        <v>1</v>
      </c>
      <c r="AF161" s="7">
        <f t="shared" si="973"/>
        <v>1</v>
      </c>
      <c r="AG161" s="7">
        <f t="shared" si="25"/>
        <v>1</v>
      </c>
    </row>
    <row r="162">
      <c r="A162" s="4" t="s">
        <v>485</v>
      </c>
      <c r="B162" s="4" t="s">
        <v>486</v>
      </c>
      <c r="C162" s="4" t="s">
        <v>487</v>
      </c>
      <c r="D162" s="5">
        <v>17939.0</v>
      </c>
      <c r="E162" s="6">
        <f t="shared" si="7"/>
        <v>935</v>
      </c>
      <c r="F162" s="7">
        <f t="shared" ref="F162:G162" si="974">ROUND(RAND(),2)</f>
        <v>0.07</v>
      </c>
      <c r="G162" s="7">
        <f t="shared" si="974"/>
        <v>0.57</v>
      </c>
      <c r="H162" s="7">
        <f t="shared" si="9"/>
        <v>2</v>
      </c>
      <c r="I162" s="7">
        <f t="shared" si="10"/>
        <v>51528</v>
      </c>
      <c r="J162" s="7">
        <f t="shared" si="11"/>
        <v>39044</v>
      </c>
      <c r="K162" s="7" t="str">
        <f t="shared" si="12"/>
        <v>B</v>
      </c>
      <c r="L162" s="7" t="str">
        <f t="shared" si="13"/>
        <v>Transformative change</v>
      </c>
      <c r="M162" s="7" t="str">
        <f t="shared" si="14"/>
        <v>Medium</v>
      </c>
      <c r="N162" s="7">
        <f t="shared" si="15"/>
        <v>724912</v>
      </c>
      <c r="O162" s="7">
        <f t="shared" si="16"/>
        <v>182051.4448</v>
      </c>
      <c r="P162" s="7">
        <f t="shared" ref="P162:Q162" si="975">RANDBETWEEN(0,22)</f>
        <v>8</v>
      </c>
      <c r="Q162" s="7">
        <f t="shared" si="975"/>
        <v>19</v>
      </c>
      <c r="R162" s="7">
        <f t="shared" ref="R162:T162" si="976">IF(S162=1,1,RANDBETWEEN(0,1))</f>
        <v>1</v>
      </c>
      <c r="S162" s="7">
        <f t="shared" si="976"/>
        <v>1</v>
      </c>
      <c r="T162" s="7">
        <f t="shared" si="976"/>
        <v>1</v>
      </c>
      <c r="U162" s="7">
        <f t="shared" si="19"/>
        <v>0</v>
      </c>
      <c r="V162" s="7">
        <f t="shared" ref="V162:X162" si="977">IF(W162=1,1,RANDBETWEEN(0,1))</f>
        <v>1</v>
      </c>
      <c r="W162" s="7">
        <f t="shared" si="977"/>
        <v>1</v>
      </c>
      <c r="X162" s="7">
        <f t="shared" si="977"/>
        <v>1</v>
      </c>
      <c r="Y162" s="7">
        <f t="shared" si="21"/>
        <v>1</v>
      </c>
      <c r="Z162" s="7">
        <f t="shared" ref="Z162:AB162" si="978">IF(AA162=1,1,RANDBETWEEN(0,1))</f>
        <v>1</v>
      </c>
      <c r="AA162" s="7">
        <f t="shared" si="978"/>
        <v>1</v>
      </c>
      <c r="AB162" s="7">
        <f t="shared" si="978"/>
        <v>1</v>
      </c>
      <c r="AC162" s="7">
        <f t="shared" si="23"/>
        <v>1</v>
      </c>
      <c r="AD162" s="7">
        <f t="shared" ref="AD162:AF162" si="979">IF(AE162=1,1,RANDBETWEEN(0,1))</f>
        <v>1</v>
      </c>
      <c r="AE162" s="7">
        <f t="shared" si="979"/>
        <v>1</v>
      </c>
      <c r="AF162" s="7">
        <f t="shared" si="979"/>
        <v>1</v>
      </c>
      <c r="AG162" s="7">
        <f t="shared" si="25"/>
        <v>0</v>
      </c>
    </row>
    <row r="163">
      <c r="A163" s="4" t="s">
        <v>488</v>
      </c>
      <c r="B163" s="4" t="s">
        <v>489</v>
      </c>
      <c r="C163" s="4" t="s">
        <v>490</v>
      </c>
      <c r="D163" s="5">
        <v>18553.0</v>
      </c>
      <c r="E163" s="6">
        <f t="shared" si="7"/>
        <v>950</v>
      </c>
      <c r="F163" s="7">
        <f t="shared" ref="F163:G163" si="980">ROUND(RAND(),2)</f>
        <v>0.68</v>
      </c>
      <c r="G163" s="7">
        <f t="shared" si="980"/>
        <v>0.88</v>
      </c>
      <c r="H163" s="7">
        <f t="shared" si="9"/>
        <v>4</v>
      </c>
      <c r="I163" s="7">
        <f t="shared" si="10"/>
        <v>72536</v>
      </c>
      <c r="J163" s="7">
        <f t="shared" si="11"/>
        <v>72241</v>
      </c>
      <c r="K163" s="7" t="str">
        <f t="shared" si="12"/>
        <v>E</v>
      </c>
      <c r="L163" s="7" t="str">
        <f t="shared" si="13"/>
        <v>Transformative change</v>
      </c>
      <c r="M163" s="7" t="str">
        <f t="shared" si="14"/>
        <v>Medium</v>
      </c>
      <c r="N163" s="7">
        <f t="shared" si="15"/>
        <v>2151933</v>
      </c>
      <c r="O163" s="7">
        <f t="shared" si="16"/>
        <v>1423481.501</v>
      </c>
      <c r="P163" s="7">
        <f t="shared" ref="P163:Q163" si="981">RANDBETWEEN(0,22)</f>
        <v>19</v>
      </c>
      <c r="Q163" s="7">
        <f t="shared" si="981"/>
        <v>20</v>
      </c>
      <c r="R163" s="7">
        <f t="shared" ref="R163:T163" si="982">IF(S163=1,1,RANDBETWEEN(0,1))</f>
        <v>1</v>
      </c>
      <c r="S163" s="7">
        <f t="shared" si="982"/>
        <v>0</v>
      </c>
      <c r="T163" s="7">
        <f t="shared" si="982"/>
        <v>0</v>
      </c>
      <c r="U163" s="7">
        <f t="shared" si="19"/>
        <v>0</v>
      </c>
      <c r="V163" s="7">
        <f t="shared" ref="V163:X163" si="983">IF(W163=1,1,RANDBETWEEN(0,1))</f>
        <v>1</v>
      </c>
      <c r="W163" s="7">
        <f t="shared" si="983"/>
        <v>1</v>
      </c>
      <c r="X163" s="7">
        <f t="shared" si="983"/>
        <v>1</v>
      </c>
      <c r="Y163" s="7">
        <f t="shared" si="21"/>
        <v>0</v>
      </c>
      <c r="Z163" s="7">
        <f t="shared" ref="Z163:AB163" si="984">IF(AA163=1,1,RANDBETWEEN(0,1))</f>
        <v>1</v>
      </c>
      <c r="AA163" s="7">
        <f t="shared" si="984"/>
        <v>1</v>
      </c>
      <c r="AB163" s="7">
        <f t="shared" si="984"/>
        <v>1</v>
      </c>
      <c r="AC163" s="7">
        <f t="shared" si="23"/>
        <v>0</v>
      </c>
      <c r="AD163" s="7">
        <f t="shared" ref="AD163:AF163" si="985">IF(AE163=1,1,RANDBETWEEN(0,1))</f>
        <v>1</v>
      </c>
      <c r="AE163" s="7">
        <f t="shared" si="985"/>
        <v>1</v>
      </c>
      <c r="AF163" s="7">
        <f t="shared" si="985"/>
        <v>1</v>
      </c>
      <c r="AG163" s="7">
        <f t="shared" si="25"/>
        <v>1</v>
      </c>
    </row>
    <row r="164">
      <c r="A164" s="4" t="s">
        <v>491</v>
      </c>
      <c r="B164" s="4" t="s">
        <v>492</v>
      </c>
      <c r="C164" s="4" t="s">
        <v>493</v>
      </c>
      <c r="D164" s="5">
        <v>5689.0</v>
      </c>
      <c r="E164" s="6">
        <f t="shared" si="7"/>
        <v>1010</v>
      </c>
      <c r="F164" s="7">
        <f t="shared" ref="F164:G164" si="986">ROUND(RAND(),2)</f>
        <v>0.89</v>
      </c>
      <c r="G164" s="7">
        <f t="shared" si="986"/>
        <v>0.37</v>
      </c>
      <c r="H164" s="7">
        <f t="shared" si="9"/>
        <v>1</v>
      </c>
      <c r="I164" s="7">
        <f t="shared" si="10"/>
        <v>47832</v>
      </c>
      <c r="J164" s="7">
        <f t="shared" si="11"/>
        <v>33930</v>
      </c>
      <c r="K164" s="7" t="str">
        <f t="shared" si="12"/>
        <v>C</v>
      </c>
      <c r="L164" s="7" t="str">
        <f t="shared" si="13"/>
        <v>Transformative change</v>
      </c>
      <c r="M164" s="7" t="str">
        <f t="shared" si="14"/>
        <v>Medium</v>
      </c>
      <c r="N164" s="7">
        <f t="shared" si="15"/>
        <v>1929201</v>
      </c>
      <c r="O164" s="7">
        <f t="shared" si="16"/>
        <v>1768938.611</v>
      </c>
      <c r="P164" s="7">
        <f t="shared" ref="P164:Q164" si="987">RANDBETWEEN(0,22)</f>
        <v>18</v>
      </c>
      <c r="Q164" s="7">
        <f t="shared" si="987"/>
        <v>7</v>
      </c>
      <c r="R164" s="7">
        <f t="shared" ref="R164:T164" si="988">IF(S164=1,1,RANDBETWEEN(0,1))</f>
        <v>0</v>
      </c>
      <c r="S164" s="7">
        <f t="shared" si="988"/>
        <v>0</v>
      </c>
      <c r="T164" s="7">
        <f t="shared" si="988"/>
        <v>0</v>
      </c>
      <c r="U164" s="7">
        <f t="shared" si="19"/>
        <v>0</v>
      </c>
      <c r="V164" s="7">
        <f t="shared" ref="V164:X164" si="989">IF(W164=1,1,RANDBETWEEN(0,1))</f>
        <v>1</v>
      </c>
      <c r="W164" s="7">
        <f t="shared" si="989"/>
        <v>1</v>
      </c>
      <c r="X164" s="7">
        <f t="shared" si="989"/>
        <v>1</v>
      </c>
      <c r="Y164" s="7">
        <f t="shared" si="21"/>
        <v>1</v>
      </c>
      <c r="Z164" s="7">
        <f t="shared" ref="Z164:AB164" si="990">IF(AA164=1,1,RANDBETWEEN(0,1))</f>
        <v>1</v>
      </c>
      <c r="AA164" s="7">
        <f t="shared" si="990"/>
        <v>1</v>
      </c>
      <c r="AB164" s="7">
        <f t="shared" si="990"/>
        <v>1</v>
      </c>
      <c r="AC164" s="7">
        <f t="shared" si="23"/>
        <v>0</v>
      </c>
      <c r="AD164" s="7">
        <f t="shared" ref="AD164:AF164" si="991">IF(AE164=1,1,RANDBETWEEN(0,1))</f>
        <v>1</v>
      </c>
      <c r="AE164" s="7">
        <f t="shared" si="991"/>
        <v>1</v>
      </c>
      <c r="AF164" s="7">
        <f t="shared" si="991"/>
        <v>1</v>
      </c>
      <c r="AG164" s="7">
        <f t="shared" si="25"/>
        <v>1</v>
      </c>
    </row>
    <row r="165">
      <c r="A165" s="4" t="s">
        <v>494</v>
      </c>
      <c r="B165" s="4" t="s">
        <v>495</v>
      </c>
      <c r="C165" s="4" t="s">
        <v>496</v>
      </c>
      <c r="D165" s="5">
        <v>17786.0</v>
      </c>
      <c r="E165" s="6">
        <f t="shared" si="7"/>
        <v>992</v>
      </c>
      <c r="F165" s="7">
        <f t="shared" ref="F165:G165" si="992">ROUND(RAND(),2)</f>
        <v>0.6</v>
      </c>
      <c r="G165" s="7">
        <f t="shared" si="992"/>
        <v>0.42</v>
      </c>
      <c r="H165" s="7">
        <f t="shared" si="9"/>
        <v>3</v>
      </c>
      <c r="I165" s="7">
        <f t="shared" si="10"/>
        <v>54069</v>
      </c>
      <c r="J165" s="7">
        <f t="shared" si="11"/>
        <v>29178</v>
      </c>
      <c r="K165" s="7" t="str">
        <f t="shared" si="12"/>
        <v>C</v>
      </c>
      <c r="L165" s="7" t="str">
        <f t="shared" si="13"/>
        <v>Transformative change</v>
      </c>
      <c r="M165" s="7" t="str">
        <f t="shared" si="14"/>
        <v>High</v>
      </c>
      <c r="N165" s="7">
        <f t="shared" si="15"/>
        <v>1982348</v>
      </c>
      <c r="O165" s="7">
        <f t="shared" si="16"/>
        <v>1237136.051</v>
      </c>
      <c r="P165" s="7">
        <f t="shared" ref="P165:Q165" si="993">RANDBETWEEN(0,22)</f>
        <v>20</v>
      </c>
      <c r="Q165" s="7">
        <f t="shared" si="993"/>
        <v>20</v>
      </c>
      <c r="R165" s="7">
        <f t="shared" ref="R165:T165" si="994">IF(S165=1,1,RANDBETWEEN(0,1))</f>
        <v>1</v>
      </c>
      <c r="S165" s="7">
        <f t="shared" si="994"/>
        <v>1</v>
      </c>
      <c r="T165" s="7">
        <f t="shared" si="994"/>
        <v>1</v>
      </c>
      <c r="U165" s="7">
        <f t="shared" si="19"/>
        <v>0</v>
      </c>
      <c r="V165" s="7">
        <f t="shared" ref="V165:X165" si="995">IF(W165=1,1,RANDBETWEEN(0,1))</f>
        <v>1</v>
      </c>
      <c r="W165" s="7">
        <f t="shared" si="995"/>
        <v>1</v>
      </c>
      <c r="X165" s="7">
        <f t="shared" si="995"/>
        <v>1</v>
      </c>
      <c r="Y165" s="7">
        <f t="shared" si="21"/>
        <v>1</v>
      </c>
      <c r="Z165" s="7">
        <f t="shared" ref="Z165:AB165" si="996">IF(AA165=1,1,RANDBETWEEN(0,1))</f>
        <v>1</v>
      </c>
      <c r="AA165" s="7">
        <f t="shared" si="996"/>
        <v>1</v>
      </c>
      <c r="AB165" s="7">
        <f t="shared" si="996"/>
        <v>1</v>
      </c>
      <c r="AC165" s="7">
        <f t="shared" si="23"/>
        <v>0</v>
      </c>
      <c r="AD165" s="7">
        <f t="shared" ref="AD165:AF165" si="997">IF(AE165=1,1,RANDBETWEEN(0,1))</f>
        <v>1</v>
      </c>
      <c r="AE165" s="7">
        <f t="shared" si="997"/>
        <v>1</v>
      </c>
      <c r="AF165" s="7">
        <f t="shared" si="997"/>
        <v>1</v>
      </c>
      <c r="AG165" s="7">
        <f t="shared" si="25"/>
        <v>1</v>
      </c>
    </row>
    <row r="166">
      <c r="A166" s="4" t="s">
        <v>497</v>
      </c>
      <c r="B166" s="4" t="s">
        <v>498</v>
      </c>
      <c r="C166" s="4" t="s">
        <v>499</v>
      </c>
      <c r="D166" s="5">
        <v>7582.0</v>
      </c>
      <c r="E166" s="6">
        <f t="shared" si="7"/>
        <v>812</v>
      </c>
      <c r="F166" s="7">
        <f t="shared" ref="F166:G166" si="998">ROUND(RAND(),2)</f>
        <v>0.8</v>
      </c>
      <c r="G166" s="7">
        <f t="shared" si="998"/>
        <v>0.18</v>
      </c>
      <c r="H166" s="7">
        <f t="shared" si="9"/>
        <v>3</v>
      </c>
      <c r="I166" s="7">
        <f t="shared" si="10"/>
        <v>38437</v>
      </c>
      <c r="J166" s="7">
        <f t="shared" si="11"/>
        <v>27971</v>
      </c>
      <c r="K166" s="7" t="str">
        <f t="shared" si="12"/>
        <v>F</v>
      </c>
      <c r="L166" s="7" t="str">
        <f t="shared" si="13"/>
        <v>Transformative change</v>
      </c>
      <c r="M166" s="7" t="str">
        <f t="shared" si="14"/>
        <v>Low</v>
      </c>
      <c r="N166" s="7">
        <f t="shared" si="15"/>
        <v>2859382</v>
      </c>
      <c r="O166" s="7">
        <f t="shared" si="16"/>
        <v>139268.2025</v>
      </c>
      <c r="P166" s="7">
        <f t="shared" ref="P166:Q166" si="999">RANDBETWEEN(0,22)</f>
        <v>7</v>
      </c>
      <c r="Q166" s="7">
        <f t="shared" si="999"/>
        <v>6</v>
      </c>
      <c r="R166" s="7">
        <f t="shared" ref="R166:T166" si="1000">IF(S166=1,1,RANDBETWEEN(0,1))</f>
        <v>0</v>
      </c>
      <c r="S166" s="7">
        <f t="shared" si="1000"/>
        <v>0</v>
      </c>
      <c r="T166" s="7">
        <f t="shared" si="1000"/>
        <v>0</v>
      </c>
      <c r="U166" s="7">
        <f t="shared" si="19"/>
        <v>0</v>
      </c>
      <c r="V166" s="7">
        <f t="shared" ref="V166:X166" si="1001">IF(W166=1,1,RANDBETWEEN(0,1))</f>
        <v>1</v>
      </c>
      <c r="W166" s="7">
        <f t="shared" si="1001"/>
        <v>1</v>
      </c>
      <c r="X166" s="7">
        <f t="shared" si="1001"/>
        <v>1</v>
      </c>
      <c r="Y166" s="7">
        <f t="shared" si="21"/>
        <v>1</v>
      </c>
      <c r="Z166" s="7">
        <f t="shared" ref="Z166:AB166" si="1002">IF(AA166=1,1,RANDBETWEEN(0,1))</f>
        <v>1</v>
      </c>
      <c r="AA166" s="7">
        <f t="shared" si="1002"/>
        <v>1</v>
      </c>
      <c r="AB166" s="7">
        <f t="shared" si="1002"/>
        <v>1</v>
      </c>
      <c r="AC166" s="7">
        <f t="shared" si="23"/>
        <v>0</v>
      </c>
      <c r="AD166" s="7">
        <f t="shared" ref="AD166:AF166" si="1003">IF(AE166=1,1,RANDBETWEEN(0,1))</f>
        <v>1</v>
      </c>
      <c r="AE166" s="7">
        <f t="shared" si="1003"/>
        <v>1</v>
      </c>
      <c r="AF166" s="7">
        <f t="shared" si="1003"/>
        <v>1</v>
      </c>
      <c r="AG166" s="7">
        <f t="shared" si="25"/>
        <v>1</v>
      </c>
    </row>
    <row r="167">
      <c r="A167" s="4" t="s">
        <v>500</v>
      </c>
      <c r="B167" s="4" t="s">
        <v>501</v>
      </c>
      <c r="C167" s="4" t="s">
        <v>502</v>
      </c>
      <c r="D167" s="5">
        <v>17095.0</v>
      </c>
      <c r="E167" s="6">
        <f t="shared" si="7"/>
        <v>928</v>
      </c>
      <c r="F167" s="7">
        <f t="shared" ref="F167:G167" si="1004">ROUND(RAND(),2)</f>
        <v>0.89</v>
      </c>
      <c r="G167" s="7">
        <f t="shared" si="1004"/>
        <v>0.48</v>
      </c>
      <c r="H167" s="7">
        <f t="shared" si="9"/>
        <v>1</v>
      </c>
      <c r="I167" s="7">
        <f t="shared" si="10"/>
        <v>36516</v>
      </c>
      <c r="J167" s="7">
        <f t="shared" si="11"/>
        <v>13105</v>
      </c>
      <c r="K167" s="7" t="str">
        <f t="shared" si="12"/>
        <v>C</v>
      </c>
      <c r="L167" s="7" t="str">
        <f t="shared" si="13"/>
        <v>Transformative change</v>
      </c>
      <c r="M167" s="7" t="str">
        <f t="shared" si="14"/>
        <v>Low</v>
      </c>
      <c r="N167" s="7">
        <f t="shared" si="15"/>
        <v>1530183</v>
      </c>
      <c r="O167" s="7">
        <f t="shared" si="16"/>
        <v>1424974.463</v>
      </c>
      <c r="P167" s="7">
        <f t="shared" ref="P167:Q167" si="1005">RANDBETWEEN(0,22)</f>
        <v>18</v>
      </c>
      <c r="Q167" s="7">
        <f t="shared" si="1005"/>
        <v>18</v>
      </c>
      <c r="R167" s="7">
        <f t="shared" ref="R167:T167" si="1006">IF(S167=1,1,RANDBETWEEN(0,1))</f>
        <v>1</v>
      </c>
      <c r="S167" s="7">
        <f t="shared" si="1006"/>
        <v>1</v>
      </c>
      <c r="T167" s="7">
        <f t="shared" si="1006"/>
        <v>1</v>
      </c>
      <c r="U167" s="7">
        <f t="shared" si="19"/>
        <v>0</v>
      </c>
      <c r="V167" s="7">
        <f t="shared" ref="V167:X167" si="1007">IF(W167=1,1,RANDBETWEEN(0,1))</f>
        <v>1</v>
      </c>
      <c r="W167" s="7">
        <f t="shared" si="1007"/>
        <v>1</v>
      </c>
      <c r="X167" s="7">
        <f t="shared" si="1007"/>
        <v>1</v>
      </c>
      <c r="Y167" s="7">
        <f t="shared" si="21"/>
        <v>1</v>
      </c>
      <c r="Z167" s="7">
        <f t="shared" ref="Z167:AB167" si="1008">IF(AA167=1,1,RANDBETWEEN(0,1))</f>
        <v>1</v>
      </c>
      <c r="AA167" s="7">
        <f t="shared" si="1008"/>
        <v>1</v>
      </c>
      <c r="AB167" s="7">
        <f t="shared" si="1008"/>
        <v>1</v>
      </c>
      <c r="AC167" s="7">
        <f t="shared" si="23"/>
        <v>1</v>
      </c>
      <c r="AD167" s="7">
        <f t="shared" ref="AD167:AF167" si="1009">IF(AE167=1,1,RANDBETWEEN(0,1))</f>
        <v>0</v>
      </c>
      <c r="AE167" s="7">
        <f t="shared" si="1009"/>
        <v>0</v>
      </c>
      <c r="AF167" s="7">
        <f t="shared" si="1009"/>
        <v>0</v>
      </c>
      <c r="AG167" s="7">
        <f t="shared" si="25"/>
        <v>0</v>
      </c>
    </row>
    <row r="168">
      <c r="A168" s="4" t="s">
        <v>503</v>
      </c>
      <c r="B168" s="4" t="s">
        <v>504</v>
      </c>
      <c r="C168" s="4" t="s">
        <v>505</v>
      </c>
      <c r="D168" s="5">
        <v>13864.0</v>
      </c>
      <c r="E168" s="6">
        <f t="shared" si="7"/>
        <v>1100</v>
      </c>
      <c r="F168" s="7">
        <f t="shared" ref="F168:G168" si="1010">ROUND(RAND(),2)</f>
        <v>0.06</v>
      </c>
      <c r="G168" s="7">
        <f t="shared" si="1010"/>
        <v>0.68</v>
      </c>
      <c r="H168" s="7">
        <f t="shared" si="9"/>
        <v>2</v>
      </c>
      <c r="I168" s="7">
        <f t="shared" si="10"/>
        <v>15152</v>
      </c>
      <c r="J168" s="7">
        <f t="shared" si="11"/>
        <v>66020</v>
      </c>
      <c r="K168" s="7" t="str">
        <f t="shared" si="12"/>
        <v>F</v>
      </c>
      <c r="L168" s="7" t="str">
        <f t="shared" si="13"/>
        <v>Transformative change</v>
      </c>
      <c r="M168" s="7" t="str">
        <f t="shared" si="14"/>
        <v>Low</v>
      </c>
      <c r="N168" s="7">
        <f t="shared" si="15"/>
        <v>2571129</v>
      </c>
      <c r="O168" s="7">
        <f t="shared" si="16"/>
        <v>331756.4532</v>
      </c>
      <c r="P168" s="7">
        <f t="shared" ref="P168:Q168" si="1011">RANDBETWEEN(0,22)</f>
        <v>20</v>
      </c>
      <c r="Q168" s="7">
        <f t="shared" si="1011"/>
        <v>2</v>
      </c>
      <c r="R168" s="7">
        <f t="shared" ref="R168:T168" si="1012">IF(S168=1,1,RANDBETWEEN(0,1))</f>
        <v>1</v>
      </c>
      <c r="S168" s="7">
        <f t="shared" si="1012"/>
        <v>1</v>
      </c>
      <c r="T168" s="7">
        <f t="shared" si="1012"/>
        <v>1</v>
      </c>
      <c r="U168" s="7">
        <f t="shared" si="19"/>
        <v>1</v>
      </c>
      <c r="V168" s="7">
        <f t="shared" ref="V168:X168" si="1013">IF(W168=1,1,RANDBETWEEN(0,1))</f>
        <v>1</v>
      </c>
      <c r="W168" s="7">
        <f t="shared" si="1013"/>
        <v>0</v>
      </c>
      <c r="X168" s="7">
        <f t="shared" si="1013"/>
        <v>0</v>
      </c>
      <c r="Y168" s="7">
        <f t="shared" si="21"/>
        <v>0</v>
      </c>
      <c r="Z168" s="7">
        <f t="shared" ref="Z168:AB168" si="1014">IF(AA168=1,1,RANDBETWEEN(0,1))</f>
        <v>1</v>
      </c>
      <c r="AA168" s="7">
        <f t="shared" si="1014"/>
        <v>1</v>
      </c>
      <c r="AB168" s="7">
        <f t="shared" si="1014"/>
        <v>1</v>
      </c>
      <c r="AC168" s="7">
        <f t="shared" si="23"/>
        <v>0</v>
      </c>
      <c r="AD168" s="7">
        <f t="shared" ref="AD168:AF168" si="1015">IF(AE168=1,1,RANDBETWEEN(0,1))</f>
        <v>1</v>
      </c>
      <c r="AE168" s="7">
        <f t="shared" si="1015"/>
        <v>1</v>
      </c>
      <c r="AF168" s="7">
        <f t="shared" si="1015"/>
        <v>1</v>
      </c>
      <c r="AG168" s="7">
        <f t="shared" si="25"/>
        <v>0</v>
      </c>
    </row>
    <row r="169">
      <c r="A169" s="4" t="s">
        <v>506</v>
      </c>
      <c r="B169" s="4" t="s">
        <v>507</v>
      </c>
      <c r="C169" s="4" t="s">
        <v>508</v>
      </c>
      <c r="D169" s="5">
        <v>496131.0</v>
      </c>
      <c r="E169" s="6">
        <f t="shared" si="7"/>
        <v>5062.56</v>
      </c>
      <c r="F169" s="7">
        <f t="shared" ref="F169:G169" si="1016">ROUND(RAND(),2)</f>
        <v>0.99</v>
      </c>
      <c r="G169" s="7">
        <f t="shared" si="1016"/>
        <v>0.68</v>
      </c>
      <c r="H169" s="7">
        <f t="shared" si="9"/>
        <v>4</v>
      </c>
      <c r="I169" s="7">
        <f t="shared" si="10"/>
        <v>50808</v>
      </c>
      <c r="J169" s="7">
        <f t="shared" si="11"/>
        <v>7698</v>
      </c>
      <c r="K169" s="7" t="str">
        <f t="shared" si="12"/>
        <v>A</v>
      </c>
      <c r="L169" s="7" t="str">
        <f t="shared" si="13"/>
        <v>High ambition</v>
      </c>
      <c r="M169" s="7" t="str">
        <f t="shared" si="14"/>
        <v>Low</v>
      </c>
      <c r="N169" s="7">
        <f t="shared" si="15"/>
        <v>1826035</v>
      </c>
      <c r="O169" s="7">
        <f t="shared" si="16"/>
        <v>1326545.707</v>
      </c>
      <c r="P169" s="7">
        <f t="shared" ref="P169:Q169" si="1017">RANDBETWEEN(0,22)</f>
        <v>5</v>
      </c>
      <c r="Q169" s="7">
        <f t="shared" si="1017"/>
        <v>13</v>
      </c>
      <c r="R169" s="7">
        <f t="shared" ref="R169:T169" si="1018">IF(S169=1,1,RANDBETWEEN(0,1))</f>
        <v>1</v>
      </c>
      <c r="S169" s="7">
        <f t="shared" si="1018"/>
        <v>1</v>
      </c>
      <c r="T169" s="7">
        <f t="shared" si="1018"/>
        <v>1</v>
      </c>
      <c r="U169" s="7">
        <f t="shared" si="19"/>
        <v>1</v>
      </c>
      <c r="V169" s="7">
        <f t="shared" ref="V169:X169" si="1019">IF(W169=1,1,RANDBETWEEN(0,1))</f>
        <v>1</v>
      </c>
      <c r="W169" s="7">
        <f t="shared" si="1019"/>
        <v>1</v>
      </c>
      <c r="X169" s="7">
        <f t="shared" si="1019"/>
        <v>1</v>
      </c>
      <c r="Y169" s="7">
        <f t="shared" si="21"/>
        <v>1</v>
      </c>
      <c r="Z169" s="7">
        <f t="shared" ref="Z169:AB169" si="1020">IF(AA169=1,1,RANDBETWEEN(0,1))</f>
        <v>1</v>
      </c>
      <c r="AA169" s="7">
        <f t="shared" si="1020"/>
        <v>1</v>
      </c>
      <c r="AB169" s="7">
        <f t="shared" si="1020"/>
        <v>1</v>
      </c>
      <c r="AC169" s="7">
        <f t="shared" si="23"/>
        <v>1</v>
      </c>
      <c r="AD169" s="7">
        <f t="shared" ref="AD169:AF169" si="1021">IF(AE169=1,1,RANDBETWEEN(0,1))</f>
        <v>1</v>
      </c>
      <c r="AE169" s="7">
        <f t="shared" si="1021"/>
        <v>1</v>
      </c>
      <c r="AF169" s="7">
        <f t="shared" si="1021"/>
        <v>1</v>
      </c>
      <c r="AG169" s="7">
        <f t="shared" si="25"/>
        <v>0</v>
      </c>
    </row>
    <row r="170">
      <c r="A170" s="4" t="s">
        <v>509</v>
      </c>
      <c r="B170" s="4" t="s">
        <v>510</v>
      </c>
      <c r="C170" s="4" t="s">
        <v>511</v>
      </c>
      <c r="D170" s="5">
        <v>18265.0</v>
      </c>
      <c r="E170" s="6">
        <f t="shared" si="7"/>
        <v>1020</v>
      </c>
      <c r="F170" s="7">
        <f t="shared" ref="F170:G170" si="1022">ROUND(RAND(),2)</f>
        <v>0.32</v>
      </c>
      <c r="G170" s="7">
        <f t="shared" si="1022"/>
        <v>0.29</v>
      </c>
      <c r="H170" s="7">
        <f t="shared" si="9"/>
        <v>1</v>
      </c>
      <c r="I170" s="7">
        <f t="shared" si="10"/>
        <v>55404</v>
      </c>
      <c r="J170" s="7">
        <f t="shared" si="11"/>
        <v>3298</v>
      </c>
      <c r="K170" s="7" t="str">
        <f t="shared" si="12"/>
        <v>G</v>
      </c>
      <c r="L170" s="7" t="str">
        <f t="shared" si="13"/>
        <v>Transformative change</v>
      </c>
      <c r="M170" s="7" t="str">
        <f t="shared" si="14"/>
        <v>High</v>
      </c>
      <c r="N170" s="7">
        <f t="shared" si="15"/>
        <v>3736505</v>
      </c>
      <c r="O170" s="7">
        <f t="shared" si="16"/>
        <v>2379209.26</v>
      </c>
      <c r="P170" s="7">
        <f t="shared" ref="P170:Q170" si="1023">RANDBETWEEN(0,22)</f>
        <v>9</v>
      </c>
      <c r="Q170" s="7">
        <f t="shared" si="1023"/>
        <v>21</v>
      </c>
      <c r="R170" s="7">
        <f t="shared" ref="R170:T170" si="1024">IF(S170=1,1,RANDBETWEEN(0,1))</f>
        <v>1</v>
      </c>
      <c r="S170" s="7">
        <f t="shared" si="1024"/>
        <v>1</v>
      </c>
      <c r="T170" s="7">
        <f t="shared" si="1024"/>
        <v>1</v>
      </c>
      <c r="U170" s="7">
        <f t="shared" si="19"/>
        <v>1</v>
      </c>
      <c r="V170" s="7">
        <f t="shared" ref="V170:X170" si="1025">IF(W170=1,1,RANDBETWEEN(0,1))</f>
        <v>1</v>
      </c>
      <c r="W170" s="7">
        <f t="shared" si="1025"/>
        <v>1</v>
      </c>
      <c r="X170" s="7">
        <f t="shared" si="1025"/>
        <v>0</v>
      </c>
      <c r="Y170" s="7">
        <f t="shared" si="21"/>
        <v>0</v>
      </c>
      <c r="Z170" s="7">
        <f t="shared" ref="Z170:AB170" si="1026">IF(AA170=1,1,RANDBETWEEN(0,1))</f>
        <v>1</v>
      </c>
      <c r="AA170" s="7">
        <f t="shared" si="1026"/>
        <v>1</v>
      </c>
      <c r="AB170" s="7">
        <f t="shared" si="1026"/>
        <v>0</v>
      </c>
      <c r="AC170" s="7">
        <f t="shared" si="23"/>
        <v>0</v>
      </c>
      <c r="AD170" s="7">
        <f t="shared" ref="AD170:AF170" si="1027">IF(AE170=1,1,RANDBETWEEN(0,1))</f>
        <v>1</v>
      </c>
      <c r="AE170" s="7">
        <f t="shared" si="1027"/>
        <v>1</v>
      </c>
      <c r="AF170" s="7">
        <f t="shared" si="1027"/>
        <v>0</v>
      </c>
      <c r="AG170" s="7">
        <f t="shared" si="25"/>
        <v>0</v>
      </c>
    </row>
    <row r="171">
      <c r="A171" s="4" t="s">
        <v>512</v>
      </c>
      <c r="B171" s="4" t="s">
        <v>513</v>
      </c>
      <c r="C171" s="4" t="s">
        <v>514</v>
      </c>
      <c r="D171" s="5">
        <v>10827.0</v>
      </c>
      <c r="E171" s="6">
        <f t="shared" si="7"/>
        <v>1092</v>
      </c>
      <c r="F171" s="7">
        <f t="shared" ref="F171:G171" si="1028">ROUND(RAND(),2)</f>
        <v>0.61</v>
      </c>
      <c r="G171" s="7">
        <f t="shared" si="1028"/>
        <v>0.43</v>
      </c>
      <c r="H171" s="7">
        <f t="shared" si="9"/>
        <v>4</v>
      </c>
      <c r="I171" s="7">
        <f t="shared" si="10"/>
        <v>75230</v>
      </c>
      <c r="J171" s="7">
        <f t="shared" si="11"/>
        <v>62547</v>
      </c>
      <c r="K171" s="7" t="str">
        <f t="shared" si="12"/>
        <v>E</v>
      </c>
      <c r="L171" s="7" t="str">
        <f t="shared" si="13"/>
        <v>Transformative change</v>
      </c>
      <c r="M171" s="7" t="str">
        <f t="shared" si="14"/>
        <v>High</v>
      </c>
      <c r="N171" s="7">
        <f t="shared" si="15"/>
        <v>68309</v>
      </c>
      <c r="O171" s="7">
        <f t="shared" si="16"/>
        <v>55413.77189</v>
      </c>
      <c r="P171" s="7">
        <f t="shared" ref="P171:Q171" si="1029">RANDBETWEEN(0,22)</f>
        <v>2</v>
      </c>
      <c r="Q171" s="7">
        <f t="shared" si="1029"/>
        <v>8</v>
      </c>
      <c r="R171" s="7">
        <f t="shared" ref="R171:T171" si="1030">IF(S171=1,1,RANDBETWEEN(0,1))</f>
        <v>1</v>
      </c>
      <c r="S171" s="7">
        <f t="shared" si="1030"/>
        <v>1</v>
      </c>
      <c r="T171" s="7">
        <f t="shared" si="1030"/>
        <v>0</v>
      </c>
      <c r="U171" s="7">
        <f t="shared" si="19"/>
        <v>0</v>
      </c>
      <c r="V171" s="7">
        <f t="shared" ref="V171:X171" si="1031">IF(W171=1,1,RANDBETWEEN(0,1))</f>
        <v>0</v>
      </c>
      <c r="W171" s="7">
        <f t="shared" si="1031"/>
        <v>0</v>
      </c>
      <c r="X171" s="7">
        <f t="shared" si="1031"/>
        <v>0</v>
      </c>
      <c r="Y171" s="7">
        <f t="shared" si="21"/>
        <v>0</v>
      </c>
      <c r="Z171" s="7">
        <f t="shared" ref="Z171:AB171" si="1032">IF(AA171=1,1,RANDBETWEEN(0,1))</f>
        <v>1</v>
      </c>
      <c r="AA171" s="7">
        <f t="shared" si="1032"/>
        <v>1</v>
      </c>
      <c r="AB171" s="7">
        <f t="shared" si="1032"/>
        <v>1</v>
      </c>
      <c r="AC171" s="7">
        <f t="shared" si="23"/>
        <v>1</v>
      </c>
      <c r="AD171" s="7">
        <f t="shared" ref="AD171:AF171" si="1033">IF(AE171=1,1,RANDBETWEEN(0,1))</f>
        <v>1</v>
      </c>
      <c r="AE171" s="7">
        <f t="shared" si="1033"/>
        <v>1</v>
      </c>
      <c r="AF171" s="7">
        <f t="shared" si="1033"/>
        <v>1</v>
      </c>
      <c r="AG171" s="7">
        <f t="shared" si="25"/>
        <v>0</v>
      </c>
    </row>
    <row r="172">
      <c r="A172" s="4" t="s">
        <v>515</v>
      </c>
      <c r="B172" s="4" t="s">
        <v>516</v>
      </c>
      <c r="C172" s="4" t="s">
        <v>517</v>
      </c>
      <c r="D172" s="5">
        <v>6929.0</v>
      </c>
      <c r="E172" s="6">
        <f t="shared" si="7"/>
        <v>1047</v>
      </c>
      <c r="F172" s="7">
        <f t="shared" ref="F172:G172" si="1034">ROUND(RAND(),2)</f>
        <v>0.81</v>
      </c>
      <c r="G172" s="7">
        <f t="shared" si="1034"/>
        <v>0.31</v>
      </c>
      <c r="H172" s="7">
        <f t="shared" si="9"/>
        <v>1</v>
      </c>
      <c r="I172" s="7">
        <f t="shared" si="10"/>
        <v>2593</v>
      </c>
      <c r="J172" s="7">
        <f t="shared" si="11"/>
        <v>18184</v>
      </c>
      <c r="K172" s="7" t="str">
        <f t="shared" si="12"/>
        <v>C</v>
      </c>
      <c r="L172" s="7" t="str">
        <f t="shared" si="13"/>
        <v>Transformative change</v>
      </c>
      <c r="M172" s="7" t="str">
        <f t="shared" si="14"/>
        <v>Low</v>
      </c>
      <c r="N172" s="7">
        <f t="shared" si="15"/>
        <v>85875</v>
      </c>
      <c r="O172" s="7">
        <f t="shared" si="16"/>
        <v>57322.53816</v>
      </c>
      <c r="P172" s="7">
        <f t="shared" ref="P172:Q172" si="1035">RANDBETWEEN(0,22)</f>
        <v>14</v>
      </c>
      <c r="Q172" s="7">
        <f t="shared" si="1035"/>
        <v>2</v>
      </c>
      <c r="R172" s="7">
        <f t="shared" ref="R172:T172" si="1036">IF(S172=1,1,RANDBETWEEN(0,1))</f>
        <v>1</v>
      </c>
      <c r="S172" s="7">
        <f t="shared" si="1036"/>
        <v>1</v>
      </c>
      <c r="T172" s="7">
        <f t="shared" si="1036"/>
        <v>1</v>
      </c>
      <c r="U172" s="7">
        <f t="shared" si="19"/>
        <v>1</v>
      </c>
      <c r="V172" s="7">
        <f t="shared" ref="V172:X172" si="1037">IF(W172=1,1,RANDBETWEEN(0,1))</f>
        <v>1</v>
      </c>
      <c r="W172" s="7">
        <f t="shared" si="1037"/>
        <v>1</v>
      </c>
      <c r="X172" s="7">
        <f t="shared" si="1037"/>
        <v>1</v>
      </c>
      <c r="Y172" s="7">
        <f t="shared" si="21"/>
        <v>1</v>
      </c>
      <c r="Z172" s="7">
        <f t="shared" ref="Z172:AB172" si="1038">IF(AA172=1,1,RANDBETWEEN(0,1))</f>
        <v>1</v>
      </c>
      <c r="AA172" s="7">
        <f t="shared" si="1038"/>
        <v>1</v>
      </c>
      <c r="AB172" s="7">
        <f t="shared" si="1038"/>
        <v>1</v>
      </c>
      <c r="AC172" s="7">
        <f t="shared" si="23"/>
        <v>1</v>
      </c>
      <c r="AD172" s="7">
        <f t="shared" ref="AD172:AF172" si="1039">IF(AE172=1,1,RANDBETWEEN(0,1))</f>
        <v>1</v>
      </c>
      <c r="AE172" s="7">
        <f t="shared" si="1039"/>
        <v>1</v>
      </c>
      <c r="AF172" s="7">
        <f t="shared" si="1039"/>
        <v>1</v>
      </c>
      <c r="AG172" s="7">
        <f t="shared" si="25"/>
        <v>1</v>
      </c>
    </row>
    <row r="173">
      <c r="A173" s="4" t="s">
        <v>518</v>
      </c>
      <c r="B173" s="4" t="s">
        <v>519</v>
      </c>
      <c r="C173" s="4" t="s">
        <v>520</v>
      </c>
      <c r="D173" s="5">
        <v>12685.0</v>
      </c>
      <c r="E173" s="6">
        <f t="shared" si="7"/>
        <v>890</v>
      </c>
      <c r="F173" s="7">
        <f t="shared" ref="F173:G173" si="1040">ROUND(RAND(),2)</f>
        <v>0.85</v>
      </c>
      <c r="G173" s="7">
        <f t="shared" si="1040"/>
        <v>0.83</v>
      </c>
      <c r="H173" s="7">
        <f t="shared" si="9"/>
        <v>1</v>
      </c>
      <c r="I173" s="7">
        <f t="shared" si="10"/>
        <v>88716</v>
      </c>
      <c r="J173" s="7">
        <f t="shared" si="11"/>
        <v>423</v>
      </c>
      <c r="K173" s="7" t="str">
        <f t="shared" si="12"/>
        <v>C</v>
      </c>
      <c r="L173" s="7" t="str">
        <f t="shared" si="13"/>
        <v>High ambition</v>
      </c>
      <c r="M173" s="7" t="str">
        <f t="shared" si="14"/>
        <v>Low</v>
      </c>
      <c r="N173" s="7">
        <f t="shared" si="15"/>
        <v>1397615</v>
      </c>
      <c r="O173" s="7">
        <f t="shared" si="16"/>
        <v>345772.3102</v>
      </c>
      <c r="P173" s="7">
        <f t="shared" ref="P173:Q173" si="1041">RANDBETWEEN(0,22)</f>
        <v>1</v>
      </c>
      <c r="Q173" s="7">
        <f t="shared" si="1041"/>
        <v>4</v>
      </c>
      <c r="R173" s="7">
        <f t="shared" ref="R173:T173" si="1042">IF(S173=1,1,RANDBETWEEN(0,1))</f>
        <v>1</v>
      </c>
      <c r="S173" s="7">
        <f t="shared" si="1042"/>
        <v>1</v>
      </c>
      <c r="T173" s="7">
        <f t="shared" si="1042"/>
        <v>1</v>
      </c>
      <c r="U173" s="7">
        <f t="shared" si="19"/>
        <v>1</v>
      </c>
      <c r="V173" s="7">
        <f t="shared" ref="V173:X173" si="1043">IF(W173=1,1,RANDBETWEEN(0,1))</f>
        <v>1</v>
      </c>
      <c r="W173" s="7">
        <f t="shared" si="1043"/>
        <v>1</v>
      </c>
      <c r="X173" s="7">
        <f t="shared" si="1043"/>
        <v>1</v>
      </c>
      <c r="Y173" s="7">
        <f t="shared" si="21"/>
        <v>1</v>
      </c>
      <c r="Z173" s="7">
        <f t="shared" ref="Z173:AB173" si="1044">IF(AA173=1,1,RANDBETWEEN(0,1))</f>
        <v>1</v>
      </c>
      <c r="AA173" s="7">
        <f t="shared" si="1044"/>
        <v>1</v>
      </c>
      <c r="AB173" s="7">
        <f t="shared" si="1044"/>
        <v>1</v>
      </c>
      <c r="AC173" s="7">
        <f t="shared" si="23"/>
        <v>1</v>
      </c>
      <c r="AD173" s="7">
        <f t="shared" ref="AD173:AF173" si="1045">IF(AE173=1,1,RANDBETWEEN(0,1))</f>
        <v>1</v>
      </c>
      <c r="AE173" s="7">
        <f t="shared" si="1045"/>
        <v>1</v>
      </c>
      <c r="AF173" s="7">
        <f t="shared" si="1045"/>
        <v>0</v>
      </c>
      <c r="AG173" s="7">
        <f t="shared" si="25"/>
        <v>0</v>
      </c>
    </row>
    <row r="174">
      <c r="A174" s="4" t="s">
        <v>521</v>
      </c>
      <c r="B174" s="4" t="s">
        <v>522</v>
      </c>
      <c r="C174" s="4" t="s">
        <v>95</v>
      </c>
      <c r="D174" s="5">
        <v>5961.0</v>
      </c>
      <c r="E174" s="6">
        <f t="shared" si="7"/>
        <v>860</v>
      </c>
      <c r="F174" s="7">
        <f t="shared" ref="F174:G174" si="1046">ROUND(RAND(),2)</f>
        <v>0.1</v>
      </c>
      <c r="G174" s="7">
        <f t="shared" si="1046"/>
        <v>0.73</v>
      </c>
      <c r="H174" s="7">
        <f t="shared" si="9"/>
        <v>5</v>
      </c>
      <c r="I174" s="7">
        <f t="shared" si="10"/>
        <v>65450</v>
      </c>
      <c r="J174" s="7">
        <f t="shared" si="11"/>
        <v>8363</v>
      </c>
      <c r="K174" s="7" t="str">
        <f t="shared" si="12"/>
        <v>G</v>
      </c>
      <c r="L174" s="7" t="str">
        <f t="shared" si="13"/>
        <v>Transformative change</v>
      </c>
      <c r="M174" s="7" t="str">
        <f t="shared" si="14"/>
        <v>High</v>
      </c>
      <c r="N174" s="7">
        <f t="shared" si="15"/>
        <v>253459</v>
      </c>
      <c r="O174" s="7">
        <f t="shared" si="16"/>
        <v>149405.5302</v>
      </c>
      <c r="P174" s="7">
        <f t="shared" ref="P174:Q174" si="1047">RANDBETWEEN(0,22)</f>
        <v>4</v>
      </c>
      <c r="Q174" s="7">
        <f t="shared" si="1047"/>
        <v>15</v>
      </c>
      <c r="R174" s="7">
        <f t="shared" ref="R174:T174" si="1048">IF(S174=1,1,RANDBETWEEN(0,1))</f>
        <v>1</v>
      </c>
      <c r="S174" s="7">
        <f t="shared" si="1048"/>
        <v>0</v>
      </c>
      <c r="T174" s="7">
        <f t="shared" si="1048"/>
        <v>0</v>
      </c>
      <c r="U174" s="7">
        <f t="shared" si="19"/>
        <v>0</v>
      </c>
      <c r="V174" s="7">
        <f t="shared" ref="V174:X174" si="1049">IF(W174=1,1,RANDBETWEEN(0,1))</f>
        <v>1</v>
      </c>
      <c r="W174" s="7">
        <f t="shared" si="1049"/>
        <v>1</v>
      </c>
      <c r="X174" s="7">
        <f t="shared" si="1049"/>
        <v>1</v>
      </c>
      <c r="Y174" s="7">
        <f t="shared" si="21"/>
        <v>1</v>
      </c>
      <c r="Z174" s="7">
        <f t="shared" ref="Z174:AB174" si="1050">IF(AA174=1,1,RANDBETWEEN(0,1))</f>
        <v>1</v>
      </c>
      <c r="AA174" s="7">
        <f t="shared" si="1050"/>
        <v>1</v>
      </c>
      <c r="AB174" s="7">
        <f t="shared" si="1050"/>
        <v>1</v>
      </c>
      <c r="AC174" s="7">
        <f t="shared" si="23"/>
        <v>1</v>
      </c>
      <c r="AD174" s="7">
        <f t="shared" ref="AD174:AF174" si="1051">IF(AE174=1,1,RANDBETWEEN(0,1))</f>
        <v>1</v>
      </c>
      <c r="AE174" s="7">
        <f t="shared" si="1051"/>
        <v>1</v>
      </c>
      <c r="AF174" s="7">
        <f t="shared" si="1051"/>
        <v>1</v>
      </c>
      <c r="AG174" s="7">
        <f t="shared" si="25"/>
        <v>0</v>
      </c>
    </row>
    <row r="175">
      <c r="A175" s="4" t="s">
        <v>523</v>
      </c>
      <c r="B175" s="4" t="s">
        <v>478</v>
      </c>
      <c r="C175" s="4" t="s">
        <v>454</v>
      </c>
      <c r="D175" s="5">
        <v>15309.0</v>
      </c>
      <c r="E175" s="6">
        <f t="shared" si="7"/>
        <v>877</v>
      </c>
      <c r="F175" s="7">
        <f t="shared" ref="F175:G175" si="1052">ROUND(RAND(),2)</f>
        <v>0.06</v>
      </c>
      <c r="G175" s="7">
        <f t="shared" si="1052"/>
        <v>0.93</v>
      </c>
      <c r="H175" s="7">
        <f t="shared" si="9"/>
        <v>5</v>
      </c>
      <c r="I175" s="7">
        <f t="shared" si="10"/>
        <v>49731</v>
      </c>
      <c r="J175" s="7">
        <f t="shared" si="11"/>
        <v>35026</v>
      </c>
      <c r="K175" s="7" t="str">
        <f t="shared" si="12"/>
        <v>A</v>
      </c>
      <c r="L175" s="7" t="str">
        <f t="shared" si="13"/>
        <v>Transformative change</v>
      </c>
      <c r="M175" s="7" t="str">
        <f t="shared" si="14"/>
        <v>Medium</v>
      </c>
      <c r="N175" s="7">
        <f t="shared" si="15"/>
        <v>2636145</v>
      </c>
      <c r="O175" s="7">
        <f t="shared" si="16"/>
        <v>1284488.888</v>
      </c>
      <c r="P175" s="7">
        <f t="shared" ref="P175:Q175" si="1053">RANDBETWEEN(0,22)</f>
        <v>20</v>
      </c>
      <c r="Q175" s="7">
        <f t="shared" si="1053"/>
        <v>9</v>
      </c>
      <c r="R175" s="7">
        <f t="shared" ref="R175:T175" si="1054">IF(S175=1,1,RANDBETWEEN(0,1))</f>
        <v>1</v>
      </c>
      <c r="S175" s="7">
        <f t="shared" si="1054"/>
        <v>1</v>
      </c>
      <c r="T175" s="7">
        <f t="shared" si="1054"/>
        <v>1</v>
      </c>
      <c r="U175" s="7">
        <f t="shared" si="19"/>
        <v>1</v>
      </c>
      <c r="V175" s="7">
        <f t="shared" ref="V175:X175" si="1055">IF(W175=1,1,RANDBETWEEN(0,1))</f>
        <v>1</v>
      </c>
      <c r="W175" s="7">
        <f t="shared" si="1055"/>
        <v>1</v>
      </c>
      <c r="X175" s="7">
        <f t="shared" si="1055"/>
        <v>1</v>
      </c>
      <c r="Y175" s="7">
        <f t="shared" si="21"/>
        <v>1</v>
      </c>
      <c r="Z175" s="7">
        <f t="shared" ref="Z175:AB175" si="1056">IF(AA175=1,1,RANDBETWEEN(0,1))</f>
        <v>1</v>
      </c>
      <c r="AA175" s="7">
        <f t="shared" si="1056"/>
        <v>1</v>
      </c>
      <c r="AB175" s="7">
        <f t="shared" si="1056"/>
        <v>1</v>
      </c>
      <c r="AC175" s="7">
        <f t="shared" si="23"/>
        <v>0</v>
      </c>
      <c r="AD175" s="7">
        <f t="shared" ref="AD175:AF175" si="1057">IF(AE175=1,1,RANDBETWEEN(0,1))</f>
        <v>1</v>
      </c>
      <c r="AE175" s="7">
        <f t="shared" si="1057"/>
        <v>1</v>
      </c>
      <c r="AF175" s="7">
        <f t="shared" si="1057"/>
        <v>1</v>
      </c>
      <c r="AG175" s="7">
        <f t="shared" si="25"/>
        <v>1</v>
      </c>
    </row>
    <row r="176">
      <c r="A176" s="4" t="s">
        <v>524</v>
      </c>
      <c r="B176" s="4" t="s">
        <v>525</v>
      </c>
      <c r="C176" s="4" t="s">
        <v>526</v>
      </c>
      <c r="D176" s="5">
        <v>536921.0</v>
      </c>
      <c r="E176" s="6">
        <f t="shared" si="7"/>
        <v>8135.17</v>
      </c>
      <c r="F176" s="7">
        <f t="shared" ref="F176:G176" si="1058">ROUND(RAND(),2)</f>
        <v>0.65</v>
      </c>
      <c r="G176" s="7">
        <f t="shared" si="1058"/>
        <v>0.47</v>
      </c>
      <c r="H176" s="7">
        <f t="shared" si="9"/>
        <v>5</v>
      </c>
      <c r="I176" s="7">
        <f t="shared" si="10"/>
        <v>53084</v>
      </c>
      <c r="J176" s="7">
        <f t="shared" si="11"/>
        <v>23734</v>
      </c>
      <c r="K176" s="7" t="str">
        <f t="shared" si="12"/>
        <v>A</v>
      </c>
      <c r="L176" s="7" t="str">
        <f t="shared" si="13"/>
        <v>Transformative change</v>
      </c>
      <c r="M176" s="7" t="str">
        <f t="shared" si="14"/>
        <v>High</v>
      </c>
      <c r="N176" s="7">
        <f t="shared" si="15"/>
        <v>3181416</v>
      </c>
      <c r="O176" s="7">
        <f t="shared" si="16"/>
        <v>1466860.017</v>
      </c>
      <c r="P176" s="7">
        <f t="shared" ref="P176:Q176" si="1059">RANDBETWEEN(0,22)</f>
        <v>12</v>
      </c>
      <c r="Q176" s="7">
        <f t="shared" si="1059"/>
        <v>2</v>
      </c>
      <c r="R176" s="7">
        <f t="shared" ref="R176:T176" si="1060">IF(S176=1,1,RANDBETWEEN(0,1))</f>
        <v>1</v>
      </c>
      <c r="S176" s="7">
        <f t="shared" si="1060"/>
        <v>1</v>
      </c>
      <c r="T176" s="7">
        <f t="shared" si="1060"/>
        <v>1</v>
      </c>
      <c r="U176" s="7">
        <f t="shared" si="19"/>
        <v>1</v>
      </c>
      <c r="V176" s="7">
        <f t="shared" ref="V176:X176" si="1061">IF(W176=1,1,RANDBETWEEN(0,1))</f>
        <v>1</v>
      </c>
      <c r="W176" s="7">
        <f t="shared" si="1061"/>
        <v>1</v>
      </c>
      <c r="X176" s="7">
        <f t="shared" si="1061"/>
        <v>1</v>
      </c>
      <c r="Y176" s="7">
        <f t="shared" si="21"/>
        <v>1</v>
      </c>
      <c r="Z176" s="7">
        <f t="shared" ref="Z176:AB176" si="1062">IF(AA176=1,1,RANDBETWEEN(0,1))</f>
        <v>1</v>
      </c>
      <c r="AA176" s="7">
        <f t="shared" si="1062"/>
        <v>1</v>
      </c>
      <c r="AB176" s="7">
        <f t="shared" si="1062"/>
        <v>1</v>
      </c>
      <c r="AC176" s="7">
        <f t="shared" si="23"/>
        <v>1</v>
      </c>
      <c r="AD176" s="7">
        <f t="shared" ref="AD176:AF176" si="1063">IF(AE176=1,1,RANDBETWEEN(0,1))</f>
        <v>0</v>
      </c>
      <c r="AE176" s="7">
        <f t="shared" si="1063"/>
        <v>0</v>
      </c>
      <c r="AF176" s="7">
        <f t="shared" si="1063"/>
        <v>0</v>
      </c>
      <c r="AG176" s="7">
        <f t="shared" si="25"/>
        <v>0</v>
      </c>
    </row>
    <row r="177">
      <c r="A177" s="4" t="s">
        <v>527</v>
      </c>
      <c r="B177" s="4" t="s">
        <v>528</v>
      </c>
      <c r="C177" s="4" t="s">
        <v>529</v>
      </c>
      <c r="D177" s="5">
        <v>16946.0</v>
      </c>
      <c r="E177" s="6">
        <f t="shared" si="7"/>
        <v>891</v>
      </c>
      <c r="F177" s="7">
        <f t="shared" ref="F177:G177" si="1064">ROUND(RAND(),2)</f>
        <v>0.89</v>
      </c>
      <c r="G177" s="7">
        <f t="shared" si="1064"/>
        <v>0.73</v>
      </c>
      <c r="H177" s="7">
        <f t="shared" si="9"/>
        <v>4</v>
      </c>
      <c r="I177" s="7">
        <f t="shared" si="10"/>
        <v>64925</v>
      </c>
      <c r="J177" s="7">
        <f t="shared" si="11"/>
        <v>11959</v>
      </c>
      <c r="K177" s="7" t="str">
        <f t="shared" si="12"/>
        <v>G</v>
      </c>
      <c r="L177" s="7" t="str">
        <f t="shared" si="13"/>
        <v>Transformative change</v>
      </c>
      <c r="M177" s="7" t="str">
        <f t="shared" si="14"/>
        <v>High</v>
      </c>
      <c r="N177" s="7">
        <f t="shared" si="15"/>
        <v>1100110</v>
      </c>
      <c r="O177" s="7">
        <f t="shared" si="16"/>
        <v>311911.2152</v>
      </c>
      <c r="P177" s="7">
        <f t="shared" ref="P177:Q177" si="1065">RANDBETWEEN(0,22)</f>
        <v>13</v>
      </c>
      <c r="Q177" s="7">
        <f t="shared" si="1065"/>
        <v>2</v>
      </c>
      <c r="R177" s="7">
        <f t="shared" ref="R177:T177" si="1066">IF(S177=1,1,RANDBETWEEN(0,1))</f>
        <v>1</v>
      </c>
      <c r="S177" s="7">
        <f t="shared" si="1066"/>
        <v>0</v>
      </c>
      <c r="T177" s="7">
        <f t="shared" si="1066"/>
        <v>0</v>
      </c>
      <c r="U177" s="7">
        <f t="shared" si="19"/>
        <v>0</v>
      </c>
      <c r="V177" s="7">
        <f t="shared" ref="V177:X177" si="1067">IF(W177=1,1,RANDBETWEEN(0,1))</f>
        <v>1</v>
      </c>
      <c r="W177" s="7">
        <f t="shared" si="1067"/>
        <v>1</v>
      </c>
      <c r="X177" s="7">
        <f t="shared" si="1067"/>
        <v>0</v>
      </c>
      <c r="Y177" s="7">
        <f t="shared" si="21"/>
        <v>0</v>
      </c>
      <c r="Z177" s="7">
        <f t="shared" ref="Z177:AB177" si="1068">IF(AA177=1,1,RANDBETWEEN(0,1))</f>
        <v>1</v>
      </c>
      <c r="AA177" s="7">
        <f t="shared" si="1068"/>
        <v>1</v>
      </c>
      <c r="AB177" s="7">
        <f t="shared" si="1068"/>
        <v>1</v>
      </c>
      <c r="AC177" s="7">
        <f t="shared" si="23"/>
        <v>1</v>
      </c>
      <c r="AD177" s="7">
        <f t="shared" ref="AD177:AF177" si="1069">IF(AE177=1,1,RANDBETWEEN(0,1))</f>
        <v>1</v>
      </c>
      <c r="AE177" s="7">
        <f t="shared" si="1069"/>
        <v>1</v>
      </c>
      <c r="AF177" s="7">
        <f t="shared" si="1069"/>
        <v>1</v>
      </c>
      <c r="AG177" s="7">
        <f t="shared" si="25"/>
        <v>1</v>
      </c>
    </row>
    <row r="178">
      <c r="A178" s="4" t="s">
        <v>530</v>
      </c>
      <c r="B178" s="4" t="s">
        <v>531</v>
      </c>
      <c r="C178" s="4" t="s">
        <v>532</v>
      </c>
      <c r="D178" s="5">
        <v>5096.0</v>
      </c>
      <c r="E178" s="6">
        <f t="shared" si="7"/>
        <v>935</v>
      </c>
      <c r="F178" s="7">
        <f t="shared" ref="F178:G178" si="1070">ROUND(RAND(),2)</f>
        <v>0.85</v>
      </c>
      <c r="G178" s="7">
        <f t="shared" si="1070"/>
        <v>0.8</v>
      </c>
      <c r="H178" s="7">
        <f t="shared" si="9"/>
        <v>4</v>
      </c>
      <c r="I178" s="7">
        <f t="shared" si="10"/>
        <v>15820</v>
      </c>
      <c r="J178" s="7">
        <f t="shared" si="11"/>
        <v>24315</v>
      </c>
      <c r="K178" s="7" t="str">
        <f t="shared" si="12"/>
        <v>D</v>
      </c>
      <c r="L178" s="7" t="str">
        <f t="shared" si="13"/>
        <v>Transformative change</v>
      </c>
      <c r="M178" s="7" t="str">
        <f t="shared" si="14"/>
        <v>High</v>
      </c>
      <c r="N178" s="7">
        <f t="shared" si="15"/>
        <v>2657505</v>
      </c>
      <c r="O178" s="7">
        <f t="shared" si="16"/>
        <v>1966461.298</v>
      </c>
      <c r="P178" s="7">
        <f t="shared" ref="P178:Q178" si="1071">RANDBETWEEN(0,22)</f>
        <v>8</v>
      </c>
      <c r="Q178" s="7">
        <f t="shared" si="1071"/>
        <v>18</v>
      </c>
      <c r="R178" s="7">
        <f t="shared" ref="R178:T178" si="1072">IF(S178=1,1,RANDBETWEEN(0,1))</f>
        <v>1</v>
      </c>
      <c r="S178" s="7">
        <f t="shared" si="1072"/>
        <v>1</v>
      </c>
      <c r="T178" s="7">
        <f t="shared" si="1072"/>
        <v>1</v>
      </c>
      <c r="U178" s="7">
        <f t="shared" si="19"/>
        <v>0</v>
      </c>
      <c r="V178" s="7">
        <f t="shared" ref="V178:X178" si="1073">IF(W178=1,1,RANDBETWEEN(0,1))</f>
        <v>1</v>
      </c>
      <c r="W178" s="7">
        <f t="shared" si="1073"/>
        <v>1</v>
      </c>
      <c r="X178" s="7">
        <f t="shared" si="1073"/>
        <v>1</v>
      </c>
      <c r="Y178" s="7">
        <f t="shared" si="21"/>
        <v>1</v>
      </c>
      <c r="Z178" s="7">
        <f t="shared" ref="Z178:AB178" si="1074">IF(AA178=1,1,RANDBETWEEN(0,1))</f>
        <v>1</v>
      </c>
      <c r="AA178" s="7">
        <f t="shared" si="1074"/>
        <v>1</v>
      </c>
      <c r="AB178" s="7">
        <f t="shared" si="1074"/>
        <v>1</v>
      </c>
      <c r="AC178" s="7">
        <f t="shared" si="23"/>
        <v>0</v>
      </c>
      <c r="AD178" s="7">
        <f t="shared" ref="AD178:AF178" si="1075">IF(AE178=1,1,RANDBETWEEN(0,1))</f>
        <v>1</v>
      </c>
      <c r="AE178" s="7">
        <f t="shared" si="1075"/>
        <v>1</v>
      </c>
      <c r="AF178" s="7">
        <f t="shared" si="1075"/>
        <v>1</v>
      </c>
      <c r="AG178" s="7">
        <f t="shared" si="25"/>
        <v>0</v>
      </c>
    </row>
    <row r="179">
      <c r="A179" s="4" t="s">
        <v>533</v>
      </c>
      <c r="B179" s="4" t="s">
        <v>534</v>
      </c>
      <c r="C179" s="4" t="s">
        <v>174</v>
      </c>
      <c r="D179" s="5">
        <v>7134.0</v>
      </c>
      <c r="E179" s="6">
        <f t="shared" si="7"/>
        <v>1042</v>
      </c>
      <c r="F179" s="7">
        <f t="shared" ref="F179:G179" si="1076">ROUND(RAND(),2)</f>
        <v>0.47</v>
      </c>
      <c r="G179" s="7">
        <f t="shared" si="1076"/>
        <v>0.91</v>
      </c>
      <c r="H179" s="7">
        <f t="shared" si="9"/>
        <v>1</v>
      </c>
      <c r="I179" s="7">
        <f t="shared" si="10"/>
        <v>82845</v>
      </c>
      <c r="J179" s="7">
        <f t="shared" si="11"/>
        <v>66015</v>
      </c>
      <c r="K179" s="7" t="str">
        <f t="shared" si="12"/>
        <v>F</v>
      </c>
      <c r="L179" s="7" t="str">
        <f t="shared" si="13"/>
        <v>Transformative change</v>
      </c>
      <c r="M179" s="7" t="str">
        <f t="shared" si="14"/>
        <v>Low</v>
      </c>
      <c r="N179" s="7">
        <f t="shared" si="15"/>
        <v>1877789</v>
      </c>
      <c r="O179" s="7">
        <f t="shared" si="16"/>
        <v>101805.0426</v>
      </c>
      <c r="P179" s="7">
        <f t="shared" ref="P179:Q179" si="1077">RANDBETWEEN(0,22)</f>
        <v>11</v>
      </c>
      <c r="Q179" s="7">
        <f t="shared" si="1077"/>
        <v>17</v>
      </c>
      <c r="R179" s="7">
        <f t="shared" ref="R179:T179" si="1078">IF(S179=1,1,RANDBETWEEN(0,1))</f>
        <v>1</v>
      </c>
      <c r="S179" s="7">
        <f t="shared" si="1078"/>
        <v>1</v>
      </c>
      <c r="T179" s="7">
        <f t="shared" si="1078"/>
        <v>1</v>
      </c>
      <c r="U179" s="7">
        <f t="shared" si="19"/>
        <v>1</v>
      </c>
      <c r="V179" s="7">
        <f t="shared" ref="V179:X179" si="1079">IF(W179=1,1,RANDBETWEEN(0,1))</f>
        <v>1</v>
      </c>
      <c r="W179" s="7">
        <f t="shared" si="1079"/>
        <v>1</v>
      </c>
      <c r="X179" s="7">
        <f t="shared" si="1079"/>
        <v>0</v>
      </c>
      <c r="Y179" s="7">
        <f t="shared" si="21"/>
        <v>0</v>
      </c>
      <c r="Z179" s="7">
        <f t="shared" ref="Z179:AB179" si="1080">IF(AA179=1,1,RANDBETWEEN(0,1))</f>
        <v>1</v>
      </c>
      <c r="AA179" s="7">
        <f t="shared" si="1080"/>
        <v>1</v>
      </c>
      <c r="AB179" s="7">
        <f t="shared" si="1080"/>
        <v>1</v>
      </c>
      <c r="AC179" s="7">
        <f t="shared" si="23"/>
        <v>0</v>
      </c>
      <c r="AD179" s="7">
        <f t="shared" ref="AD179:AF179" si="1081">IF(AE179=1,1,RANDBETWEEN(0,1))</f>
        <v>1</v>
      </c>
      <c r="AE179" s="7">
        <f t="shared" si="1081"/>
        <v>1</v>
      </c>
      <c r="AF179" s="7">
        <f t="shared" si="1081"/>
        <v>1</v>
      </c>
      <c r="AG179" s="7">
        <f t="shared" si="25"/>
        <v>1</v>
      </c>
    </row>
    <row r="180">
      <c r="A180" s="4" t="s">
        <v>535</v>
      </c>
      <c r="B180" s="4" t="s">
        <v>536</v>
      </c>
      <c r="C180" s="4" t="s">
        <v>537</v>
      </c>
      <c r="D180" s="5">
        <v>18324.0</v>
      </c>
      <c r="E180" s="6">
        <f t="shared" si="7"/>
        <v>895</v>
      </c>
      <c r="F180" s="7">
        <f t="shared" ref="F180:G180" si="1082">ROUND(RAND(),2)</f>
        <v>0.72</v>
      </c>
      <c r="G180" s="7">
        <f t="shared" si="1082"/>
        <v>0.88</v>
      </c>
      <c r="H180" s="7">
        <f t="shared" si="9"/>
        <v>2</v>
      </c>
      <c r="I180" s="7">
        <f t="shared" si="10"/>
        <v>87806</v>
      </c>
      <c r="J180" s="7">
        <f t="shared" si="11"/>
        <v>57288</v>
      </c>
      <c r="K180" s="7" t="str">
        <f t="shared" si="12"/>
        <v>G</v>
      </c>
      <c r="L180" s="7" t="str">
        <f t="shared" si="13"/>
        <v>Transformative change</v>
      </c>
      <c r="M180" s="7" t="str">
        <f t="shared" si="14"/>
        <v>Low</v>
      </c>
      <c r="N180" s="7">
        <f t="shared" si="15"/>
        <v>2262101</v>
      </c>
      <c r="O180" s="7">
        <f t="shared" si="16"/>
        <v>777165.5361</v>
      </c>
      <c r="P180" s="7">
        <f t="shared" ref="P180:Q180" si="1083">RANDBETWEEN(0,22)</f>
        <v>6</v>
      </c>
      <c r="Q180" s="7">
        <f t="shared" si="1083"/>
        <v>21</v>
      </c>
      <c r="R180" s="7">
        <f t="shared" ref="R180:T180" si="1084">IF(S180=1,1,RANDBETWEEN(0,1))</f>
        <v>1</v>
      </c>
      <c r="S180" s="7">
        <f t="shared" si="1084"/>
        <v>1</v>
      </c>
      <c r="T180" s="7">
        <f t="shared" si="1084"/>
        <v>1</v>
      </c>
      <c r="U180" s="7">
        <f t="shared" si="19"/>
        <v>0</v>
      </c>
      <c r="V180" s="7">
        <f t="shared" ref="V180:X180" si="1085">IF(W180=1,1,RANDBETWEEN(0,1))</f>
        <v>1</v>
      </c>
      <c r="W180" s="7">
        <f t="shared" si="1085"/>
        <v>1</v>
      </c>
      <c r="X180" s="7">
        <f t="shared" si="1085"/>
        <v>1</v>
      </c>
      <c r="Y180" s="7">
        <f t="shared" si="21"/>
        <v>0</v>
      </c>
      <c r="Z180" s="7">
        <f t="shared" ref="Z180:AB180" si="1086">IF(AA180=1,1,RANDBETWEEN(0,1))</f>
        <v>1</v>
      </c>
      <c r="AA180" s="7">
        <f t="shared" si="1086"/>
        <v>1</v>
      </c>
      <c r="AB180" s="7">
        <f t="shared" si="1086"/>
        <v>1</v>
      </c>
      <c r="AC180" s="7">
        <f t="shared" si="23"/>
        <v>1</v>
      </c>
      <c r="AD180" s="7">
        <f t="shared" ref="AD180:AF180" si="1087">IF(AE180=1,1,RANDBETWEEN(0,1))</f>
        <v>0</v>
      </c>
      <c r="AE180" s="7">
        <f t="shared" si="1087"/>
        <v>0</v>
      </c>
      <c r="AF180" s="7">
        <f t="shared" si="1087"/>
        <v>0</v>
      </c>
      <c r="AG180" s="7">
        <f t="shared" si="25"/>
        <v>0</v>
      </c>
    </row>
    <row r="181">
      <c r="A181" s="4" t="s">
        <v>538</v>
      </c>
      <c r="B181" s="4" t="s">
        <v>539</v>
      </c>
      <c r="C181" s="4" t="s">
        <v>95</v>
      </c>
      <c r="D181" s="5">
        <v>15537.0</v>
      </c>
      <c r="E181" s="6">
        <f t="shared" si="7"/>
        <v>1062</v>
      </c>
      <c r="F181" s="7">
        <f t="shared" ref="F181:G181" si="1088">ROUND(RAND(),2)</f>
        <v>0.13</v>
      </c>
      <c r="G181" s="7">
        <f t="shared" si="1088"/>
        <v>0.66</v>
      </c>
      <c r="H181" s="7">
        <f t="shared" si="9"/>
        <v>2</v>
      </c>
      <c r="I181" s="7">
        <f t="shared" si="10"/>
        <v>63174</v>
      </c>
      <c r="J181" s="7">
        <f t="shared" si="11"/>
        <v>22232</v>
      </c>
      <c r="K181" s="7" t="str">
        <f t="shared" si="12"/>
        <v>B</v>
      </c>
      <c r="L181" s="7" t="str">
        <f t="shared" si="13"/>
        <v>Transformative change</v>
      </c>
      <c r="M181" s="7" t="str">
        <f t="shared" si="14"/>
        <v>High</v>
      </c>
      <c r="N181" s="7">
        <f t="shared" si="15"/>
        <v>1522098</v>
      </c>
      <c r="O181" s="7">
        <f t="shared" si="16"/>
        <v>1362723.959</v>
      </c>
      <c r="P181" s="7">
        <f t="shared" ref="P181:Q181" si="1089">RANDBETWEEN(0,22)</f>
        <v>14</v>
      </c>
      <c r="Q181" s="7">
        <f t="shared" si="1089"/>
        <v>4</v>
      </c>
      <c r="R181" s="7">
        <f t="shared" ref="R181:T181" si="1090">IF(S181=1,1,RANDBETWEEN(0,1))</f>
        <v>1</v>
      </c>
      <c r="S181" s="7">
        <f t="shared" si="1090"/>
        <v>1</v>
      </c>
      <c r="T181" s="7">
        <f t="shared" si="1090"/>
        <v>1</v>
      </c>
      <c r="U181" s="7">
        <f t="shared" si="19"/>
        <v>1</v>
      </c>
      <c r="V181" s="7">
        <f t="shared" ref="V181:X181" si="1091">IF(W181=1,1,RANDBETWEEN(0,1))</f>
        <v>1</v>
      </c>
      <c r="W181" s="7">
        <f t="shared" si="1091"/>
        <v>1</v>
      </c>
      <c r="X181" s="7">
        <f t="shared" si="1091"/>
        <v>1</v>
      </c>
      <c r="Y181" s="7">
        <f t="shared" si="21"/>
        <v>1</v>
      </c>
      <c r="Z181" s="7">
        <f t="shared" ref="Z181:AB181" si="1092">IF(AA181=1,1,RANDBETWEEN(0,1))</f>
        <v>0</v>
      </c>
      <c r="AA181" s="7">
        <f t="shared" si="1092"/>
        <v>0</v>
      </c>
      <c r="AB181" s="7">
        <f t="shared" si="1092"/>
        <v>0</v>
      </c>
      <c r="AC181" s="7">
        <f t="shared" si="23"/>
        <v>0</v>
      </c>
      <c r="AD181" s="7">
        <f t="shared" ref="AD181:AF181" si="1093">IF(AE181=1,1,RANDBETWEEN(0,1))</f>
        <v>1</v>
      </c>
      <c r="AE181" s="7">
        <f t="shared" si="1093"/>
        <v>1</v>
      </c>
      <c r="AF181" s="7">
        <f t="shared" si="1093"/>
        <v>1</v>
      </c>
      <c r="AG181" s="7">
        <f t="shared" si="25"/>
        <v>0</v>
      </c>
    </row>
    <row r="182">
      <c r="A182" s="4" t="s">
        <v>540</v>
      </c>
      <c r="B182" s="4" t="s">
        <v>541</v>
      </c>
      <c r="C182" s="4" t="s">
        <v>95</v>
      </c>
      <c r="D182" s="5">
        <v>16622.0</v>
      </c>
      <c r="E182" s="6">
        <f t="shared" si="7"/>
        <v>1082</v>
      </c>
      <c r="F182" s="7">
        <f t="shared" ref="F182:G182" si="1094">ROUND(RAND(),2)</f>
        <v>0.77</v>
      </c>
      <c r="G182" s="7">
        <f t="shared" si="1094"/>
        <v>0.13</v>
      </c>
      <c r="H182" s="7">
        <f t="shared" si="9"/>
        <v>2</v>
      </c>
      <c r="I182" s="7">
        <f t="shared" si="10"/>
        <v>77870</v>
      </c>
      <c r="J182" s="7">
        <f t="shared" si="11"/>
        <v>12024</v>
      </c>
      <c r="K182" s="7" t="str">
        <f t="shared" si="12"/>
        <v>A</v>
      </c>
      <c r="L182" s="7" t="str">
        <f t="shared" si="13"/>
        <v>Transformative change</v>
      </c>
      <c r="M182" s="7" t="str">
        <f t="shared" si="14"/>
        <v>Low</v>
      </c>
      <c r="N182" s="7">
        <f t="shared" si="15"/>
        <v>3688259</v>
      </c>
      <c r="O182" s="7">
        <f t="shared" si="16"/>
        <v>1522096.241</v>
      </c>
      <c r="P182" s="7">
        <f t="shared" ref="P182:Q182" si="1095">RANDBETWEEN(0,22)</f>
        <v>1</v>
      </c>
      <c r="Q182" s="7">
        <f t="shared" si="1095"/>
        <v>7</v>
      </c>
      <c r="R182" s="7">
        <f t="shared" ref="R182:T182" si="1096">IF(S182=1,1,RANDBETWEEN(0,1))</f>
        <v>1</v>
      </c>
      <c r="S182" s="7">
        <f t="shared" si="1096"/>
        <v>1</v>
      </c>
      <c r="T182" s="7">
        <f t="shared" si="1096"/>
        <v>1</v>
      </c>
      <c r="U182" s="7">
        <f t="shared" si="19"/>
        <v>0</v>
      </c>
      <c r="V182" s="7">
        <f t="shared" ref="V182:X182" si="1097">IF(W182=1,1,RANDBETWEEN(0,1))</f>
        <v>1</v>
      </c>
      <c r="W182" s="7">
        <f t="shared" si="1097"/>
        <v>1</v>
      </c>
      <c r="X182" s="7">
        <f t="shared" si="1097"/>
        <v>1</v>
      </c>
      <c r="Y182" s="7">
        <f t="shared" si="21"/>
        <v>1</v>
      </c>
      <c r="Z182" s="7">
        <f t="shared" ref="Z182:AB182" si="1098">IF(AA182=1,1,RANDBETWEEN(0,1))</f>
        <v>0</v>
      </c>
      <c r="AA182" s="7">
        <f t="shared" si="1098"/>
        <v>0</v>
      </c>
      <c r="AB182" s="7">
        <f t="shared" si="1098"/>
        <v>0</v>
      </c>
      <c r="AC182" s="7">
        <f t="shared" si="23"/>
        <v>0</v>
      </c>
      <c r="AD182" s="7">
        <f t="shared" ref="AD182:AF182" si="1099">IF(AE182=1,1,RANDBETWEEN(0,1))</f>
        <v>1</v>
      </c>
      <c r="AE182" s="7">
        <f t="shared" si="1099"/>
        <v>1</v>
      </c>
      <c r="AF182" s="7">
        <f t="shared" si="1099"/>
        <v>0</v>
      </c>
      <c r="AG182" s="7">
        <f t="shared" si="25"/>
        <v>0</v>
      </c>
    </row>
    <row r="183">
      <c r="A183" s="4" t="s">
        <v>542</v>
      </c>
      <c r="B183" s="4" t="s">
        <v>543</v>
      </c>
      <c r="C183" s="4" t="s">
        <v>95</v>
      </c>
      <c r="D183" s="5">
        <v>554197.0</v>
      </c>
      <c r="E183" s="6">
        <f t="shared" si="7"/>
        <v>3507.58</v>
      </c>
      <c r="F183" s="7">
        <f t="shared" ref="F183:G183" si="1100">ROUND(RAND(),2)</f>
        <v>0.98</v>
      </c>
      <c r="G183" s="7">
        <f t="shared" si="1100"/>
        <v>0.9</v>
      </c>
      <c r="H183" s="7">
        <f t="shared" si="9"/>
        <v>2</v>
      </c>
      <c r="I183" s="7">
        <f t="shared" si="10"/>
        <v>22840</v>
      </c>
      <c r="J183" s="7">
        <f t="shared" si="11"/>
        <v>55412</v>
      </c>
      <c r="K183" s="7" t="str">
        <f t="shared" si="12"/>
        <v>D</v>
      </c>
      <c r="L183" s="7" t="str">
        <f t="shared" si="13"/>
        <v>Transformative change</v>
      </c>
      <c r="M183" s="7" t="str">
        <f t="shared" si="14"/>
        <v>Low</v>
      </c>
      <c r="N183" s="7">
        <f t="shared" si="15"/>
        <v>1317697</v>
      </c>
      <c r="O183" s="7">
        <f t="shared" si="16"/>
        <v>496925.9252</v>
      </c>
      <c r="P183" s="7">
        <f t="shared" ref="P183:Q183" si="1101">RANDBETWEEN(0,22)</f>
        <v>4</v>
      </c>
      <c r="Q183" s="7">
        <f t="shared" si="1101"/>
        <v>17</v>
      </c>
      <c r="R183" s="7">
        <f t="shared" ref="R183:T183" si="1102">IF(S183=1,1,RANDBETWEEN(0,1))</f>
        <v>1</v>
      </c>
      <c r="S183" s="7">
        <f t="shared" si="1102"/>
        <v>1</v>
      </c>
      <c r="T183" s="7">
        <f t="shared" si="1102"/>
        <v>1</v>
      </c>
      <c r="U183" s="7">
        <f t="shared" si="19"/>
        <v>1</v>
      </c>
      <c r="V183" s="7">
        <f t="shared" ref="V183:X183" si="1103">IF(W183=1,1,RANDBETWEEN(0,1))</f>
        <v>1</v>
      </c>
      <c r="W183" s="7">
        <f t="shared" si="1103"/>
        <v>1</v>
      </c>
      <c r="X183" s="7">
        <f t="shared" si="1103"/>
        <v>1</v>
      </c>
      <c r="Y183" s="7">
        <f t="shared" si="21"/>
        <v>1</v>
      </c>
      <c r="Z183" s="7">
        <f t="shared" ref="Z183:AB183" si="1104">IF(AA183=1,1,RANDBETWEEN(0,1))</f>
        <v>1</v>
      </c>
      <c r="AA183" s="7">
        <f t="shared" si="1104"/>
        <v>1</v>
      </c>
      <c r="AB183" s="7">
        <f t="shared" si="1104"/>
        <v>0</v>
      </c>
      <c r="AC183" s="7">
        <f t="shared" si="23"/>
        <v>0</v>
      </c>
      <c r="AD183" s="7">
        <f t="shared" ref="AD183:AF183" si="1105">IF(AE183=1,1,RANDBETWEEN(0,1))</f>
        <v>1</v>
      </c>
      <c r="AE183" s="7">
        <f t="shared" si="1105"/>
        <v>1</v>
      </c>
      <c r="AF183" s="7">
        <f t="shared" si="1105"/>
        <v>1</v>
      </c>
      <c r="AG183" s="7">
        <f t="shared" si="25"/>
        <v>1</v>
      </c>
    </row>
    <row r="184">
      <c r="A184" s="4" t="s">
        <v>544</v>
      </c>
      <c r="B184" s="4" t="s">
        <v>545</v>
      </c>
      <c r="C184" s="4" t="s">
        <v>95</v>
      </c>
      <c r="D184" s="5">
        <v>17345.0</v>
      </c>
      <c r="E184" s="6">
        <f t="shared" si="7"/>
        <v>1032</v>
      </c>
      <c r="F184" s="7">
        <f t="shared" ref="F184:G184" si="1106">ROUND(RAND(),2)</f>
        <v>0.94</v>
      </c>
      <c r="G184" s="7">
        <f t="shared" si="1106"/>
        <v>0.74</v>
      </c>
      <c r="H184" s="7">
        <f t="shared" si="9"/>
        <v>2</v>
      </c>
      <c r="I184" s="7">
        <f t="shared" si="10"/>
        <v>56072</v>
      </c>
      <c r="J184" s="7">
        <f t="shared" si="11"/>
        <v>335</v>
      </c>
      <c r="K184" s="7" t="str">
        <f t="shared" si="12"/>
        <v>D</v>
      </c>
      <c r="L184" s="7" t="str">
        <f t="shared" si="13"/>
        <v>Transformative change</v>
      </c>
      <c r="M184" s="7" t="str">
        <f t="shared" si="14"/>
        <v>Low</v>
      </c>
      <c r="N184" s="7">
        <f t="shared" si="15"/>
        <v>734203</v>
      </c>
      <c r="O184" s="7">
        <f t="shared" si="16"/>
        <v>341748.7594</v>
      </c>
      <c r="P184" s="7">
        <f t="shared" ref="P184:Q184" si="1107">RANDBETWEEN(0,22)</f>
        <v>12</v>
      </c>
      <c r="Q184" s="7">
        <f t="shared" si="1107"/>
        <v>18</v>
      </c>
      <c r="R184" s="7">
        <f t="shared" ref="R184:T184" si="1108">IF(S184=1,1,RANDBETWEEN(0,1))</f>
        <v>1</v>
      </c>
      <c r="S184" s="7">
        <f t="shared" si="1108"/>
        <v>1</v>
      </c>
      <c r="T184" s="7">
        <f t="shared" si="1108"/>
        <v>1</v>
      </c>
      <c r="U184" s="7">
        <f t="shared" si="19"/>
        <v>1</v>
      </c>
      <c r="V184" s="7">
        <f t="shared" ref="V184:X184" si="1109">IF(W184=1,1,RANDBETWEEN(0,1))</f>
        <v>1</v>
      </c>
      <c r="W184" s="7">
        <f t="shared" si="1109"/>
        <v>1</v>
      </c>
      <c r="X184" s="7">
        <f t="shared" si="1109"/>
        <v>1</v>
      </c>
      <c r="Y184" s="7">
        <f t="shared" si="21"/>
        <v>1</v>
      </c>
      <c r="Z184" s="7">
        <f t="shared" ref="Z184:AB184" si="1110">IF(AA184=1,1,RANDBETWEEN(0,1))</f>
        <v>1</v>
      </c>
      <c r="AA184" s="7">
        <f t="shared" si="1110"/>
        <v>1</v>
      </c>
      <c r="AB184" s="7">
        <f t="shared" si="1110"/>
        <v>1</v>
      </c>
      <c r="AC184" s="7">
        <f t="shared" si="23"/>
        <v>0</v>
      </c>
      <c r="AD184" s="7">
        <f t="shared" ref="AD184:AF184" si="1111">IF(AE184=1,1,RANDBETWEEN(0,1))</f>
        <v>0</v>
      </c>
      <c r="AE184" s="7">
        <f t="shared" si="1111"/>
        <v>0</v>
      </c>
      <c r="AF184" s="7">
        <f t="shared" si="1111"/>
        <v>0</v>
      </c>
      <c r="AG184" s="7">
        <f t="shared" si="25"/>
        <v>0</v>
      </c>
    </row>
    <row r="185">
      <c r="A185" s="4" t="s">
        <v>413</v>
      </c>
      <c r="B185" s="4" t="s">
        <v>546</v>
      </c>
      <c r="C185" s="4" t="s">
        <v>95</v>
      </c>
      <c r="D185" s="5">
        <v>14221.0</v>
      </c>
      <c r="E185" s="6">
        <f t="shared" si="7"/>
        <v>1099</v>
      </c>
      <c r="F185" s="7">
        <f t="shared" ref="F185:G185" si="1112">ROUND(RAND(),2)</f>
        <v>0.09</v>
      </c>
      <c r="G185" s="7">
        <f t="shared" si="1112"/>
        <v>0.19</v>
      </c>
      <c r="H185" s="7">
        <f t="shared" si="9"/>
        <v>5</v>
      </c>
      <c r="I185" s="7">
        <f t="shared" si="10"/>
        <v>76247</v>
      </c>
      <c r="J185" s="7">
        <f t="shared" si="11"/>
        <v>12300</v>
      </c>
      <c r="K185" s="7" t="str">
        <f t="shared" si="12"/>
        <v>A</v>
      </c>
      <c r="L185" s="7" t="str">
        <f t="shared" si="13"/>
        <v>Transformative change</v>
      </c>
      <c r="M185" s="7" t="str">
        <f t="shared" si="14"/>
        <v>Medium</v>
      </c>
      <c r="N185" s="7">
        <f t="shared" si="15"/>
        <v>615669</v>
      </c>
      <c r="O185" s="7">
        <f t="shared" si="16"/>
        <v>523252.4934</v>
      </c>
      <c r="P185" s="7">
        <f t="shared" ref="P185:Q185" si="1113">RANDBETWEEN(0,22)</f>
        <v>9</v>
      </c>
      <c r="Q185" s="7">
        <f t="shared" si="1113"/>
        <v>12</v>
      </c>
      <c r="R185" s="7">
        <f t="shared" ref="R185:T185" si="1114">IF(S185=1,1,RANDBETWEEN(0,1))</f>
        <v>1</v>
      </c>
      <c r="S185" s="7">
        <f t="shared" si="1114"/>
        <v>1</v>
      </c>
      <c r="T185" s="7">
        <f t="shared" si="1114"/>
        <v>1</v>
      </c>
      <c r="U185" s="7">
        <f t="shared" si="19"/>
        <v>1</v>
      </c>
      <c r="V185" s="7">
        <f t="shared" ref="V185:X185" si="1115">IF(W185=1,1,RANDBETWEEN(0,1))</f>
        <v>1</v>
      </c>
      <c r="W185" s="7">
        <f t="shared" si="1115"/>
        <v>1</v>
      </c>
      <c r="X185" s="7">
        <f t="shared" si="1115"/>
        <v>1</v>
      </c>
      <c r="Y185" s="7">
        <f t="shared" si="21"/>
        <v>1</v>
      </c>
      <c r="Z185" s="7">
        <f t="shared" ref="Z185:AB185" si="1116">IF(AA185=1,1,RANDBETWEEN(0,1))</f>
        <v>1</v>
      </c>
      <c r="AA185" s="7">
        <f t="shared" si="1116"/>
        <v>1</v>
      </c>
      <c r="AB185" s="7">
        <f t="shared" si="1116"/>
        <v>1</v>
      </c>
      <c r="AC185" s="7">
        <f t="shared" si="23"/>
        <v>0</v>
      </c>
      <c r="AD185" s="7">
        <f t="shared" ref="AD185:AF185" si="1117">IF(AE185=1,1,RANDBETWEEN(0,1))</f>
        <v>1</v>
      </c>
      <c r="AE185" s="7">
        <f t="shared" si="1117"/>
        <v>1</v>
      </c>
      <c r="AF185" s="7">
        <f t="shared" si="1117"/>
        <v>1</v>
      </c>
      <c r="AG185" s="7">
        <f t="shared" si="25"/>
        <v>0</v>
      </c>
    </row>
    <row r="186">
      <c r="A186" s="4" t="s">
        <v>547</v>
      </c>
      <c r="B186" s="4" t="s">
        <v>548</v>
      </c>
      <c r="C186" s="4" t="s">
        <v>549</v>
      </c>
      <c r="D186" s="5">
        <v>13575.0</v>
      </c>
      <c r="E186" s="6">
        <f t="shared" si="7"/>
        <v>960</v>
      </c>
      <c r="F186" s="7">
        <f t="shared" ref="F186:G186" si="1118">ROUND(RAND(),2)</f>
        <v>0.66</v>
      </c>
      <c r="G186" s="7">
        <f t="shared" si="1118"/>
        <v>0.68</v>
      </c>
      <c r="H186" s="7">
        <f t="shared" si="9"/>
        <v>4</v>
      </c>
      <c r="I186" s="7">
        <f t="shared" si="10"/>
        <v>46779</v>
      </c>
      <c r="J186" s="7">
        <f t="shared" si="11"/>
        <v>20747</v>
      </c>
      <c r="K186" s="7" t="str">
        <f t="shared" si="12"/>
        <v>C</v>
      </c>
      <c r="L186" s="7" t="str">
        <f t="shared" si="13"/>
        <v>Transformative change</v>
      </c>
      <c r="M186" s="7" t="str">
        <f t="shared" si="14"/>
        <v>Medium</v>
      </c>
      <c r="N186" s="7">
        <f t="shared" si="15"/>
        <v>437531</v>
      </c>
      <c r="O186" s="7">
        <f t="shared" si="16"/>
        <v>375328.1049</v>
      </c>
      <c r="P186" s="7">
        <f t="shared" ref="P186:Q186" si="1119">RANDBETWEEN(0,22)</f>
        <v>2</v>
      </c>
      <c r="Q186" s="7">
        <f t="shared" si="1119"/>
        <v>8</v>
      </c>
      <c r="R186" s="7">
        <f t="shared" ref="R186:T186" si="1120">IF(S186=1,1,RANDBETWEEN(0,1))</f>
        <v>1</v>
      </c>
      <c r="S186" s="7">
        <f t="shared" si="1120"/>
        <v>1</v>
      </c>
      <c r="T186" s="7">
        <f t="shared" si="1120"/>
        <v>1</v>
      </c>
      <c r="U186" s="7">
        <f t="shared" si="19"/>
        <v>0</v>
      </c>
      <c r="V186" s="7">
        <f t="shared" ref="V186:X186" si="1121">IF(W186=1,1,RANDBETWEEN(0,1))</f>
        <v>1</v>
      </c>
      <c r="W186" s="7">
        <f t="shared" si="1121"/>
        <v>1</v>
      </c>
      <c r="X186" s="7">
        <f t="shared" si="1121"/>
        <v>1</v>
      </c>
      <c r="Y186" s="7">
        <f t="shared" si="21"/>
        <v>1</v>
      </c>
      <c r="Z186" s="7">
        <f t="shared" ref="Z186:AB186" si="1122">IF(AA186=1,1,RANDBETWEEN(0,1))</f>
        <v>1</v>
      </c>
      <c r="AA186" s="7">
        <f t="shared" si="1122"/>
        <v>1</v>
      </c>
      <c r="AB186" s="7">
        <f t="shared" si="1122"/>
        <v>1</v>
      </c>
      <c r="AC186" s="7">
        <f t="shared" si="23"/>
        <v>0</v>
      </c>
      <c r="AD186" s="7">
        <f t="shared" ref="AD186:AF186" si="1123">IF(AE186=1,1,RANDBETWEEN(0,1))</f>
        <v>1</v>
      </c>
      <c r="AE186" s="7">
        <f t="shared" si="1123"/>
        <v>1</v>
      </c>
      <c r="AF186" s="7">
        <f t="shared" si="1123"/>
        <v>1</v>
      </c>
      <c r="AG186" s="7">
        <f t="shared" si="25"/>
        <v>1</v>
      </c>
    </row>
    <row r="187">
      <c r="A187" s="4" t="s">
        <v>550</v>
      </c>
      <c r="B187" s="4" t="s">
        <v>551</v>
      </c>
      <c r="C187" s="4" t="s">
        <v>95</v>
      </c>
      <c r="D187" s="5">
        <v>12438.0</v>
      </c>
      <c r="E187" s="6">
        <f t="shared" si="7"/>
        <v>996</v>
      </c>
      <c r="F187" s="7">
        <f t="shared" ref="F187:G187" si="1124">ROUND(RAND(),2)</f>
        <v>0.18</v>
      </c>
      <c r="G187" s="7">
        <f t="shared" si="1124"/>
        <v>0.08</v>
      </c>
      <c r="H187" s="7">
        <f t="shared" si="9"/>
        <v>1</v>
      </c>
      <c r="I187" s="7">
        <f t="shared" si="10"/>
        <v>97630</v>
      </c>
      <c r="J187" s="7">
        <f t="shared" si="11"/>
        <v>8669</v>
      </c>
      <c r="K187" s="7" t="str">
        <f t="shared" si="12"/>
        <v>C</v>
      </c>
      <c r="L187" s="7" t="str">
        <f t="shared" si="13"/>
        <v>Transformative change</v>
      </c>
      <c r="M187" s="7" t="str">
        <f t="shared" si="14"/>
        <v>Low</v>
      </c>
      <c r="N187" s="7">
        <f t="shared" si="15"/>
        <v>2862690</v>
      </c>
      <c r="O187" s="7">
        <f t="shared" si="16"/>
        <v>1264212.83</v>
      </c>
      <c r="P187" s="7">
        <f t="shared" ref="P187:Q187" si="1125">RANDBETWEEN(0,22)</f>
        <v>15</v>
      </c>
      <c r="Q187" s="7">
        <f t="shared" si="1125"/>
        <v>16</v>
      </c>
      <c r="R187" s="7">
        <f t="shared" ref="R187:T187" si="1126">IF(S187=1,1,RANDBETWEEN(0,1))</f>
        <v>1</v>
      </c>
      <c r="S187" s="7">
        <f t="shared" si="1126"/>
        <v>1</v>
      </c>
      <c r="T187" s="7">
        <f t="shared" si="1126"/>
        <v>1</v>
      </c>
      <c r="U187" s="7">
        <f t="shared" si="19"/>
        <v>1</v>
      </c>
      <c r="V187" s="7">
        <f t="shared" ref="V187:X187" si="1127">IF(W187=1,1,RANDBETWEEN(0,1))</f>
        <v>1</v>
      </c>
      <c r="W187" s="7">
        <f t="shared" si="1127"/>
        <v>1</v>
      </c>
      <c r="X187" s="7">
        <f t="shared" si="1127"/>
        <v>1</v>
      </c>
      <c r="Y187" s="7">
        <f t="shared" si="21"/>
        <v>1</v>
      </c>
      <c r="Z187" s="7">
        <f t="shared" ref="Z187:AB187" si="1128">IF(AA187=1,1,RANDBETWEEN(0,1))</f>
        <v>1</v>
      </c>
      <c r="AA187" s="7">
        <f t="shared" si="1128"/>
        <v>1</v>
      </c>
      <c r="AB187" s="7">
        <f t="shared" si="1128"/>
        <v>1</v>
      </c>
      <c r="AC187" s="7">
        <f t="shared" si="23"/>
        <v>1</v>
      </c>
      <c r="AD187" s="7">
        <f t="shared" ref="AD187:AF187" si="1129">IF(AE187=1,1,RANDBETWEEN(0,1))</f>
        <v>1</v>
      </c>
      <c r="AE187" s="7">
        <f t="shared" si="1129"/>
        <v>0</v>
      </c>
      <c r="AF187" s="7">
        <f t="shared" si="1129"/>
        <v>0</v>
      </c>
      <c r="AG187" s="7">
        <f t="shared" si="25"/>
        <v>0</v>
      </c>
    </row>
    <row r="188">
      <c r="A188" s="4" t="s">
        <v>552</v>
      </c>
      <c r="B188" s="4" t="s">
        <v>553</v>
      </c>
      <c r="C188" s="4" t="s">
        <v>554</v>
      </c>
      <c r="D188" s="5">
        <v>14024.0</v>
      </c>
      <c r="E188" s="6">
        <f t="shared" si="7"/>
        <v>986</v>
      </c>
      <c r="F188" s="7">
        <f t="shared" ref="F188:G188" si="1130">ROUND(RAND(),2)</f>
        <v>0.04</v>
      </c>
      <c r="G188" s="7">
        <f t="shared" si="1130"/>
        <v>0.83</v>
      </c>
      <c r="H188" s="7">
        <f t="shared" si="9"/>
        <v>1</v>
      </c>
      <c r="I188" s="7">
        <f t="shared" si="10"/>
        <v>67788</v>
      </c>
      <c r="J188" s="7">
        <f t="shared" si="11"/>
        <v>18149</v>
      </c>
      <c r="K188" s="7" t="str">
        <f t="shared" si="12"/>
        <v>F</v>
      </c>
      <c r="L188" s="7" t="str">
        <f t="shared" si="13"/>
        <v>Transformative change</v>
      </c>
      <c r="M188" s="7" t="str">
        <f t="shared" si="14"/>
        <v>Low</v>
      </c>
      <c r="N188" s="7">
        <f t="shared" si="15"/>
        <v>1003020</v>
      </c>
      <c r="O188" s="7">
        <f t="shared" si="16"/>
        <v>181069.01</v>
      </c>
      <c r="P188" s="7">
        <f t="shared" ref="P188:Q188" si="1131">RANDBETWEEN(0,22)</f>
        <v>0</v>
      </c>
      <c r="Q188" s="7">
        <f t="shared" si="1131"/>
        <v>8</v>
      </c>
      <c r="R188" s="7">
        <f t="shared" ref="R188:T188" si="1132">IF(S188=1,1,RANDBETWEEN(0,1))</f>
        <v>1</v>
      </c>
      <c r="S188" s="7">
        <f t="shared" si="1132"/>
        <v>0</v>
      </c>
      <c r="T188" s="7">
        <f t="shared" si="1132"/>
        <v>0</v>
      </c>
      <c r="U188" s="7">
        <f t="shared" si="19"/>
        <v>0</v>
      </c>
      <c r="V188" s="7">
        <f t="shared" ref="V188:X188" si="1133">IF(W188=1,1,RANDBETWEEN(0,1))</f>
        <v>1</v>
      </c>
      <c r="W188" s="7">
        <f t="shared" si="1133"/>
        <v>1</v>
      </c>
      <c r="X188" s="7">
        <f t="shared" si="1133"/>
        <v>1</v>
      </c>
      <c r="Y188" s="7">
        <f t="shared" si="21"/>
        <v>1</v>
      </c>
      <c r="Z188" s="7">
        <f t="shared" ref="Z188:AB188" si="1134">IF(AA188=1,1,RANDBETWEEN(0,1))</f>
        <v>1</v>
      </c>
      <c r="AA188" s="7">
        <f t="shared" si="1134"/>
        <v>1</v>
      </c>
      <c r="AB188" s="7">
        <f t="shared" si="1134"/>
        <v>1</v>
      </c>
      <c r="AC188" s="7">
        <f t="shared" si="23"/>
        <v>0</v>
      </c>
      <c r="AD188" s="7">
        <f t="shared" ref="AD188:AF188" si="1135">IF(AE188=1,1,RANDBETWEEN(0,1))</f>
        <v>1</v>
      </c>
      <c r="AE188" s="7">
        <f t="shared" si="1135"/>
        <v>1</v>
      </c>
      <c r="AF188" s="7">
        <f t="shared" si="1135"/>
        <v>0</v>
      </c>
      <c r="AG188" s="7">
        <f t="shared" si="25"/>
        <v>0</v>
      </c>
    </row>
    <row r="189">
      <c r="A189" s="4" t="s">
        <v>555</v>
      </c>
      <c r="B189" s="4" t="s">
        <v>556</v>
      </c>
      <c r="C189" s="4" t="s">
        <v>557</v>
      </c>
      <c r="D189" s="5">
        <v>10083.0</v>
      </c>
      <c r="E189" s="6">
        <f t="shared" si="7"/>
        <v>896</v>
      </c>
      <c r="F189" s="7">
        <f t="shared" ref="F189:G189" si="1136">ROUND(RAND(),2)</f>
        <v>0.57</v>
      </c>
      <c r="G189" s="7">
        <f t="shared" si="1136"/>
        <v>0.75</v>
      </c>
      <c r="H189" s="7">
        <f t="shared" si="9"/>
        <v>2</v>
      </c>
      <c r="I189" s="7">
        <f t="shared" si="10"/>
        <v>81016</v>
      </c>
      <c r="J189" s="7">
        <f t="shared" si="11"/>
        <v>5827</v>
      </c>
      <c r="K189" s="7" t="str">
        <f t="shared" si="12"/>
        <v>A</v>
      </c>
      <c r="L189" s="7" t="str">
        <f t="shared" si="13"/>
        <v>Transformative change</v>
      </c>
      <c r="M189" s="7" t="str">
        <f t="shared" si="14"/>
        <v>Low</v>
      </c>
      <c r="N189" s="7">
        <f t="shared" si="15"/>
        <v>725108</v>
      </c>
      <c r="O189" s="7">
        <f t="shared" si="16"/>
        <v>484236.5386</v>
      </c>
      <c r="P189" s="7">
        <f t="shared" ref="P189:Q189" si="1137">RANDBETWEEN(0,22)</f>
        <v>4</v>
      </c>
      <c r="Q189" s="7">
        <f t="shared" si="1137"/>
        <v>22</v>
      </c>
      <c r="R189" s="7">
        <f t="shared" ref="R189:T189" si="1138">IF(S189=1,1,RANDBETWEEN(0,1))</f>
        <v>1</v>
      </c>
      <c r="S189" s="7">
        <f t="shared" si="1138"/>
        <v>1</v>
      </c>
      <c r="T189" s="7">
        <f t="shared" si="1138"/>
        <v>1</v>
      </c>
      <c r="U189" s="7">
        <f t="shared" si="19"/>
        <v>1</v>
      </c>
      <c r="V189" s="7">
        <f t="shared" ref="V189:X189" si="1139">IF(W189=1,1,RANDBETWEEN(0,1))</f>
        <v>1</v>
      </c>
      <c r="W189" s="7">
        <f t="shared" si="1139"/>
        <v>1</v>
      </c>
      <c r="X189" s="7">
        <f t="shared" si="1139"/>
        <v>1</v>
      </c>
      <c r="Y189" s="7">
        <f t="shared" si="21"/>
        <v>1</v>
      </c>
      <c r="Z189" s="7">
        <f t="shared" ref="Z189:AB189" si="1140">IF(AA189=1,1,RANDBETWEEN(0,1))</f>
        <v>1</v>
      </c>
      <c r="AA189" s="7">
        <f t="shared" si="1140"/>
        <v>1</v>
      </c>
      <c r="AB189" s="7">
        <f t="shared" si="1140"/>
        <v>1</v>
      </c>
      <c r="AC189" s="7">
        <f t="shared" si="23"/>
        <v>0</v>
      </c>
      <c r="AD189" s="7">
        <f t="shared" ref="AD189:AF189" si="1141">IF(AE189=1,1,RANDBETWEEN(0,1))</f>
        <v>1</v>
      </c>
      <c r="AE189" s="7">
        <f t="shared" si="1141"/>
        <v>1</v>
      </c>
      <c r="AF189" s="7">
        <f t="shared" si="1141"/>
        <v>1</v>
      </c>
      <c r="AG189" s="7">
        <f t="shared" si="25"/>
        <v>1</v>
      </c>
    </row>
    <row r="190">
      <c r="A190" s="4" t="s">
        <v>558</v>
      </c>
      <c r="B190" s="4" t="s">
        <v>559</v>
      </c>
      <c r="C190" s="4" t="s">
        <v>560</v>
      </c>
      <c r="D190" s="5">
        <v>64856.0</v>
      </c>
      <c r="E190" s="6">
        <f t="shared" si="7"/>
        <v>1098</v>
      </c>
      <c r="F190" s="7">
        <f t="shared" ref="F190:G190" si="1142">ROUND(RAND(),2)</f>
        <v>0.63</v>
      </c>
      <c r="G190" s="7">
        <f t="shared" si="1142"/>
        <v>0.14</v>
      </c>
      <c r="H190" s="7">
        <f t="shared" si="9"/>
        <v>2</v>
      </c>
      <c r="I190" s="7">
        <f t="shared" si="10"/>
        <v>62723</v>
      </c>
      <c r="J190" s="7">
        <f t="shared" si="11"/>
        <v>5165</v>
      </c>
      <c r="K190" s="7" t="str">
        <f t="shared" si="12"/>
        <v>G</v>
      </c>
      <c r="L190" s="7" t="str">
        <f t="shared" si="13"/>
        <v>Transformative change</v>
      </c>
      <c r="M190" s="7" t="str">
        <f t="shared" si="14"/>
        <v>High</v>
      </c>
      <c r="N190" s="7">
        <f t="shared" si="15"/>
        <v>3123827</v>
      </c>
      <c r="O190" s="7">
        <f t="shared" si="16"/>
        <v>2938493.331</v>
      </c>
      <c r="P190" s="7">
        <f t="shared" ref="P190:Q190" si="1143">RANDBETWEEN(0,22)</f>
        <v>19</v>
      </c>
      <c r="Q190" s="7">
        <f t="shared" si="1143"/>
        <v>4</v>
      </c>
      <c r="R190" s="7">
        <f t="shared" ref="R190:T190" si="1144">IF(S190=1,1,RANDBETWEEN(0,1))</f>
        <v>1</v>
      </c>
      <c r="S190" s="7">
        <f t="shared" si="1144"/>
        <v>1</v>
      </c>
      <c r="T190" s="7">
        <f t="shared" si="1144"/>
        <v>1</v>
      </c>
      <c r="U190" s="7">
        <f t="shared" si="19"/>
        <v>1</v>
      </c>
      <c r="V190" s="7">
        <f t="shared" ref="V190:X190" si="1145">IF(W190=1,1,RANDBETWEEN(0,1))</f>
        <v>1</v>
      </c>
      <c r="W190" s="7">
        <f t="shared" si="1145"/>
        <v>1</v>
      </c>
      <c r="X190" s="7">
        <f t="shared" si="1145"/>
        <v>1</v>
      </c>
      <c r="Y190" s="7">
        <f t="shared" si="21"/>
        <v>0</v>
      </c>
      <c r="Z190" s="7">
        <f t="shared" ref="Z190:AB190" si="1146">IF(AA190=1,1,RANDBETWEEN(0,1))</f>
        <v>1</v>
      </c>
      <c r="AA190" s="7">
        <f t="shared" si="1146"/>
        <v>1</v>
      </c>
      <c r="AB190" s="7">
        <f t="shared" si="1146"/>
        <v>1</v>
      </c>
      <c r="AC190" s="7">
        <f t="shared" si="23"/>
        <v>0</v>
      </c>
      <c r="AD190" s="7">
        <f t="shared" ref="AD190:AF190" si="1147">IF(AE190=1,1,RANDBETWEEN(0,1))</f>
        <v>1</v>
      </c>
      <c r="AE190" s="7">
        <f t="shared" si="1147"/>
        <v>1</v>
      </c>
      <c r="AF190" s="7">
        <f t="shared" si="1147"/>
        <v>1</v>
      </c>
      <c r="AG190" s="7">
        <f t="shared" si="25"/>
        <v>1</v>
      </c>
    </row>
    <row r="191">
      <c r="A191" s="4" t="s">
        <v>561</v>
      </c>
      <c r="B191" s="4" t="s">
        <v>562</v>
      </c>
      <c r="C191" s="4" t="s">
        <v>563</v>
      </c>
      <c r="D191" s="5">
        <v>81637.0</v>
      </c>
      <c r="E191" s="6">
        <f t="shared" si="7"/>
        <v>864</v>
      </c>
      <c r="F191" s="7">
        <f t="shared" ref="F191:G191" si="1148">ROUND(RAND(),2)</f>
        <v>0.19</v>
      </c>
      <c r="G191" s="7">
        <f t="shared" si="1148"/>
        <v>0.59</v>
      </c>
      <c r="H191" s="7">
        <f t="shared" si="9"/>
        <v>2</v>
      </c>
      <c r="I191" s="7">
        <f t="shared" si="10"/>
        <v>56393</v>
      </c>
      <c r="J191" s="7">
        <f t="shared" si="11"/>
        <v>18836</v>
      </c>
      <c r="K191" s="7" t="str">
        <f t="shared" si="12"/>
        <v>A</v>
      </c>
      <c r="L191" s="7" t="str">
        <f t="shared" si="13"/>
        <v>High ambition</v>
      </c>
      <c r="M191" s="7" t="str">
        <f t="shared" si="14"/>
        <v>Medium</v>
      </c>
      <c r="N191" s="7">
        <f t="shared" si="15"/>
        <v>3000226</v>
      </c>
      <c r="O191" s="7">
        <f t="shared" si="16"/>
        <v>719295.9936</v>
      </c>
      <c r="P191" s="7">
        <f t="shared" ref="P191:Q191" si="1149">RANDBETWEEN(0,22)</f>
        <v>17</v>
      </c>
      <c r="Q191" s="7">
        <f t="shared" si="1149"/>
        <v>16</v>
      </c>
      <c r="R191" s="7">
        <f t="shared" ref="R191:T191" si="1150">IF(S191=1,1,RANDBETWEEN(0,1))</f>
        <v>1</v>
      </c>
      <c r="S191" s="7">
        <f t="shared" si="1150"/>
        <v>1</v>
      </c>
      <c r="T191" s="7">
        <f t="shared" si="1150"/>
        <v>1</v>
      </c>
      <c r="U191" s="7">
        <f t="shared" si="19"/>
        <v>0</v>
      </c>
      <c r="V191" s="7">
        <f t="shared" ref="V191:X191" si="1151">IF(W191=1,1,RANDBETWEEN(0,1))</f>
        <v>0</v>
      </c>
      <c r="W191" s="7">
        <f t="shared" si="1151"/>
        <v>0</v>
      </c>
      <c r="X191" s="7">
        <f t="shared" si="1151"/>
        <v>0</v>
      </c>
      <c r="Y191" s="7">
        <f t="shared" si="21"/>
        <v>0</v>
      </c>
      <c r="Z191" s="7">
        <f t="shared" ref="Z191:AB191" si="1152">IF(AA191=1,1,RANDBETWEEN(0,1))</f>
        <v>1</v>
      </c>
      <c r="AA191" s="7">
        <f t="shared" si="1152"/>
        <v>1</v>
      </c>
      <c r="AB191" s="7">
        <f t="shared" si="1152"/>
        <v>1</v>
      </c>
      <c r="AC191" s="7">
        <f t="shared" si="23"/>
        <v>1</v>
      </c>
      <c r="AD191" s="7">
        <f t="shared" ref="AD191:AF191" si="1153">IF(AE191=1,1,RANDBETWEEN(0,1))</f>
        <v>1</v>
      </c>
      <c r="AE191" s="7">
        <f t="shared" si="1153"/>
        <v>1</v>
      </c>
      <c r="AF191" s="7">
        <f t="shared" si="1153"/>
        <v>1</v>
      </c>
      <c r="AG191" s="7">
        <f t="shared" si="25"/>
        <v>1</v>
      </c>
    </row>
    <row r="192">
      <c r="A192" s="4" t="s">
        <v>564</v>
      </c>
      <c r="B192" s="4" t="s">
        <v>565</v>
      </c>
      <c r="C192" s="4" t="s">
        <v>566</v>
      </c>
      <c r="D192" s="5">
        <v>14492.0</v>
      </c>
      <c r="E192" s="6">
        <f t="shared" si="7"/>
        <v>990</v>
      </c>
      <c r="F192" s="7">
        <f t="shared" ref="F192:G192" si="1154">ROUND(RAND(),2)</f>
        <v>0.4</v>
      </c>
      <c r="G192" s="7">
        <f t="shared" si="1154"/>
        <v>0</v>
      </c>
      <c r="H192" s="7">
        <f t="shared" si="9"/>
        <v>4</v>
      </c>
      <c r="I192" s="7">
        <f t="shared" si="10"/>
        <v>95594</v>
      </c>
      <c r="J192" s="7">
        <f t="shared" si="11"/>
        <v>59406</v>
      </c>
      <c r="K192" s="7" t="str">
        <f t="shared" si="12"/>
        <v>E</v>
      </c>
      <c r="L192" s="7" t="str">
        <f t="shared" si="13"/>
        <v>Transformative change</v>
      </c>
      <c r="M192" s="7" t="str">
        <f t="shared" si="14"/>
        <v>Medium</v>
      </c>
      <c r="N192" s="7">
        <f t="shared" si="15"/>
        <v>3985120</v>
      </c>
      <c r="O192" s="7">
        <f t="shared" si="16"/>
        <v>3583160.42</v>
      </c>
      <c r="P192" s="7">
        <f t="shared" ref="P192:Q192" si="1155">RANDBETWEEN(0,22)</f>
        <v>7</v>
      </c>
      <c r="Q192" s="7">
        <f t="shared" si="1155"/>
        <v>5</v>
      </c>
      <c r="R192" s="7">
        <f t="shared" ref="R192:T192" si="1156">IF(S192=1,1,RANDBETWEEN(0,1))</f>
        <v>1</v>
      </c>
      <c r="S192" s="7">
        <f t="shared" si="1156"/>
        <v>0</v>
      </c>
      <c r="T192" s="7">
        <f t="shared" si="1156"/>
        <v>0</v>
      </c>
      <c r="U192" s="7">
        <f t="shared" si="19"/>
        <v>0</v>
      </c>
      <c r="V192" s="7">
        <f t="shared" ref="V192:X192" si="1157">IF(W192=1,1,RANDBETWEEN(0,1))</f>
        <v>1</v>
      </c>
      <c r="W192" s="7">
        <f t="shared" si="1157"/>
        <v>0</v>
      </c>
      <c r="X192" s="7">
        <f t="shared" si="1157"/>
        <v>0</v>
      </c>
      <c r="Y192" s="7">
        <f t="shared" si="21"/>
        <v>0</v>
      </c>
      <c r="Z192" s="7">
        <f t="shared" ref="Z192:AB192" si="1158">IF(AA192=1,1,RANDBETWEEN(0,1))</f>
        <v>1</v>
      </c>
      <c r="AA192" s="7">
        <f t="shared" si="1158"/>
        <v>1</v>
      </c>
      <c r="AB192" s="7">
        <f t="shared" si="1158"/>
        <v>0</v>
      </c>
      <c r="AC192" s="7">
        <f t="shared" si="23"/>
        <v>0</v>
      </c>
      <c r="AD192" s="7">
        <f t="shared" ref="AD192:AF192" si="1159">IF(AE192=1,1,RANDBETWEEN(0,1))</f>
        <v>1</v>
      </c>
      <c r="AE192" s="7">
        <f t="shared" si="1159"/>
        <v>1</v>
      </c>
      <c r="AF192" s="7">
        <f t="shared" si="1159"/>
        <v>1</v>
      </c>
      <c r="AG192" s="7">
        <f t="shared" si="25"/>
        <v>0</v>
      </c>
    </row>
    <row r="193">
      <c r="A193" s="4" t="s">
        <v>567</v>
      </c>
      <c r="B193" s="4" t="s">
        <v>568</v>
      </c>
      <c r="C193" s="4" t="s">
        <v>569</v>
      </c>
      <c r="D193" s="5">
        <v>5153.0</v>
      </c>
      <c r="E193" s="6">
        <f t="shared" si="7"/>
        <v>1056</v>
      </c>
      <c r="F193" s="7">
        <f t="shared" ref="F193:G193" si="1160">ROUND(RAND(),2)</f>
        <v>0.76</v>
      </c>
      <c r="G193" s="7">
        <f t="shared" si="1160"/>
        <v>0.16</v>
      </c>
      <c r="H193" s="7">
        <f t="shared" si="9"/>
        <v>2</v>
      </c>
      <c r="I193" s="7">
        <f t="shared" si="10"/>
        <v>93194</v>
      </c>
      <c r="J193" s="7">
        <f t="shared" si="11"/>
        <v>66690</v>
      </c>
      <c r="K193" s="7" t="str">
        <f t="shared" si="12"/>
        <v>E</v>
      </c>
      <c r="L193" s="7" t="str">
        <f t="shared" si="13"/>
        <v>Transformative change</v>
      </c>
      <c r="M193" s="7" t="str">
        <f t="shared" si="14"/>
        <v>High</v>
      </c>
      <c r="N193" s="7">
        <f t="shared" si="15"/>
        <v>1039646</v>
      </c>
      <c r="O193" s="7">
        <f t="shared" si="16"/>
        <v>931007.2075</v>
      </c>
      <c r="P193" s="7">
        <f t="shared" ref="P193:Q193" si="1161">RANDBETWEEN(0,22)</f>
        <v>12</v>
      </c>
      <c r="Q193" s="7">
        <f t="shared" si="1161"/>
        <v>12</v>
      </c>
      <c r="R193" s="7">
        <f t="shared" ref="R193:T193" si="1162">IF(S193=1,1,RANDBETWEEN(0,1))</f>
        <v>1</v>
      </c>
      <c r="S193" s="7">
        <f t="shared" si="1162"/>
        <v>1</v>
      </c>
      <c r="T193" s="7">
        <f t="shared" si="1162"/>
        <v>1</v>
      </c>
      <c r="U193" s="7">
        <f t="shared" si="19"/>
        <v>1</v>
      </c>
      <c r="V193" s="7">
        <f t="shared" ref="V193:X193" si="1163">IF(W193=1,1,RANDBETWEEN(0,1))</f>
        <v>1</v>
      </c>
      <c r="W193" s="7">
        <f t="shared" si="1163"/>
        <v>0</v>
      </c>
      <c r="X193" s="7">
        <f t="shared" si="1163"/>
        <v>0</v>
      </c>
      <c r="Y193" s="7">
        <f t="shared" si="21"/>
        <v>0</v>
      </c>
      <c r="Z193" s="7">
        <f t="shared" ref="Z193:AB193" si="1164">IF(AA193=1,1,RANDBETWEEN(0,1))</f>
        <v>1</v>
      </c>
      <c r="AA193" s="7">
        <f t="shared" si="1164"/>
        <v>1</v>
      </c>
      <c r="AB193" s="7">
        <f t="shared" si="1164"/>
        <v>1</v>
      </c>
      <c r="AC193" s="7">
        <f t="shared" si="23"/>
        <v>0</v>
      </c>
      <c r="AD193" s="7">
        <f t="shared" ref="AD193:AF193" si="1165">IF(AE193=1,1,RANDBETWEEN(0,1))</f>
        <v>1</v>
      </c>
      <c r="AE193" s="7">
        <f t="shared" si="1165"/>
        <v>1</v>
      </c>
      <c r="AF193" s="7">
        <f t="shared" si="1165"/>
        <v>1</v>
      </c>
      <c r="AG193" s="7">
        <f t="shared" si="25"/>
        <v>0</v>
      </c>
    </row>
    <row r="194">
      <c r="A194" s="4" t="s">
        <v>570</v>
      </c>
      <c r="B194" s="4" t="s">
        <v>571</v>
      </c>
      <c r="C194" s="4" t="s">
        <v>572</v>
      </c>
      <c r="D194" s="5">
        <v>12748.0</v>
      </c>
      <c r="E194" s="6">
        <f t="shared" si="7"/>
        <v>813</v>
      </c>
      <c r="F194" s="7">
        <f t="shared" ref="F194:G194" si="1166">ROUND(RAND(),2)</f>
        <v>0.91</v>
      </c>
      <c r="G194" s="7">
        <f t="shared" si="1166"/>
        <v>0.8</v>
      </c>
      <c r="H194" s="7">
        <f t="shared" si="9"/>
        <v>4</v>
      </c>
      <c r="I194" s="7">
        <f t="shared" si="10"/>
        <v>99833</v>
      </c>
      <c r="J194" s="7">
        <f t="shared" si="11"/>
        <v>10655</v>
      </c>
      <c r="K194" s="7" t="str">
        <f t="shared" si="12"/>
        <v>F</v>
      </c>
      <c r="L194" s="7" t="str">
        <f t="shared" si="13"/>
        <v>Transformative change</v>
      </c>
      <c r="M194" s="7" t="str">
        <f t="shared" si="14"/>
        <v>Low</v>
      </c>
      <c r="N194" s="7">
        <f t="shared" si="15"/>
        <v>1239583</v>
      </c>
      <c r="O194" s="7">
        <f t="shared" si="16"/>
        <v>462857.0639</v>
      </c>
      <c r="P194" s="7">
        <f t="shared" ref="P194:Q194" si="1167">RANDBETWEEN(0,22)</f>
        <v>11</v>
      </c>
      <c r="Q194" s="7">
        <f t="shared" si="1167"/>
        <v>13</v>
      </c>
      <c r="R194" s="7">
        <f t="shared" ref="R194:T194" si="1168">IF(S194=1,1,RANDBETWEEN(0,1))</f>
        <v>1</v>
      </c>
      <c r="S194" s="7">
        <f t="shared" si="1168"/>
        <v>1</v>
      </c>
      <c r="T194" s="7">
        <f t="shared" si="1168"/>
        <v>1</v>
      </c>
      <c r="U194" s="7">
        <f t="shared" si="19"/>
        <v>0</v>
      </c>
      <c r="V194" s="7">
        <f t="shared" ref="V194:X194" si="1169">IF(W194=1,1,RANDBETWEEN(0,1))</f>
        <v>1</v>
      </c>
      <c r="W194" s="7">
        <f t="shared" si="1169"/>
        <v>0</v>
      </c>
      <c r="X194" s="7">
        <f t="shared" si="1169"/>
        <v>0</v>
      </c>
      <c r="Y194" s="7">
        <f t="shared" si="21"/>
        <v>0</v>
      </c>
      <c r="Z194" s="7">
        <f t="shared" ref="Z194:AB194" si="1170">IF(AA194=1,1,RANDBETWEEN(0,1))</f>
        <v>1</v>
      </c>
      <c r="AA194" s="7">
        <f t="shared" si="1170"/>
        <v>1</v>
      </c>
      <c r="AB194" s="7">
        <f t="shared" si="1170"/>
        <v>1</v>
      </c>
      <c r="AC194" s="7">
        <f t="shared" si="23"/>
        <v>1</v>
      </c>
      <c r="AD194" s="7">
        <f t="shared" ref="AD194:AF194" si="1171">IF(AE194=1,1,RANDBETWEEN(0,1))</f>
        <v>1</v>
      </c>
      <c r="AE194" s="7">
        <f t="shared" si="1171"/>
        <v>1</v>
      </c>
      <c r="AF194" s="7">
        <f t="shared" si="1171"/>
        <v>1</v>
      </c>
      <c r="AG194" s="7">
        <f t="shared" si="25"/>
        <v>0</v>
      </c>
    </row>
    <row r="195">
      <c r="A195" s="4" t="s">
        <v>573</v>
      </c>
      <c r="B195" s="4" t="s">
        <v>574</v>
      </c>
      <c r="C195" s="4" t="s">
        <v>575</v>
      </c>
      <c r="D195" s="5">
        <v>18401.0</v>
      </c>
      <c r="E195" s="6">
        <f t="shared" si="7"/>
        <v>993</v>
      </c>
      <c r="F195" s="7">
        <f t="shared" ref="F195:G195" si="1172">ROUND(RAND(),2)</f>
        <v>0.57</v>
      </c>
      <c r="G195" s="7">
        <f t="shared" si="1172"/>
        <v>0.67</v>
      </c>
      <c r="H195" s="7">
        <f t="shared" si="9"/>
        <v>2</v>
      </c>
      <c r="I195" s="7">
        <f t="shared" si="10"/>
        <v>85141</v>
      </c>
      <c r="J195" s="7">
        <f t="shared" si="11"/>
        <v>53164</v>
      </c>
      <c r="K195" s="7" t="str">
        <f t="shared" si="12"/>
        <v>A</v>
      </c>
      <c r="L195" s="7" t="str">
        <f t="shared" si="13"/>
        <v>Transformative change</v>
      </c>
      <c r="M195" s="7" t="str">
        <f t="shared" si="14"/>
        <v>High</v>
      </c>
      <c r="N195" s="7">
        <f t="shared" si="15"/>
        <v>2642833</v>
      </c>
      <c r="O195" s="7">
        <f t="shared" si="16"/>
        <v>129692.0881</v>
      </c>
      <c r="P195" s="7">
        <f t="shared" ref="P195:Q195" si="1173">RANDBETWEEN(0,22)</f>
        <v>19</v>
      </c>
      <c r="Q195" s="7">
        <f t="shared" si="1173"/>
        <v>22</v>
      </c>
      <c r="R195" s="7">
        <f t="shared" ref="R195:T195" si="1174">IF(S195=1,1,RANDBETWEEN(0,1))</f>
        <v>1</v>
      </c>
      <c r="S195" s="7">
        <f t="shared" si="1174"/>
        <v>1</v>
      </c>
      <c r="T195" s="7">
        <f t="shared" si="1174"/>
        <v>1</v>
      </c>
      <c r="U195" s="7">
        <f t="shared" si="19"/>
        <v>1</v>
      </c>
      <c r="V195" s="7">
        <f t="shared" ref="V195:X195" si="1175">IF(W195=1,1,RANDBETWEEN(0,1))</f>
        <v>1</v>
      </c>
      <c r="W195" s="7">
        <f t="shared" si="1175"/>
        <v>1</v>
      </c>
      <c r="X195" s="7">
        <f t="shared" si="1175"/>
        <v>1</v>
      </c>
      <c r="Y195" s="7">
        <f t="shared" si="21"/>
        <v>1</v>
      </c>
      <c r="Z195" s="7">
        <f t="shared" ref="Z195:AB195" si="1176">IF(AA195=1,1,RANDBETWEEN(0,1))</f>
        <v>1</v>
      </c>
      <c r="AA195" s="7">
        <f t="shared" si="1176"/>
        <v>1</v>
      </c>
      <c r="AB195" s="7">
        <f t="shared" si="1176"/>
        <v>0</v>
      </c>
      <c r="AC195" s="7">
        <f t="shared" si="23"/>
        <v>0</v>
      </c>
      <c r="AD195" s="7">
        <f t="shared" ref="AD195:AF195" si="1177">IF(AE195=1,1,RANDBETWEEN(0,1))</f>
        <v>1</v>
      </c>
      <c r="AE195" s="7">
        <f t="shared" si="1177"/>
        <v>0</v>
      </c>
      <c r="AF195" s="7">
        <f t="shared" si="1177"/>
        <v>0</v>
      </c>
      <c r="AG195" s="7">
        <f t="shared" si="25"/>
        <v>0</v>
      </c>
    </row>
    <row r="196">
      <c r="A196" s="4" t="s">
        <v>576</v>
      </c>
      <c r="B196" s="4" t="s">
        <v>577</v>
      </c>
      <c r="C196" s="4" t="s">
        <v>95</v>
      </c>
      <c r="D196" s="5">
        <v>8255.0</v>
      </c>
      <c r="E196" s="6">
        <f t="shared" si="7"/>
        <v>820</v>
      </c>
      <c r="F196" s="7">
        <f t="shared" ref="F196:G196" si="1178">ROUND(RAND(),2)</f>
        <v>0.18</v>
      </c>
      <c r="G196" s="7">
        <f t="shared" si="1178"/>
        <v>0.36</v>
      </c>
      <c r="H196" s="7">
        <f t="shared" si="9"/>
        <v>5</v>
      </c>
      <c r="I196" s="7">
        <f t="shared" si="10"/>
        <v>64893</v>
      </c>
      <c r="J196" s="7">
        <f t="shared" si="11"/>
        <v>32642</v>
      </c>
      <c r="K196" s="7" t="str">
        <f t="shared" si="12"/>
        <v>B</v>
      </c>
      <c r="L196" s="7" t="str">
        <f t="shared" si="13"/>
        <v>Transformative change</v>
      </c>
      <c r="M196" s="7" t="str">
        <f t="shared" si="14"/>
        <v>High</v>
      </c>
      <c r="N196" s="7">
        <f t="shared" si="15"/>
        <v>120136</v>
      </c>
      <c r="O196" s="7">
        <f t="shared" si="16"/>
        <v>50881.45965</v>
      </c>
      <c r="P196" s="7">
        <f t="shared" ref="P196:Q196" si="1179">RANDBETWEEN(0,22)</f>
        <v>16</v>
      </c>
      <c r="Q196" s="7">
        <f t="shared" si="1179"/>
        <v>9</v>
      </c>
      <c r="R196" s="7">
        <f t="shared" ref="R196:T196" si="1180">IF(S196=1,1,RANDBETWEEN(0,1))</f>
        <v>1</v>
      </c>
      <c r="S196" s="7">
        <f t="shared" si="1180"/>
        <v>1</v>
      </c>
      <c r="T196" s="7">
        <f t="shared" si="1180"/>
        <v>1</v>
      </c>
      <c r="U196" s="7">
        <f t="shared" si="19"/>
        <v>1</v>
      </c>
      <c r="V196" s="7">
        <f t="shared" ref="V196:X196" si="1181">IF(W196=1,1,RANDBETWEEN(0,1))</f>
        <v>1</v>
      </c>
      <c r="W196" s="7">
        <f t="shared" si="1181"/>
        <v>1</v>
      </c>
      <c r="X196" s="7">
        <f t="shared" si="1181"/>
        <v>0</v>
      </c>
      <c r="Y196" s="7">
        <f t="shared" si="21"/>
        <v>0</v>
      </c>
      <c r="Z196" s="7">
        <f t="shared" ref="Z196:AB196" si="1182">IF(AA196=1,1,RANDBETWEEN(0,1))</f>
        <v>1</v>
      </c>
      <c r="AA196" s="7">
        <f t="shared" si="1182"/>
        <v>1</v>
      </c>
      <c r="AB196" s="7">
        <f t="shared" si="1182"/>
        <v>1</v>
      </c>
      <c r="AC196" s="7">
        <f t="shared" si="23"/>
        <v>1</v>
      </c>
      <c r="AD196" s="7">
        <f t="shared" ref="AD196:AF196" si="1183">IF(AE196=1,1,RANDBETWEEN(0,1))</f>
        <v>1</v>
      </c>
      <c r="AE196" s="7">
        <f t="shared" si="1183"/>
        <v>0</v>
      </c>
      <c r="AF196" s="7">
        <f t="shared" si="1183"/>
        <v>0</v>
      </c>
      <c r="AG196" s="7">
        <f t="shared" si="25"/>
        <v>0</v>
      </c>
    </row>
    <row r="197">
      <c r="A197" s="4" t="s">
        <v>390</v>
      </c>
      <c r="B197" s="4" t="s">
        <v>578</v>
      </c>
      <c r="C197" s="4" t="s">
        <v>579</v>
      </c>
      <c r="D197" s="5">
        <v>234264.0</v>
      </c>
      <c r="E197" s="6">
        <f t="shared" si="7"/>
        <v>665.52</v>
      </c>
      <c r="F197" s="7">
        <f t="shared" ref="F197:G197" si="1184">ROUND(RAND(),2)</f>
        <v>0.1</v>
      </c>
      <c r="G197" s="7">
        <f t="shared" si="1184"/>
        <v>0.09</v>
      </c>
      <c r="H197" s="7">
        <f t="shared" si="9"/>
        <v>4</v>
      </c>
      <c r="I197" s="7">
        <f t="shared" si="10"/>
        <v>9372</v>
      </c>
      <c r="J197" s="7">
        <f t="shared" si="11"/>
        <v>18707</v>
      </c>
      <c r="K197" s="7" t="str">
        <f t="shared" si="12"/>
        <v>D</v>
      </c>
      <c r="L197" s="7" t="str">
        <f t="shared" si="13"/>
        <v>High ambition</v>
      </c>
      <c r="M197" s="7" t="str">
        <f t="shared" si="14"/>
        <v>Medium</v>
      </c>
      <c r="N197" s="7">
        <f t="shared" si="15"/>
        <v>3538123</v>
      </c>
      <c r="O197" s="7">
        <f t="shared" si="16"/>
        <v>1834966.322</v>
      </c>
      <c r="P197" s="7">
        <f t="shared" ref="P197:Q197" si="1185">RANDBETWEEN(0,22)</f>
        <v>13</v>
      </c>
      <c r="Q197" s="7">
        <f t="shared" si="1185"/>
        <v>15</v>
      </c>
      <c r="R197" s="7">
        <f t="shared" ref="R197:T197" si="1186">IF(S197=1,1,RANDBETWEEN(0,1))</f>
        <v>0</v>
      </c>
      <c r="S197" s="7">
        <f t="shared" si="1186"/>
        <v>0</v>
      </c>
      <c r="T197" s="7">
        <f t="shared" si="1186"/>
        <v>0</v>
      </c>
      <c r="U197" s="7">
        <f t="shared" si="19"/>
        <v>0</v>
      </c>
      <c r="V197" s="7">
        <f t="shared" ref="V197:X197" si="1187">IF(W197=1,1,RANDBETWEEN(0,1))</f>
        <v>1</v>
      </c>
      <c r="W197" s="7">
        <f t="shared" si="1187"/>
        <v>1</v>
      </c>
      <c r="X197" s="7">
        <f t="shared" si="1187"/>
        <v>1</v>
      </c>
      <c r="Y197" s="7">
        <f t="shared" si="21"/>
        <v>1</v>
      </c>
      <c r="Z197" s="7">
        <f t="shared" ref="Z197:AB197" si="1188">IF(AA197=1,1,RANDBETWEEN(0,1))</f>
        <v>1</v>
      </c>
      <c r="AA197" s="7">
        <f t="shared" si="1188"/>
        <v>0</v>
      </c>
      <c r="AB197" s="7">
        <f t="shared" si="1188"/>
        <v>0</v>
      </c>
      <c r="AC197" s="7">
        <f t="shared" si="23"/>
        <v>0</v>
      </c>
      <c r="AD197" s="7">
        <f t="shared" ref="AD197:AF197" si="1189">IF(AE197=1,1,RANDBETWEEN(0,1))</f>
        <v>1</v>
      </c>
      <c r="AE197" s="7">
        <f t="shared" si="1189"/>
        <v>1</v>
      </c>
      <c r="AF197" s="7">
        <f t="shared" si="1189"/>
        <v>1</v>
      </c>
      <c r="AG197" s="7">
        <f t="shared" si="25"/>
        <v>1</v>
      </c>
    </row>
    <row r="198">
      <c r="A198" s="4" t="s">
        <v>580</v>
      </c>
      <c r="B198" s="4" t="s">
        <v>581</v>
      </c>
      <c r="C198" s="4" t="s">
        <v>582</v>
      </c>
      <c r="D198" s="5">
        <v>16714.0</v>
      </c>
      <c r="E198" s="6">
        <f t="shared" si="7"/>
        <v>1039</v>
      </c>
      <c r="F198" s="7">
        <f t="shared" ref="F198:G198" si="1190">ROUND(RAND(),2)</f>
        <v>0.35</v>
      </c>
      <c r="G198" s="7">
        <f t="shared" si="1190"/>
        <v>0.76</v>
      </c>
      <c r="H198" s="7">
        <f t="shared" si="9"/>
        <v>5</v>
      </c>
      <c r="I198" s="7">
        <f t="shared" si="10"/>
        <v>58502</v>
      </c>
      <c r="J198" s="7">
        <f t="shared" si="11"/>
        <v>52866</v>
      </c>
      <c r="K198" s="7" t="str">
        <f t="shared" si="12"/>
        <v>E</v>
      </c>
      <c r="L198" s="7" t="str">
        <f t="shared" si="13"/>
        <v>Transformative change</v>
      </c>
      <c r="M198" s="7" t="str">
        <f t="shared" si="14"/>
        <v>Low</v>
      </c>
      <c r="N198" s="7">
        <f t="shared" si="15"/>
        <v>275795</v>
      </c>
      <c r="O198" s="7">
        <f t="shared" si="16"/>
        <v>263659.6922</v>
      </c>
      <c r="P198" s="7">
        <f t="shared" ref="P198:Q198" si="1191">RANDBETWEEN(0,22)</f>
        <v>8</v>
      </c>
      <c r="Q198" s="7">
        <f t="shared" si="1191"/>
        <v>16</v>
      </c>
      <c r="R198" s="7">
        <f t="shared" ref="R198:T198" si="1192">IF(S198=1,1,RANDBETWEEN(0,1))</f>
        <v>1</v>
      </c>
      <c r="S198" s="7">
        <f t="shared" si="1192"/>
        <v>1</v>
      </c>
      <c r="T198" s="7">
        <f t="shared" si="1192"/>
        <v>1</v>
      </c>
      <c r="U198" s="7">
        <f t="shared" si="19"/>
        <v>1</v>
      </c>
      <c r="V198" s="7">
        <f t="shared" ref="V198:X198" si="1193">IF(W198=1,1,RANDBETWEEN(0,1))</f>
        <v>1</v>
      </c>
      <c r="W198" s="7">
        <f t="shared" si="1193"/>
        <v>1</v>
      </c>
      <c r="X198" s="7">
        <f t="shared" si="1193"/>
        <v>1</v>
      </c>
      <c r="Y198" s="7">
        <f t="shared" si="21"/>
        <v>0</v>
      </c>
      <c r="Z198" s="7">
        <f t="shared" ref="Z198:AB198" si="1194">IF(AA198=1,1,RANDBETWEEN(0,1))</f>
        <v>1</v>
      </c>
      <c r="AA198" s="7">
        <f t="shared" si="1194"/>
        <v>1</v>
      </c>
      <c r="AB198" s="7">
        <f t="shared" si="1194"/>
        <v>0</v>
      </c>
      <c r="AC198" s="7">
        <f t="shared" si="23"/>
        <v>0</v>
      </c>
      <c r="AD198" s="7">
        <f t="shared" ref="AD198:AF198" si="1195">IF(AE198=1,1,RANDBETWEEN(0,1))</f>
        <v>1</v>
      </c>
      <c r="AE198" s="7">
        <f t="shared" si="1195"/>
        <v>1</v>
      </c>
      <c r="AF198" s="7">
        <f t="shared" si="1195"/>
        <v>1</v>
      </c>
      <c r="AG198" s="7">
        <f t="shared" si="25"/>
        <v>1</v>
      </c>
    </row>
    <row r="199">
      <c r="A199" s="4" t="s">
        <v>583</v>
      </c>
      <c r="B199" s="4" t="s">
        <v>584</v>
      </c>
      <c r="C199" s="4" t="s">
        <v>585</v>
      </c>
      <c r="D199" s="5">
        <v>8985.0</v>
      </c>
      <c r="E199" s="6">
        <f t="shared" si="7"/>
        <v>938</v>
      </c>
      <c r="F199" s="7">
        <f t="shared" ref="F199:G199" si="1196">ROUND(RAND(),2)</f>
        <v>0.76</v>
      </c>
      <c r="G199" s="7">
        <f t="shared" si="1196"/>
        <v>0.51</v>
      </c>
      <c r="H199" s="7">
        <f t="shared" si="9"/>
        <v>5</v>
      </c>
      <c r="I199" s="7">
        <f t="shared" si="10"/>
        <v>20667</v>
      </c>
      <c r="J199" s="7">
        <f t="shared" si="11"/>
        <v>19666</v>
      </c>
      <c r="K199" s="7" t="str">
        <f t="shared" si="12"/>
        <v>F</v>
      </c>
      <c r="L199" s="7" t="str">
        <f t="shared" si="13"/>
        <v>Transformative change</v>
      </c>
      <c r="M199" s="7" t="str">
        <f t="shared" si="14"/>
        <v>Low</v>
      </c>
      <c r="N199" s="7">
        <f t="shared" si="15"/>
        <v>277632</v>
      </c>
      <c r="O199" s="7">
        <f t="shared" si="16"/>
        <v>48992.31043</v>
      </c>
      <c r="P199" s="7">
        <f t="shared" ref="P199:Q199" si="1197">RANDBETWEEN(0,22)</f>
        <v>7</v>
      </c>
      <c r="Q199" s="7">
        <f t="shared" si="1197"/>
        <v>0</v>
      </c>
      <c r="R199" s="7">
        <f t="shared" ref="R199:T199" si="1198">IF(S199=1,1,RANDBETWEEN(0,1))</f>
        <v>1</v>
      </c>
      <c r="S199" s="7">
        <f t="shared" si="1198"/>
        <v>1</v>
      </c>
      <c r="T199" s="7">
        <f t="shared" si="1198"/>
        <v>1</v>
      </c>
      <c r="U199" s="7">
        <f t="shared" si="19"/>
        <v>1</v>
      </c>
      <c r="V199" s="7">
        <f t="shared" ref="V199:X199" si="1199">IF(W199=1,1,RANDBETWEEN(0,1))</f>
        <v>1</v>
      </c>
      <c r="W199" s="7">
        <f t="shared" si="1199"/>
        <v>1</v>
      </c>
      <c r="X199" s="7">
        <f t="shared" si="1199"/>
        <v>1</v>
      </c>
      <c r="Y199" s="7">
        <f t="shared" si="21"/>
        <v>1</v>
      </c>
      <c r="Z199" s="7">
        <f t="shared" ref="Z199:AB199" si="1200">IF(AA199=1,1,RANDBETWEEN(0,1))</f>
        <v>0</v>
      </c>
      <c r="AA199" s="7">
        <f t="shared" si="1200"/>
        <v>0</v>
      </c>
      <c r="AB199" s="7">
        <f t="shared" si="1200"/>
        <v>0</v>
      </c>
      <c r="AC199" s="7">
        <f t="shared" si="23"/>
        <v>0</v>
      </c>
      <c r="AD199" s="7">
        <f t="shared" ref="AD199:AF199" si="1201">IF(AE199=1,1,RANDBETWEEN(0,1))</f>
        <v>1</v>
      </c>
      <c r="AE199" s="7">
        <f t="shared" si="1201"/>
        <v>1</v>
      </c>
      <c r="AF199" s="7">
        <f t="shared" si="1201"/>
        <v>1</v>
      </c>
      <c r="AG199" s="7">
        <f t="shared" si="25"/>
        <v>1</v>
      </c>
    </row>
    <row r="200">
      <c r="A200" s="4" t="s">
        <v>586</v>
      </c>
      <c r="B200" s="4" t="s">
        <v>587</v>
      </c>
      <c r="C200" s="4" t="s">
        <v>95</v>
      </c>
      <c r="D200" s="5">
        <v>7691.0</v>
      </c>
      <c r="E200" s="6">
        <f t="shared" si="7"/>
        <v>864</v>
      </c>
      <c r="F200" s="7">
        <f t="shared" ref="F200:G200" si="1202">ROUND(RAND(),2)</f>
        <v>0.78</v>
      </c>
      <c r="G200" s="7">
        <f t="shared" si="1202"/>
        <v>0.11</v>
      </c>
      <c r="H200" s="7">
        <f t="shared" si="9"/>
        <v>3</v>
      </c>
      <c r="I200" s="7">
        <f t="shared" si="10"/>
        <v>72006</v>
      </c>
      <c r="J200" s="7">
        <f t="shared" si="11"/>
        <v>30402</v>
      </c>
      <c r="K200" s="7" t="str">
        <f t="shared" si="12"/>
        <v>B</v>
      </c>
      <c r="L200" s="7" t="str">
        <f t="shared" si="13"/>
        <v>Transformative change</v>
      </c>
      <c r="M200" s="7" t="str">
        <f t="shared" si="14"/>
        <v>High</v>
      </c>
      <c r="N200" s="7">
        <f t="shared" si="15"/>
        <v>3371077</v>
      </c>
      <c r="O200" s="7">
        <f t="shared" si="16"/>
        <v>1497256.218</v>
      </c>
      <c r="P200" s="7">
        <f t="shared" ref="P200:Q200" si="1203">RANDBETWEEN(0,22)</f>
        <v>18</v>
      </c>
      <c r="Q200" s="7">
        <f t="shared" si="1203"/>
        <v>10</v>
      </c>
      <c r="R200" s="7">
        <f t="shared" ref="R200:T200" si="1204">IF(S200=1,1,RANDBETWEEN(0,1))</f>
        <v>1</v>
      </c>
      <c r="S200" s="7">
        <f t="shared" si="1204"/>
        <v>1</v>
      </c>
      <c r="T200" s="7">
        <f t="shared" si="1204"/>
        <v>1</v>
      </c>
      <c r="U200" s="7">
        <f t="shared" si="19"/>
        <v>0</v>
      </c>
      <c r="V200" s="7">
        <f t="shared" ref="V200:X200" si="1205">IF(W200=1,1,RANDBETWEEN(0,1))</f>
        <v>1</v>
      </c>
      <c r="W200" s="7">
        <f t="shared" si="1205"/>
        <v>1</v>
      </c>
      <c r="X200" s="7">
        <f t="shared" si="1205"/>
        <v>1</v>
      </c>
      <c r="Y200" s="7">
        <f t="shared" si="21"/>
        <v>1</v>
      </c>
      <c r="Z200" s="7">
        <f t="shared" ref="Z200:AB200" si="1206">IF(AA200=1,1,RANDBETWEEN(0,1))</f>
        <v>1</v>
      </c>
      <c r="AA200" s="7">
        <f t="shared" si="1206"/>
        <v>1</v>
      </c>
      <c r="AB200" s="7">
        <f t="shared" si="1206"/>
        <v>1</v>
      </c>
      <c r="AC200" s="7">
        <f t="shared" si="23"/>
        <v>1</v>
      </c>
      <c r="AD200" s="7">
        <f t="shared" ref="AD200:AF200" si="1207">IF(AE200=1,1,RANDBETWEEN(0,1))</f>
        <v>0</v>
      </c>
      <c r="AE200" s="7">
        <f t="shared" si="1207"/>
        <v>0</v>
      </c>
      <c r="AF200" s="7">
        <f t="shared" si="1207"/>
        <v>0</v>
      </c>
      <c r="AG200" s="7">
        <f t="shared" si="25"/>
        <v>0</v>
      </c>
    </row>
    <row r="201">
      <c r="A201" s="4" t="s">
        <v>588</v>
      </c>
      <c r="B201" s="4" t="s">
        <v>589</v>
      </c>
      <c r="C201" s="4" t="s">
        <v>95</v>
      </c>
      <c r="D201" s="5">
        <v>21380.0</v>
      </c>
      <c r="E201" s="6">
        <f t="shared" si="7"/>
        <v>1040</v>
      </c>
      <c r="F201" s="7">
        <f t="shared" ref="F201:G201" si="1208">ROUND(RAND(),2)</f>
        <v>0.9</v>
      </c>
      <c r="G201" s="7">
        <f t="shared" si="1208"/>
        <v>0.42</v>
      </c>
      <c r="H201" s="7">
        <f t="shared" si="9"/>
        <v>3</v>
      </c>
      <c r="I201" s="7">
        <f t="shared" si="10"/>
        <v>68255</v>
      </c>
      <c r="J201" s="7">
        <f t="shared" si="11"/>
        <v>21611</v>
      </c>
      <c r="K201" s="7" t="str">
        <f t="shared" si="12"/>
        <v>D</v>
      </c>
      <c r="L201" s="7" t="str">
        <f t="shared" si="13"/>
        <v>Transformative change</v>
      </c>
      <c r="M201" s="7" t="str">
        <f t="shared" si="14"/>
        <v>High</v>
      </c>
      <c r="N201" s="7">
        <f t="shared" si="15"/>
        <v>3487155</v>
      </c>
      <c r="O201" s="7">
        <f t="shared" si="16"/>
        <v>1643990.411</v>
      </c>
      <c r="P201" s="7">
        <f t="shared" ref="P201:Q201" si="1209">RANDBETWEEN(0,22)</f>
        <v>17</v>
      </c>
      <c r="Q201" s="7">
        <f t="shared" si="1209"/>
        <v>12</v>
      </c>
      <c r="R201" s="7">
        <f t="shared" ref="R201:T201" si="1210">IF(S201=1,1,RANDBETWEEN(0,1))</f>
        <v>1</v>
      </c>
      <c r="S201" s="7">
        <f t="shared" si="1210"/>
        <v>1</v>
      </c>
      <c r="T201" s="7">
        <f t="shared" si="1210"/>
        <v>1</v>
      </c>
      <c r="U201" s="7">
        <f t="shared" si="19"/>
        <v>1</v>
      </c>
      <c r="V201" s="7">
        <f t="shared" ref="V201:X201" si="1211">IF(W201=1,1,RANDBETWEEN(0,1))</f>
        <v>1</v>
      </c>
      <c r="W201" s="7">
        <f t="shared" si="1211"/>
        <v>1</v>
      </c>
      <c r="X201" s="7">
        <f t="shared" si="1211"/>
        <v>1</v>
      </c>
      <c r="Y201" s="7">
        <f t="shared" si="21"/>
        <v>1</v>
      </c>
      <c r="Z201" s="7">
        <f t="shared" ref="Z201:AB201" si="1212">IF(AA201=1,1,RANDBETWEEN(0,1))</f>
        <v>1</v>
      </c>
      <c r="AA201" s="7">
        <f t="shared" si="1212"/>
        <v>1</v>
      </c>
      <c r="AB201" s="7">
        <f t="shared" si="1212"/>
        <v>1</v>
      </c>
      <c r="AC201" s="7">
        <f t="shared" si="23"/>
        <v>1</v>
      </c>
      <c r="AD201" s="7">
        <f t="shared" ref="AD201:AF201" si="1213">IF(AE201=1,1,RANDBETWEEN(0,1))</f>
        <v>1</v>
      </c>
      <c r="AE201" s="7">
        <f t="shared" si="1213"/>
        <v>1</v>
      </c>
      <c r="AF201" s="7">
        <f t="shared" si="1213"/>
        <v>1</v>
      </c>
      <c r="AG201" s="7">
        <f t="shared" si="25"/>
        <v>1</v>
      </c>
    </row>
    <row r="202">
      <c r="A202" s="4" t="s">
        <v>590</v>
      </c>
      <c r="B202" s="4" t="s">
        <v>591</v>
      </c>
      <c r="C202" s="4" t="s">
        <v>592</v>
      </c>
      <c r="D202" s="5">
        <v>6465.0</v>
      </c>
      <c r="E202" s="6">
        <f t="shared" si="7"/>
        <v>1070</v>
      </c>
      <c r="F202" s="7">
        <f t="shared" ref="F202:G202" si="1214">ROUND(RAND(),2)</f>
        <v>0.94</v>
      </c>
      <c r="G202" s="7">
        <f t="shared" si="1214"/>
        <v>0.84</v>
      </c>
      <c r="H202" s="7">
        <f t="shared" si="9"/>
        <v>4</v>
      </c>
      <c r="I202" s="7">
        <f t="shared" si="10"/>
        <v>65634</v>
      </c>
      <c r="J202" s="7">
        <f t="shared" si="11"/>
        <v>22729</v>
      </c>
      <c r="K202" s="7" t="str">
        <f t="shared" si="12"/>
        <v>G</v>
      </c>
      <c r="L202" s="7" t="str">
        <f t="shared" si="13"/>
        <v>Transformative change</v>
      </c>
      <c r="M202" s="7" t="str">
        <f t="shared" si="14"/>
        <v>High</v>
      </c>
      <c r="N202" s="7">
        <f t="shared" si="15"/>
        <v>1114258</v>
      </c>
      <c r="O202" s="7">
        <f t="shared" si="16"/>
        <v>247622.4728</v>
      </c>
      <c r="P202" s="7">
        <f t="shared" ref="P202:Q202" si="1215">RANDBETWEEN(0,22)</f>
        <v>11</v>
      </c>
      <c r="Q202" s="7">
        <f t="shared" si="1215"/>
        <v>6</v>
      </c>
      <c r="R202" s="7">
        <f t="shared" ref="R202:T202" si="1216">IF(S202=1,1,RANDBETWEEN(0,1))</f>
        <v>1</v>
      </c>
      <c r="S202" s="7">
        <f t="shared" si="1216"/>
        <v>1</v>
      </c>
      <c r="T202" s="7">
        <f t="shared" si="1216"/>
        <v>1</v>
      </c>
      <c r="U202" s="7">
        <f t="shared" si="19"/>
        <v>1</v>
      </c>
      <c r="V202" s="7">
        <f t="shared" ref="V202:X202" si="1217">IF(W202=1,1,RANDBETWEEN(0,1))</f>
        <v>1</v>
      </c>
      <c r="W202" s="7">
        <f t="shared" si="1217"/>
        <v>1</v>
      </c>
      <c r="X202" s="7">
        <f t="shared" si="1217"/>
        <v>1</v>
      </c>
      <c r="Y202" s="7">
        <f t="shared" si="21"/>
        <v>1</v>
      </c>
      <c r="Z202" s="7">
        <f t="shared" ref="Z202:AB202" si="1218">IF(AA202=1,1,RANDBETWEEN(0,1))</f>
        <v>1</v>
      </c>
      <c r="AA202" s="7">
        <f t="shared" si="1218"/>
        <v>1</v>
      </c>
      <c r="AB202" s="7">
        <f t="shared" si="1218"/>
        <v>0</v>
      </c>
      <c r="AC202" s="7">
        <f t="shared" si="23"/>
        <v>0</v>
      </c>
      <c r="AD202" s="7">
        <f t="shared" ref="AD202:AF202" si="1219">IF(AE202=1,1,RANDBETWEEN(0,1))</f>
        <v>1</v>
      </c>
      <c r="AE202" s="7">
        <f t="shared" si="1219"/>
        <v>1</v>
      </c>
      <c r="AF202" s="7">
        <f t="shared" si="1219"/>
        <v>1</v>
      </c>
      <c r="AG202" s="7">
        <f t="shared" si="25"/>
        <v>1</v>
      </c>
    </row>
    <row r="203">
      <c r="A203" s="4" t="s">
        <v>593</v>
      </c>
      <c r="B203" s="4" t="s">
        <v>594</v>
      </c>
      <c r="C203" s="4" t="s">
        <v>350</v>
      </c>
      <c r="D203" s="5">
        <v>39445.0</v>
      </c>
      <c r="E203" s="6">
        <f t="shared" si="7"/>
        <v>967</v>
      </c>
      <c r="F203" s="7">
        <f t="shared" ref="F203:G203" si="1220">ROUND(RAND(),2)</f>
        <v>0.41</v>
      </c>
      <c r="G203" s="7">
        <f t="shared" si="1220"/>
        <v>0.76</v>
      </c>
      <c r="H203" s="7">
        <f t="shared" si="9"/>
        <v>5</v>
      </c>
      <c r="I203" s="7">
        <f t="shared" si="10"/>
        <v>3377</v>
      </c>
      <c r="J203" s="7">
        <f t="shared" si="11"/>
        <v>72246</v>
      </c>
      <c r="K203" s="7" t="str">
        <f t="shared" si="12"/>
        <v>C</v>
      </c>
      <c r="L203" s="7" t="str">
        <f t="shared" si="13"/>
        <v>Transformative change</v>
      </c>
      <c r="M203" s="7" t="str">
        <f t="shared" si="14"/>
        <v>High</v>
      </c>
      <c r="N203" s="7">
        <f t="shared" si="15"/>
        <v>3324874</v>
      </c>
      <c r="O203" s="7">
        <f t="shared" si="16"/>
        <v>2461174.71</v>
      </c>
      <c r="P203" s="7">
        <f t="shared" ref="P203:Q203" si="1221">RANDBETWEEN(0,22)</f>
        <v>3</v>
      </c>
      <c r="Q203" s="7">
        <f t="shared" si="1221"/>
        <v>2</v>
      </c>
      <c r="R203" s="7">
        <f t="shared" ref="R203:T203" si="1222">IF(S203=1,1,RANDBETWEEN(0,1))</f>
        <v>1</v>
      </c>
      <c r="S203" s="7">
        <f t="shared" si="1222"/>
        <v>1</v>
      </c>
      <c r="T203" s="7">
        <f t="shared" si="1222"/>
        <v>1</v>
      </c>
      <c r="U203" s="7">
        <f t="shared" si="19"/>
        <v>1</v>
      </c>
      <c r="V203" s="7">
        <f t="shared" ref="V203:X203" si="1223">IF(W203=1,1,RANDBETWEEN(0,1))</f>
        <v>1</v>
      </c>
      <c r="W203" s="7">
        <f t="shared" si="1223"/>
        <v>1</v>
      </c>
      <c r="X203" s="7">
        <f t="shared" si="1223"/>
        <v>1</v>
      </c>
      <c r="Y203" s="7">
        <f t="shared" si="21"/>
        <v>1</v>
      </c>
      <c r="Z203" s="7">
        <f t="shared" ref="Z203:AB203" si="1224">IF(AA203=1,1,RANDBETWEEN(0,1))</f>
        <v>1</v>
      </c>
      <c r="AA203" s="7">
        <f t="shared" si="1224"/>
        <v>1</v>
      </c>
      <c r="AB203" s="7">
        <f t="shared" si="1224"/>
        <v>0</v>
      </c>
      <c r="AC203" s="7">
        <f t="shared" si="23"/>
        <v>0</v>
      </c>
      <c r="AD203" s="7">
        <f t="shared" ref="AD203:AF203" si="1225">IF(AE203=1,1,RANDBETWEEN(0,1))</f>
        <v>1</v>
      </c>
      <c r="AE203" s="7">
        <f t="shared" si="1225"/>
        <v>1</v>
      </c>
      <c r="AF203" s="7">
        <f t="shared" si="1225"/>
        <v>1</v>
      </c>
      <c r="AG203" s="7">
        <f t="shared" si="25"/>
        <v>0</v>
      </c>
    </row>
    <row r="204">
      <c r="A204" s="4" t="s">
        <v>595</v>
      </c>
      <c r="B204" s="4" t="s">
        <v>596</v>
      </c>
      <c r="C204" s="4" t="s">
        <v>597</v>
      </c>
      <c r="D204" s="5">
        <v>774847.0</v>
      </c>
      <c r="E204" s="6">
        <f t="shared" si="7"/>
        <v>2767.31</v>
      </c>
      <c r="F204" s="7">
        <f t="shared" ref="F204:G204" si="1226">ROUND(RAND(),2)</f>
        <v>0.44</v>
      </c>
      <c r="G204" s="7">
        <f t="shared" si="1226"/>
        <v>0.38</v>
      </c>
      <c r="H204" s="7">
        <f t="shared" si="9"/>
        <v>2</v>
      </c>
      <c r="I204" s="7">
        <f t="shared" si="10"/>
        <v>48952</v>
      </c>
      <c r="J204" s="7">
        <f t="shared" si="11"/>
        <v>32905</v>
      </c>
      <c r="K204" s="7" t="str">
        <f t="shared" si="12"/>
        <v>D</v>
      </c>
      <c r="L204" s="7" t="str">
        <f t="shared" si="13"/>
        <v>Transformative change</v>
      </c>
      <c r="M204" s="7" t="str">
        <f t="shared" si="14"/>
        <v>Medium</v>
      </c>
      <c r="N204" s="7">
        <f t="shared" si="15"/>
        <v>3004017</v>
      </c>
      <c r="O204" s="7">
        <f t="shared" si="16"/>
        <v>729690.8233</v>
      </c>
      <c r="P204" s="7">
        <f t="shared" ref="P204:Q204" si="1227">RANDBETWEEN(0,22)</f>
        <v>20</v>
      </c>
      <c r="Q204" s="7">
        <f t="shared" si="1227"/>
        <v>2</v>
      </c>
      <c r="R204" s="7">
        <f t="shared" ref="R204:T204" si="1228">IF(S204=1,1,RANDBETWEEN(0,1))</f>
        <v>1</v>
      </c>
      <c r="S204" s="7">
        <f t="shared" si="1228"/>
        <v>1</v>
      </c>
      <c r="T204" s="7">
        <f t="shared" si="1228"/>
        <v>1</v>
      </c>
      <c r="U204" s="7">
        <f t="shared" si="19"/>
        <v>0</v>
      </c>
      <c r="V204" s="7">
        <f t="shared" ref="V204:X204" si="1229">IF(W204=1,1,RANDBETWEEN(0,1))</f>
        <v>1</v>
      </c>
      <c r="W204" s="7">
        <f t="shared" si="1229"/>
        <v>1</v>
      </c>
      <c r="X204" s="7">
        <f t="shared" si="1229"/>
        <v>1</v>
      </c>
      <c r="Y204" s="7">
        <f t="shared" si="21"/>
        <v>0</v>
      </c>
      <c r="Z204" s="7">
        <f t="shared" ref="Z204:AB204" si="1230">IF(AA204=1,1,RANDBETWEEN(0,1))</f>
        <v>1</v>
      </c>
      <c r="AA204" s="7">
        <f t="shared" si="1230"/>
        <v>1</v>
      </c>
      <c r="AB204" s="7">
        <f t="shared" si="1230"/>
        <v>1</v>
      </c>
      <c r="AC204" s="7">
        <f t="shared" si="23"/>
        <v>1</v>
      </c>
      <c r="AD204" s="7">
        <f t="shared" ref="AD204:AF204" si="1231">IF(AE204=1,1,RANDBETWEEN(0,1))</f>
        <v>1</v>
      </c>
      <c r="AE204" s="7">
        <f t="shared" si="1231"/>
        <v>1</v>
      </c>
      <c r="AF204" s="7">
        <f t="shared" si="1231"/>
        <v>1</v>
      </c>
      <c r="AG204" s="7">
        <f t="shared" si="25"/>
        <v>1</v>
      </c>
    </row>
    <row r="205">
      <c r="A205" s="4" t="s">
        <v>598</v>
      </c>
      <c r="B205" s="4" t="s">
        <v>599</v>
      </c>
      <c r="C205" s="4" t="s">
        <v>600</v>
      </c>
      <c r="D205" s="5">
        <v>7949.0</v>
      </c>
      <c r="E205" s="6">
        <f t="shared" si="7"/>
        <v>927</v>
      </c>
      <c r="F205" s="7">
        <f t="shared" ref="F205:G205" si="1232">ROUND(RAND(),2)</f>
        <v>0.89</v>
      </c>
      <c r="G205" s="7">
        <f t="shared" si="1232"/>
        <v>0.63</v>
      </c>
      <c r="H205" s="7">
        <f t="shared" si="9"/>
        <v>3</v>
      </c>
      <c r="I205" s="7">
        <f t="shared" si="10"/>
        <v>87287</v>
      </c>
      <c r="J205" s="7">
        <f t="shared" si="11"/>
        <v>87178</v>
      </c>
      <c r="K205" s="7" t="str">
        <f t="shared" si="12"/>
        <v>G</v>
      </c>
      <c r="L205" s="7" t="str">
        <f t="shared" si="13"/>
        <v>Transformative change</v>
      </c>
      <c r="M205" s="7" t="str">
        <f t="shared" si="14"/>
        <v>Low</v>
      </c>
      <c r="N205" s="7">
        <f t="shared" si="15"/>
        <v>1434775</v>
      </c>
      <c r="O205" s="7">
        <f t="shared" si="16"/>
        <v>927564.9547</v>
      </c>
      <c r="P205" s="7">
        <f t="shared" ref="P205:Q205" si="1233">RANDBETWEEN(0,22)</f>
        <v>14</v>
      </c>
      <c r="Q205" s="7">
        <f t="shared" si="1233"/>
        <v>19</v>
      </c>
      <c r="R205" s="7">
        <f t="shared" ref="R205:T205" si="1234">IF(S205=1,1,RANDBETWEEN(0,1))</f>
        <v>1</v>
      </c>
      <c r="S205" s="7">
        <f t="shared" si="1234"/>
        <v>1</v>
      </c>
      <c r="T205" s="7">
        <f t="shared" si="1234"/>
        <v>1</v>
      </c>
      <c r="U205" s="7">
        <f t="shared" si="19"/>
        <v>1</v>
      </c>
      <c r="V205" s="7">
        <f t="shared" ref="V205:X205" si="1235">IF(W205=1,1,RANDBETWEEN(0,1))</f>
        <v>1</v>
      </c>
      <c r="W205" s="7">
        <f t="shared" si="1235"/>
        <v>1</v>
      </c>
      <c r="X205" s="7">
        <f t="shared" si="1235"/>
        <v>1</v>
      </c>
      <c r="Y205" s="7">
        <f t="shared" si="21"/>
        <v>1</v>
      </c>
      <c r="Z205" s="7">
        <f t="shared" ref="Z205:AB205" si="1236">IF(AA205=1,1,RANDBETWEEN(0,1))</f>
        <v>1</v>
      </c>
      <c r="AA205" s="7">
        <f t="shared" si="1236"/>
        <v>1</v>
      </c>
      <c r="AB205" s="7">
        <f t="shared" si="1236"/>
        <v>0</v>
      </c>
      <c r="AC205" s="7">
        <f t="shared" si="23"/>
        <v>0</v>
      </c>
      <c r="AD205" s="7">
        <f t="shared" ref="AD205:AF205" si="1237">IF(AE205=1,1,RANDBETWEEN(0,1))</f>
        <v>1</v>
      </c>
      <c r="AE205" s="7">
        <f t="shared" si="1237"/>
        <v>1</v>
      </c>
      <c r="AF205" s="7">
        <f t="shared" si="1237"/>
        <v>1</v>
      </c>
      <c r="AG205" s="7">
        <f t="shared" si="25"/>
        <v>1</v>
      </c>
    </row>
    <row r="206">
      <c r="A206" s="4" t="s">
        <v>601</v>
      </c>
      <c r="B206" s="4" t="s">
        <v>602</v>
      </c>
      <c r="C206" s="4" t="s">
        <v>95</v>
      </c>
      <c r="D206" s="5">
        <v>10245.0</v>
      </c>
      <c r="E206" s="6">
        <f t="shared" si="7"/>
        <v>882</v>
      </c>
      <c r="F206" s="7">
        <f t="shared" ref="F206:G206" si="1238">ROUND(RAND(),2)</f>
        <v>0.22</v>
      </c>
      <c r="G206" s="7">
        <f t="shared" si="1238"/>
        <v>0.52</v>
      </c>
      <c r="H206" s="7">
        <f t="shared" si="9"/>
        <v>1</v>
      </c>
      <c r="I206" s="7">
        <f t="shared" si="10"/>
        <v>92895</v>
      </c>
      <c r="J206" s="7">
        <f t="shared" si="11"/>
        <v>66812</v>
      </c>
      <c r="K206" s="7" t="str">
        <f t="shared" si="12"/>
        <v>C</v>
      </c>
      <c r="L206" s="7" t="str">
        <f t="shared" si="13"/>
        <v>Transformative change</v>
      </c>
      <c r="M206" s="7" t="str">
        <f t="shared" si="14"/>
        <v>Low</v>
      </c>
      <c r="N206" s="7">
        <f t="shared" si="15"/>
        <v>3688918</v>
      </c>
      <c r="O206" s="7">
        <f t="shared" si="16"/>
        <v>593584.7209</v>
      </c>
      <c r="P206" s="7">
        <f t="shared" ref="P206:Q206" si="1239">RANDBETWEEN(0,22)</f>
        <v>4</v>
      </c>
      <c r="Q206" s="7">
        <f t="shared" si="1239"/>
        <v>6</v>
      </c>
      <c r="R206" s="7">
        <f t="shared" ref="R206:T206" si="1240">IF(S206=1,1,RANDBETWEEN(0,1))</f>
        <v>1</v>
      </c>
      <c r="S206" s="7">
        <f t="shared" si="1240"/>
        <v>1</v>
      </c>
      <c r="T206" s="7">
        <f t="shared" si="1240"/>
        <v>1</v>
      </c>
      <c r="U206" s="7">
        <f t="shared" si="19"/>
        <v>1</v>
      </c>
      <c r="V206" s="7">
        <f t="shared" ref="V206:X206" si="1241">IF(W206=1,1,RANDBETWEEN(0,1))</f>
        <v>1</v>
      </c>
      <c r="W206" s="7">
        <f t="shared" si="1241"/>
        <v>1</v>
      </c>
      <c r="X206" s="7">
        <f t="shared" si="1241"/>
        <v>1</v>
      </c>
      <c r="Y206" s="7">
        <f t="shared" si="21"/>
        <v>1</v>
      </c>
      <c r="Z206" s="7">
        <f t="shared" ref="Z206:AB206" si="1242">IF(AA206=1,1,RANDBETWEEN(0,1))</f>
        <v>1</v>
      </c>
      <c r="AA206" s="7">
        <f t="shared" si="1242"/>
        <v>1</v>
      </c>
      <c r="AB206" s="7">
        <f t="shared" si="1242"/>
        <v>1</v>
      </c>
      <c r="AC206" s="7">
        <f t="shared" si="23"/>
        <v>1</v>
      </c>
      <c r="AD206" s="7">
        <f t="shared" ref="AD206:AF206" si="1243">IF(AE206=1,1,RANDBETWEEN(0,1))</f>
        <v>1</v>
      </c>
      <c r="AE206" s="7">
        <f t="shared" si="1243"/>
        <v>1</v>
      </c>
      <c r="AF206" s="7">
        <f t="shared" si="1243"/>
        <v>1</v>
      </c>
      <c r="AG206" s="7">
        <f t="shared" si="25"/>
        <v>1</v>
      </c>
    </row>
    <row r="207">
      <c r="A207" s="4" t="s">
        <v>603</v>
      </c>
      <c r="B207" s="4" t="s">
        <v>604</v>
      </c>
      <c r="C207" s="4" t="s">
        <v>605</v>
      </c>
      <c r="D207" s="5">
        <v>297192.0</v>
      </c>
      <c r="E207" s="6">
        <f t="shared" si="7"/>
        <v>858.94</v>
      </c>
      <c r="F207" s="7">
        <f t="shared" ref="F207:G207" si="1244">ROUND(RAND(),2)</f>
        <v>0.59</v>
      </c>
      <c r="G207" s="7">
        <f t="shared" si="1244"/>
        <v>0.54</v>
      </c>
      <c r="H207" s="7">
        <f t="shared" si="9"/>
        <v>5</v>
      </c>
      <c r="I207" s="7">
        <f t="shared" si="10"/>
        <v>46376</v>
      </c>
      <c r="J207" s="7">
        <f t="shared" si="11"/>
        <v>35150</v>
      </c>
      <c r="K207" s="7" t="str">
        <f t="shared" si="12"/>
        <v>A</v>
      </c>
      <c r="L207" s="7" t="str">
        <f t="shared" si="13"/>
        <v>Transformative change</v>
      </c>
      <c r="M207" s="7" t="str">
        <f t="shared" si="14"/>
        <v>Low</v>
      </c>
      <c r="N207" s="7">
        <f t="shared" si="15"/>
        <v>2549353</v>
      </c>
      <c r="O207" s="7">
        <f t="shared" si="16"/>
        <v>204610.6224</v>
      </c>
      <c r="P207" s="7">
        <f t="shared" ref="P207:Q207" si="1245">RANDBETWEEN(0,22)</f>
        <v>18</v>
      </c>
      <c r="Q207" s="7">
        <f t="shared" si="1245"/>
        <v>8</v>
      </c>
      <c r="R207" s="7">
        <f t="shared" ref="R207:T207" si="1246">IF(S207=1,1,RANDBETWEEN(0,1))</f>
        <v>1</v>
      </c>
      <c r="S207" s="7">
        <f t="shared" si="1246"/>
        <v>1</v>
      </c>
      <c r="T207" s="7">
        <f t="shared" si="1246"/>
        <v>1</v>
      </c>
      <c r="U207" s="7">
        <f t="shared" si="19"/>
        <v>1</v>
      </c>
      <c r="V207" s="7">
        <f t="shared" ref="V207:X207" si="1247">IF(W207=1,1,RANDBETWEEN(0,1))</f>
        <v>1</v>
      </c>
      <c r="W207" s="7">
        <f t="shared" si="1247"/>
        <v>1</v>
      </c>
      <c r="X207" s="7">
        <f t="shared" si="1247"/>
        <v>1</v>
      </c>
      <c r="Y207" s="7">
        <f t="shared" si="21"/>
        <v>0</v>
      </c>
      <c r="Z207" s="7">
        <f t="shared" ref="Z207:AB207" si="1248">IF(AA207=1,1,RANDBETWEEN(0,1))</f>
        <v>1</v>
      </c>
      <c r="AA207" s="7">
        <f t="shared" si="1248"/>
        <v>1</v>
      </c>
      <c r="AB207" s="7">
        <f t="shared" si="1248"/>
        <v>0</v>
      </c>
      <c r="AC207" s="7">
        <f t="shared" si="23"/>
        <v>0</v>
      </c>
      <c r="AD207" s="7">
        <f t="shared" ref="AD207:AF207" si="1249">IF(AE207=1,1,RANDBETWEEN(0,1))</f>
        <v>1</v>
      </c>
      <c r="AE207" s="7">
        <f t="shared" si="1249"/>
        <v>1</v>
      </c>
      <c r="AF207" s="7">
        <f t="shared" si="1249"/>
        <v>1</v>
      </c>
      <c r="AG207" s="7">
        <f t="shared" si="25"/>
        <v>1</v>
      </c>
    </row>
    <row r="208">
      <c r="A208" s="4" t="s">
        <v>606</v>
      </c>
      <c r="B208" s="4" t="s">
        <v>607</v>
      </c>
      <c r="C208" s="4" t="s">
        <v>608</v>
      </c>
      <c r="D208" s="5">
        <v>93489.0</v>
      </c>
      <c r="E208" s="6">
        <f t="shared" si="7"/>
        <v>1051</v>
      </c>
      <c r="F208" s="7">
        <f t="shared" ref="F208:G208" si="1250">ROUND(RAND(),2)</f>
        <v>0.85</v>
      </c>
      <c r="G208" s="7">
        <f t="shared" si="1250"/>
        <v>0.3</v>
      </c>
      <c r="H208" s="7">
        <f t="shared" si="9"/>
        <v>3</v>
      </c>
      <c r="I208" s="7">
        <f t="shared" si="10"/>
        <v>19522</v>
      </c>
      <c r="J208" s="7">
        <f t="shared" si="11"/>
        <v>26250</v>
      </c>
      <c r="K208" s="7" t="str">
        <f t="shared" si="12"/>
        <v>B</v>
      </c>
      <c r="L208" s="7" t="str">
        <f t="shared" si="13"/>
        <v>High ambition</v>
      </c>
      <c r="M208" s="7" t="str">
        <f t="shared" si="14"/>
        <v>Low</v>
      </c>
      <c r="N208" s="7">
        <f t="shared" si="15"/>
        <v>3861195</v>
      </c>
      <c r="O208" s="7">
        <f t="shared" si="16"/>
        <v>2360974.174</v>
      </c>
      <c r="P208" s="7">
        <f t="shared" ref="P208:Q208" si="1251">RANDBETWEEN(0,22)</f>
        <v>18</v>
      </c>
      <c r="Q208" s="7">
        <f t="shared" si="1251"/>
        <v>22</v>
      </c>
      <c r="R208" s="7">
        <f t="shared" ref="R208:T208" si="1252">IF(S208=1,1,RANDBETWEEN(0,1))</f>
        <v>1</v>
      </c>
      <c r="S208" s="7">
        <f t="shared" si="1252"/>
        <v>1</v>
      </c>
      <c r="T208" s="7">
        <f t="shared" si="1252"/>
        <v>1</v>
      </c>
      <c r="U208" s="7">
        <f t="shared" si="19"/>
        <v>1</v>
      </c>
      <c r="V208" s="7">
        <f t="shared" ref="V208:X208" si="1253">IF(W208=1,1,RANDBETWEEN(0,1))</f>
        <v>1</v>
      </c>
      <c r="W208" s="7">
        <f t="shared" si="1253"/>
        <v>1</v>
      </c>
      <c r="X208" s="7">
        <f t="shared" si="1253"/>
        <v>1</v>
      </c>
      <c r="Y208" s="7">
        <f t="shared" si="21"/>
        <v>1</v>
      </c>
      <c r="Z208" s="7">
        <f t="shared" ref="Z208:AB208" si="1254">IF(AA208=1,1,RANDBETWEEN(0,1))</f>
        <v>1</v>
      </c>
      <c r="AA208" s="7">
        <f t="shared" si="1254"/>
        <v>1</v>
      </c>
      <c r="AB208" s="7">
        <f t="shared" si="1254"/>
        <v>1</v>
      </c>
      <c r="AC208" s="7">
        <f t="shared" si="23"/>
        <v>1</v>
      </c>
      <c r="AD208" s="7">
        <f t="shared" ref="AD208:AF208" si="1255">IF(AE208=1,1,RANDBETWEEN(0,1))</f>
        <v>1</v>
      </c>
      <c r="AE208" s="7">
        <f t="shared" si="1255"/>
        <v>1</v>
      </c>
      <c r="AF208" s="7">
        <f t="shared" si="1255"/>
        <v>1</v>
      </c>
      <c r="AG208" s="7">
        <f t="shared" si="25"/>
        <v>1</v>
      </c>
    </row>
    <row r="209">
      <c r="A209" s="4" t="s">
        <v>433</v>
      </c>
      <c r="B209" s="4" t="s">
        <v>609</v>
      </c>
      <c r="C209" s="4" t="s">
        <v>610</v>
      </c>
      <c r="D209" s="5">
        <v>8744.0</v>
      </c>
      <c r="E209" s="6">
        <f t="shared" si="7"/>
        <v>927</v>
      </c>
      <c r="F209" s="7">
        <f t="shared" ref="F209:G209" si="1256">ROUND(RAND(),2)</f>
        <v>0.39</v>
      </c>
      <c r="G209" s="7">
        <f t="shared" si="1256"/>
        <v>0.76</v>
      </c>
      <c r="H209" s="7">
        <f t="shared" si="9"/>
        <v>3</v>
      </c>
      <c r="I209" s="7">
        <f t="shared" si="10"/>
        <v>35420</v>
      </c>
      <c r="J209" s="7">
        <f t="shared" si="11"/>
        <v>16660</v>
      </c>
      <c r="K209" s="7" t="str">
        <f t="shared" si="12"/>
        <v>C</v>
      </c>
      <c r="L209" s="7" t="str">
        <f t="shared" si="13"/>
        <v>Transformative change</v>
      </c>
      <c r="M209" s="7" t="str">
        <f t="shared" si="14"/>
        <v>Low</v>
      </c>
      <c r="N209" s="7">
        <f t="shared" si="15"/>
        <v>3813171</v>
      </c>
      <c r="O209" s="7">
        <f t="shared" si="16"/>
        <v>2675713.171</v>
      </c>
      <c r="P209" s="7">
        <f t="shared" ref="P209:Q209" si="1257">RANDBETWEEN(0,22)</f>
        <v>13</v>
      </c>
      <c r="Q209" s="7">
        <f t="shared" si="1257"/>
        <v>22</v>
      </c>
      <c r="R209" s="7">
        <f t="shared" ref="R209:T209" si="1258">IF(S209=1,1,RANDBETWEEN(0,1))</f>
        <v>1</v>
      </c>
      <c r="S209" s="7">
        <f t="shared" si="1258"/>
        <v>1</v>
      </c>
      <c r="T209" s="7">
        <f t="shared" si="1258"/>
        <v>1</v>
      </c>
      <c r="U209" s="7">
        <f t="shared" si="19"/>
        <v>0</v>
      </c>
      <c r="V209" s="7">
        <f t="shared" ref="V209:X209" si="1259">IF(W209=1,1,RANDBETWEEN(0,1))</f>
        <v>1</v>
      </c>
      <c r="W209" s="7">
        <f t="shared" si="1259"/>
        <v>1</v>
      </c>
      <c r="X209" s="7">
        <f t="shared" si="1259"/>
        <v>1</v>
      </c>
      <c r="Y209" s="7">
        <f t="shared" si="21"/>
        <v>1</v>
      </c>
      <c r="Z209" s="7">
        <f t="shared" ref="Z209:AB209" si="1260">IF(AA209=1,1,RANDBETWEEN(0,1))</f>
        <v>0</v>
      </c>
      <c r="AA209" s="7">
        <f t="shared" si="1260"/>
        <v>0</v>
      </c>
      <c r="AB209" s="7">
        <f t="shared" si="1260"/>
        <v>0</v>
      </c>
      <c r="AC209" s="7">
        <f t="shared" si="23"/>
        <v>0</v>
      </c>
      <c r="AD209" s="7">
        <f t="shared" ref="AD209:AF209" si="1261">IF(AE209=1,1,RANDBETWEEN(0,1))</f>
        <v>0</v>
      </c>
      <c r="AE209" s="7">
        <f t="shared" si="1261"/>
        <v>0</v>
      </c>
      <c r="AF209" s="7">
        <f t="shared" si="1261"/>
        <v>0</v>
      </c>
      <c r="AG209" s="7">
        <f t="shared" si="25"/>
        <v>0</v>
      </c>
    </row>
    <row r="210">
      <c r="A210" s="4" t="s">
        <v>611</v>
      </c>
      <c r="B210" s="4" t="s">
        <v>612</v>
      </c>
      <c r="C210" s="4" t="s">
        <v>613</v>
      </c>
      <c r="D210" s="5">
        <v>732994.0</v>
      </c>
      <c r="E210" s="6">
        <f t="shared" si="7"/>
        <v>5638.42</v>
      </c>
      <c r="F210" s="7">
        <f t="shared" ref="F210:G210" si="1262">ROUND(RAND(),2)</f>
        <v>0.51</v>
      </c>
      <c r="G210" s="7">
        <f t="shared" si="1262"/>
        <v>0.67</v>
      </c>
      <c r="H210" s="7">
        <f t="shared" si="9"/>
        <v>5</v>
      </c>
      <c r="I210" s="7">
        <f t="shared" si="10"/>
        <v>75535</v>
      </c>
      <c r="J210" s="7">
        <f t="shared" si="11"/>
        <v>41173</v>
      </c>
      <c r="K210" s="7" t="str">
        <f t="shared" si="12"/>
        <v>A</v>
      </c>
      <c r="L210" s="7" t="str">
        <f t="shared" si="13"/>
        <v>Transformative change</v>
      </c>
      <c r="M210" s="7" t="str">
        <f t="shared" si="14"/>
        <v>Medium</v>
      </c>
      <c r="N210" s="7">
        <f t="shared" si="15"/>
        <v>3916320</v>
      </c>
      <c r="O210" s="7">
        <f t="shared" si="16"/>
        <v>478417.1475</v>
      </c>
      <c r="P210" s="7">
        <f t="shared" ref="P210:Q210" si="1263">RANDBETWEEN(0,22)</f>
        <v>21</v>
      </c>
      <c r="Q210" s="7">
        <f t="shared" si="1263"/>
        <v>1</v>
      </c>
      <c r="R210" s="7">
        <f t="shared" ref="R210:T210" si="1264">IF(S210=1,1,RANDBETWEEN(0,1))</f>
        <v>1</v>
      </c>
      <c r="S210" s="7">
        <f t="shared" si="1264"/>
        <v>1</v>
      </c>
      <c r="T210" s="7">
        <f t="shared" si="1264"/>
        <v>1</v>
      </c>
      <c r="U210" s="7">
        <f t="shared" si="19"/>
        <v>1</v>
      </c>
      <c r="V210" s="7">
        <f t="shared" ref="V210:X210" si="1265">IF(W210=1,1,RANDBETWEEN(0,1))</f>
        <v>1</v>
      </c>
      <c r="W210" s="7">
        <f t="shared" si="1265"/>
        <v>1</v>
      </c>
      <c r="X210" s="7">
        <f t="shared" si="1265"/>
        <v>0</v>
      </c>
      <c r="Y210" s="7">
        <f t="shared" si="21"/>
        <v>0</v>
      </c>
      <c r="Z210" s="7">
        <f t="shared" ref="Z210:AB210" si="1266">IF(AA210=1,1,RANDBETWEEN(0,1))</f>
        <v>1</v>
      </c>
      <c r="AA210" s="7">
        <f t="shared" si="1266"/>
        <v>1</v>
      </c>
      <c r="AB210" s="7">
        <f t="shared" si="1266"/>
        <v>1</v>
      </c>
      <c r="AC210" s="7">
        <f t="shared" si="23"/>
        <v>1</v>
      </c>
      <c r="AD210" s="7">
        <f t="shared" ref="AD210:AF210" si="1267">IF(AE210=1,1,RANDBETWEEN(0,1))</f>
        <v>1</v>
      </c>
      <c r="AE210" s="7">
        <f t="shared" si="1267"/>
        <v>1</v>
      </c>
      <c r="AF210" s="7">
        <f t="shared" si="1267"/>
        <v>0</v>
      </c>
      <c r="AG210" s="7">
        <f t="shared" si="25"/>
        <v>0</v>
      </c>
    </row>
    <row r="211">
      <c r="A211" s="4" t="s">
        <v>614</v>
      </c>
      <c r="B211" s="4" t="s">
        <v>615</v>
      </c>
      <c r="C211" s="4" t="s">
        <v>616</v>
      </c>
      <c r="D211" s="5">
        <v>23160.0</v>
      </c>
      <c r="E211" s="6">
        <f t="shared" si="7"/>
        <v>1019</v>
      </c>
      <c r="F211" s="7">
        <f t="shared" ref="F211:G211" si="1268">ROUND(RAND(),2)</f>
        <v>0</v>
      </c>
      <c r="G211" s="7">
        <f t="shared" si="1268"/>
        <v>0.29</v>
      </c>
      <c r="H211" s="7">
        <f t="shared" si="9"/>
        <v>5</v>
      </c>
      <c r="I211" s="7">
        <f t="shared" si="10"/>
        <v>5238</v>
      </c>
      <c r="J211" s="7">
        <f t="shared" si="11"/>
        <v>4523</v>
      </c>
      <c r="K211" s="7" t="str">
        <f t="shared" si="12"/>
        <v>D</v>
      </c>
      <c r="L211" s="7" t="str">
        <f t="shared" si="13"/>
        <v>Transformative change</v>
      </c>
      <c r="M211" s="7" t="str">
        <f t="shared" si="14"/>
        <v>High</v>
      </c>
      <c r="N211" s="7">
        <f t="shared" si="15"/>
        <v>900313</v>
      </c>
      <c r="O211" s="7">
        <f t="shared" si="16"/>
        <v>141339.984</v>
      </c>
      <c r="P211" s="7">
        <f t="shared" ref="P211:Q211" si="1269">RANDBETWEEN(0,22)</f>
        <v>13</v>
      </c>
      <c r="Q211" s="7">
        <f t="shared" si="1269"/>
        <v>10</v>
      </c>
      <c r="R211" s="7">
        <f t="shared" ref="R211:T211" si="1270">IF(S211=1,1,RANDBETWEEN(0,1))</f>
        <v>1</v>
      </c>
      <c r="S211" s="7">
        <f t="shared" si="1270"/>
        <v>1</v>
      </c>
      <c r="T211" s="7">
        <f t="shared" si="1270"/>
        <v>1</v>
      </c>
      <c r="U211" s="7">
        <f t="shared" si="19"/>
        <v>0</v>
      </c>
      <c r="V211" s="7">
        <f t="shared" ref="V211:X211" si="1271">IF(W211=1,1,RANDBETWEEN(0,1))</f>
        <v>1</v>
      </c>
      <c r="W211" s="7">
        <f t="shared" si="1271"/>
        <v>1</v>
      </c>
      <c r="X211" s="7">
        <f t="shared" si="1271"/>
        <v>1</v>
      </c>
      <c r="Y211" s="7">
        <f t="shared" si="21"/>
        <v>0</v>
      </c>
      <c r="Z211" s="7">
        <f t="shared" ref="Z211:AB211" si="1272">IF(AA211=1,1,RANDBETWEEN(0,1))</f>
        <v>1</v>
      </c>
      <c r="AA211" s="7">
        <f t="shared" si="1272"/>
        <v>0</v>
      </c>
      <c r="AB211" s="7">
        <f t="shared" si="1272"/>
        <v>0</v>
      </c>
      <c r="AC211" s="7">
        <f t="shared" si="23"/>
        <v>0</v>
      </c>
      <c r="AD211" s="7">
        <f t="shared" ref="AD211:AF211" si="1273">IF(AE211=1,1,RANDBETWEEN(0,1))</f>
        <v>1</v>
      </c>
      <c r="AE211" s="7">
        <f t="shared" si="1273"/>
        <v>1</v>
      </c>
      <c r="AF211" s="7">
        <f t="shared" si="1273"/>
        <v>1</v>
      </c>
      <c r="AG211" s="7">
        <f t="shared" si="25"/>
        <v>1</v>
      </c>
    </row>
    <row r="212">
      <c r="A212" s="4" t="s">
        <v>617</v>
      </c>
      <c r="B212" s="4" t="s">
        <v>618</v>
      </c>
      <c r="C212" s="4" t="s">
        <v>619</v>
      </c>
      <c r="D212" s="5">
        <v>19494.0</v>
      </c>
      <c r="E212" s="6">
        <f t="shared" si="7"/>
        <v>1098</v>
      </c>
      <c r="F212" s="7">
        <f t="shared" ref="F212:G212" si="1274">ROUND(RAND(),2)</f>
        <v>0.57</v>
      </c>
      <c r="G212" s="7">
        <f t="shared" si="1274"/>
        <v>0.04</v>
      </c>
      <c r="H212" s="7">
        <f t="shared" si="9"/>
        <v>3</v>
      </c>
      <c r="I212" s="7">
        <f t="shared" si="10"/>
        <v>54411</v>
      </c>
      <c r="J212" s="7">
        <f t="shared" si="11"/>
        <v>10823</v>
      </c>
      <c r="K212" s="7" t="str">
        <f t="shared" si="12"/>
        <v>A</v>
      </c>
      <c r="L212" s="7" t="str">
        <f t="shared" si="13"/>
        <v>High ambition</v>
      </c>
      <c r="M212" s="7" t="str">
        <f t="shared" si="14"/>
        <v>Medium</v>
      </c>
      <c r="N212" s="7">
        <f t="shared" si="15"/>
        <v>75063</v>
      </c>
      <c r="O212" s="7">
        <f t="shared" si="16"/>
        <v>1946.74041</v>
      </c>
      <c r="P212" s="7">
        <f t="shared" ref="P212:Q212" si="1275">RANDBETWEEN(0,22)</f>
        <v>17</v>
      </c>
      <c r="Q212" s="7">
        <f t="shared" si="1275"/>
        <v>11</v>
      </c>
      <c r="R212" s="7">
        <f t="shared" ref="R212:T212" si="1276">IF(S212=1,1,RANDBETWEEN(0,1))</f>
        <v>1</v>
      </c>
      <c r="S212" s="7">
        <f t="shared" si="1276"/>
        <v>1</v>
      </c>
      <c r="T212" s="7">
        <f t="shared" si="1276"/>
        <v>1</v>
      </c>
      <c r="U212" s="7">
        <f t="shared" si="19"/>
        <v>1</v>
      </c>
      <c r="V212" s="7">
        <f t="shared" ref="V212:X212" si="1277">IF(W212=1,1,RANDBETWEEN(0,1))</f>
        <v>1</v>
      </c>
      <c r="W212" s="7">
        <f t="shared" si="1277"/>
        <v>1</v>
      </c>
      <c r="X212" s="7">
        <f t="shared" si="1277"/>
        <v>1</v>
      </c>
      <c r="Y212" s="7">
        <f t="shared" si="21"/>
        <v>1</v>
      </c>
      <c r="Z212" s="7">
        <f t="shared" ref="Z212:AB212" si="1278">IF(AA212=1,1,RANDBETWEEN(0,1))</f>
        <v>1</v>
      </c>
      <c r="AA212" s="7">
        <f t="shared" si="1278"/>
        <v>1</v>
      </c>
      <c r="AB212" s="7">
        <f t="shared" si="1278"/>
        <v>1</v>
      </c>
      <c r="AC212" s="7">
        <f t="shared" si="23"/>
        <v>1</v>
      </c>
      <c r="AD212" s="7">
        <f t="shared" ref="AD212:AF212" si="1279">IF(AE212=1,1,RANDBETWEEN(0,1))</f>
        <v>1</v>
      </c>
      <c r="AE212" s="7">
        <f t="shared" si="1279"/>
        <v>1</v>
      </c>
      <c r="AF212" s="7">
        <f t="shared" si="1279"/>
        <v>1</v>
      </c>
      <c r="AG212" s="7">
        <f t="shared" si="25"/>
        <v>1</v>
      </c>
    </row>
    <row r="213">
      <c r="A213" s="4" t="s">
        <v>620</v>
      </c>
      <c r="B213" s="4" t="s">
        <v>621</v>
      </c>
      <c r="C213" s="4" t="s">
        <v>622</v>
      </c>
      <c r="D213" s="5">
        <v>7939.0</v>
      </c>
      <c r="E213" s="6">
        <f t="shared" si="7"/>
        <v>969</v>
      </c>
      <c r="F213" s="7">
        <f t="shared" ref="F213:G213" si="1280">ROUND(RAND(),2)</f>
        <v>0.76</v>
      </c>
      <c r="G213" s="7">
        <f t="shared" si="1280"/>
        <v>0.7</v>
      </c>
      <c r="H213" s="7">
        <f t="shared" si="9"/>
        <v>5</v>
      </c>
      <c r="I213" s="7">
        <f t="shared" si="10"/>
        <v>89908</v>
      </c>
      <c r="J213" s="7">
        <f t="shared" si="11"/>
        <v>34305</v>
      </c>
      <c r="K213" s="7" t="str">
        <f t="shared" si="12"/>
        <v>F</v>
      </c>
      <c r="L213" s="7" t="str">
        <f t="shared" si="13"/>
        <v>Transformative change</v>
      </c>
      <c r="M213" s="7" t="str">
        <f t="shared" si="14"/>
        <v>Low</v>
      </c>
      <c r="N213" s="7">
        <f t="shared" si="15"/>
        <v>3410912</v>
      </c>
      <c r="O213" s="7">
        <f t="shared" si="16"/>
        <v>2526946.972</v>
      </c>
      <c r="P213" s="7">
        <f t="shared" ref="P213:Q213" si="1281">RANDBETWEEN(0,22)</f>
        <v>14</v>
      </c>
      <c r="Q213" s="7">
        <f t="shared" si="1281"/>
        <v>13</v>
      </c>
      <c r="R213" s="7">
        <f t="shared" ref="R213:T213" si="1282">IF(S213=1,1,RANDBETWEEN(0,1))</f>
        <v>1</v>
      </c>
      <c r="S213" s="7">
        <f t="shared" si="1282"/>
        <v>1</v>
      </c>
      <c r="T213" s="7">
        <f t="shared" si="1282"/>
        <v>1</v>
      </c>
      <c r="U213" s="7">
        <f t="shared" si="19"/>
        <v>0</v>
      </c>
      <c r="V213" s="7">
        <f t="shared" ref="V213:X213" si="1283">IF(W213=1,1,RANDBETWEEN(0,1))</f>
        <v>1</v>
      </c>
      <c r="W213" s="7">
        <f t="shared" si="1283"/>
        <v>1</v>
      </c>
      <c r="X213" s="7">
        <f t="shared" si="1283"/>
        <v>1</v>
      </c>
      <c r="Y213" s="7">
        <f t="shared" si="21"/>
        <v>0</v>
      </c>
      <c r="Z213" s="7">
        <f t="shared" ref="Z213:AB213" si="1284">IF(AA213=1,1,RANDBETWEEN(0,1))</f>
        <v>1</v>
      </c>
      <c r="AA213" s="7">
        <f t="shared" si="1284"/>
        <v>1</v>
      </c>
      <c r="AB213" s="7">
        <f t="shared" si="1284"/>
        <v>0</v>
      </c>
      <c r="AC213" s="7">
        <f t="shared" si="23"/>
        <v>0</v>
      </c>
      <c r="AD213" s="7">
        <f t="shared" ref="AD213:AF213" si="1285">IF(AE213=1,1,RANDBETWEEN(0,1))</f>
        <v>1</v>
      </c>
      <c r="AE213" s="7">
        <f t="shared" si="1285"/>
        <v>1</v>
      </c>
      <c r="AF213" s="7">
        <f t="shared" si="1285"/>
        <v>1</v>
      </c>
      <c r="AG213" s="7">
        <f t="shared" si="25"/>
        <v>1</v>
      </c>
    </row>
    <row r="214">
      <c r="A214" s="4" t="s">
        <v>623</v>
      </c>
      <c r="B214" s="4" t="s">
        <v>624</v>
      </c>
      <c r="C214" s="4" t="s">
        <v>625</v>
      </c>
      <c r="D214" s="5">
        <v>353591.0</v>
      </c>
      <c r="E214" s="6">
        <f t="shared" si="7"/>
        <v>1578.53</v>
      </c>
      <c r="F214" s="7">
        <f t="shared" ref="F214:G214" si="1286">ROUND(RAND(),2)</f>
        <v>0.13</v>
      </c>
      <c r="G214" s="7">
        <f t="shared" si="1286"/>
        <v>0.27</v>
      </c>
      <c r="H214" s="7">
        <f t="shared" si="9"/>
        <v>5</v>
      </c>
      <c r="I214" s="7">
        <f t="shared" si="10"/>
        <v>6829</v>
      </c>
      <c r="J214" s="7">
        <f t="shared" si="11"/>
        <v>39783</v>
      </c>
      <c r="K214" s="7" t="str">
        <f t="shared" si="12"/>
        <v>C</v>
      </c>
      <c r="L214" s="7" t="str">
        <f t="shared" si="13"/>
        <v>Transformative change</v>
      </c>
      <c r="M214" s="7" t="str">
        <f t="shared" si="14"/>
        <v>Low</v>
      </c>
      <c r="N214" s="7">
        <f t="shared" si="15"/>
        <v>2371168</v>
      </c>
      <c r="O214" s="7">
        <f t="shared" si="16"/>
        <v>1293818.4</v>
      </c>
      <c r="P214" s="7">
        <f t="shared" ref="P214:Q214" si="1287">RANDBETWEEN(0,22)</f>
        <v>9</v>
      </c>
      <c r="Q214" s="7">
        <f t="shared" si="1287"/>
        <v>21</v>
      </c>
      <c r="R214" s="7">
        <f t="shared" ref="R214:T214" si="1288">IF(S214=1,1,RANDBETWEEN(0,1))</f>
        <v>1</v>
      </c>
      <c r="S214" s="7">
        <f t="shared" si="1288"/>
        <v>0</v>
      </c>
      <c r="T214" s="7">
        <f t="shared" si="1288"/>
        <v>0</v>
      </c>
      <c r="U214" s="7">
        <f t="shared" si="19"/>
        <v>0</v>
      </c>
      <c r="V214" s="7">
        <f t="shared" ref="V214:X214" si="1289">IF(W214=1,1,RANDBETWEEN(0,1))</f>
        <v>1</v>
      </c>
      <c r="W214" s="7">
        <f t="shared" si="1289"/>
        <v>1</v>
      </c>
      <c r="X214" s="7">
        <f t="shared" si="1289"/>
        <v>1</v>
      </c>
      <c r="Y214" s="7">
        <f t="shared" si="21"/>
        <v>0</v>
      </c>
      <c r="Z214" s="7">
        <f t="shared" ref="Z214:AB214" si="1290">IF(AA214=1,1,RANDBETWEEN(0,1))</f>
        <v>1</v>
      </c>
      <c r="AA214" s="7">
        <f t="shared" si="1290"/>
        <v>1</v>
      </c>
      <c r="AB214" s="7">
        <f t="shared" si="1290"/>
        <v>1</v>
      </c>
      <c r="AC214" s="7">
        <f t="shared" si="23"/>
        <v>1</v>
      </c>
      <c r="AD214" s="7">
        <f t="shared" ref="AD214:AF214" si="1291">IF(AE214=1,1,RANDBETWEEN(0,1))</f>
        <v>1</v>
      </c>
      <c r="AE214" s="7">
        <f t="shared" si="1291"/>
        <v>0</v>
      </c>
      <c r="AF214" s="7">
        <f t="shared" si="1291"/>
        <v>0</v>
      </c>
      <c r="AG214" s="7">
        <f t="shared" si="25"/>
        <v>0</v>
      </c>
    </row>
    <row r="215">
      <c r="A215" s="4" t="s">
        <v>626</v>
      </c>
      <c r="B215" s="4" t="s">
        <v>627</v>
      </c>
      <c r="C215" s="4" t="s">
        <v>628</v>
      </c>
      <c r="D215" s="5">
        <v>6870.0</v>
      </c>
      <c r="E215" s="6">
        <f t="shared" si="7"/>
        <v>1047</v>
      </c>
      <c r="F215" s="7">
        <f t="shared" ref="F215:G215" si="1292">ROUND(RAND(),2)</f>
        <v>0.21</v>
      </c>
      <c r="G215" s="7">
        <f t="shared" si="1292"/>
        <v>0.66</v>
      </c>
      <c r="H215" s="7">
        <f t="shared" si="9"/>
        <v>5</v>
      </c>
      <c r="I215" s="7">
        <f t="shared" si="10"/>
        <v>68244</v>
      </c>
      <c r="J215" s="7">
        <f t="shared" si="11"/>
        <v>59221</v>
      </c>
      <c r="K215" s="7" t="str">
        <f t="shared" si="12"/>
        <v>A</v>
      </c>
      <c r="L215" s="7" t="str">
        <f t="shared" si="13"/>
        <v>Transformative change</v>
      </c>
      <c r="M215" s="7" t="str">
        <f t="shared" si="14"/>
        <v>Low</v>
      </c>
      <c r="N215" s="7">
        <f t="shared" si="15"/>
        <v>2204593</v>
      </c>
      <c r="O215" s="7">
        <f t="shared" si="16"/>
        <v>1764481.559</v>
      </c>
      <c r="P215" s="7">
        <f t="shared" ref="P215:Q215" si="1293">RANDBETWEEN(0,22)</f>
        <v>15</v>
      </c>
      <c r="Q215" s="7">
        <f t="shared" si="1293"/>
        <v>11</v>
      </c>
      <c r="R215" s="7">
        <f t="shared" ref="R215:T215" si="1294">IF(S215=1,1,RANDBETWEEN(0,1))</f>
        <v>0</v>
      </c>
      <c r="S215" s="7">
        <f t="shared" si="1294"/>
        <v>0</v>
      </c>
      <c r="T215" s="7">
        <f t="shared" si="1294"/>
        <v>0</v>
      </c>
      <c r="U215" s="7">
        <f t="shared" si="19"/>
        <v>0</v>
      </c>
      <c r="V215" s="7">
        <f t="shared" ref="V215:X215" si="1295">IF(W215=1,1,RANDBETWEEN(0,1))</f>
        <v>1</v>
      </c>
      <c r="W215" s="7">
        <f t="shared" si="1295"/>
        <v>1</v>
      </c>
      <c r="X215" s="7">
        <f t="shared" si="1295"/>
        <v>1</v>
      </c>
      <c r="Y215" s="7">
        <f t="shared" si="21"/>
        <v>1</v>
      </c>
      <c r="Z215" s="7">
        <f t="shared" ref="Z215:AB215" si="1296">IF(AA215=1,1,RANDBETWEEN(0,1))</f>
        <v>1</v>
      </c>
      <c r="AA215" s="7">
        <f t="shared" si="1296"/>
        <v>1</v>
      </c>
      <c r="AB215" s="7">
        <f t="shared" si="1296"/>
        <v>1</v>
      </c>
      <c r="AC215" s="7">
        <f t="shared" si="23"/>
        <v>0</v>
      </c>
      <c r="AD215" s="7">
        <f t="shared" ref="AD215:AF215" si="1297">IF(AE215=1,1,RANDBETWEEN(0,1))</f>
        <v>1</v>
      </c>
      <c r="AE215" s="7">
        <f t="shared" si="1297"/>
        <v>0</v>
      </c>
      <c r="AF215" s="7">
        <f t="shared" si="1297"/>
        <v>0</v>
      </c>
      <c r="AG215" s="7">
        <f t="shared" si="25"/>
        <v>0</v>
      </c>
    </row>
    <row r="216">
      <c r="A216" s="4" t="s">
        <v>629</v>
      </c>
      <c r="B216" s="4" t="s">
        <v>630</v>
      </c>
      <c r="C216" s="4" t="s">
        <v>95</v>
      </c>
      <c r="D216" s="5">
        <v>13809.0</v>
      </c>
      <c r="E216" s="6">
        <f t="shared" si="7"/>
        <v>951</v>
      </c>
      <c r="F216" s="7">
        <f t="shared" ref="F216:G216" si="1298">ROUND(RAND(),2)</f>
        <v>0.46</v>
      </c>
      <c r="G216" s="7">
        <f t="shared" si="1298"/>
        <v>0.14</v>
      </c>
      <c r="H216" s="7">
        <f t="shared" si="9"/>
        <v>2</v>
      </c>
      <c r="I216" s="7">
        <f t="shared" si="10"/>
        <v>56199</v>
      </c>
      <c r="J216" s="7">
        <f t="shared" si="11"/>
        <v>5414</v>
      </c>
      <c r="K216" s="7" t="str">
        <f t="shared" si="12"/>
        <v>C</v>
      </c>
      <c r="L216" s="7" t="str">
        <f t="shared" si="13"/>
        <v>Transformative change</v>
      </c>
      <c r="M216" s="7" t="str">
        <f t="shared" si="14"/>
        <v>Low</v>
      </c>
      <c r="N216" s="7">
        <f t="shared" si="15"/>
        <v>3510621</v>
      </c>
      <c r="O216" s="7">
        <f t="shared" si="16"/>
        <v>2537020.212</v>
      </c>
      <c r="P216" s="7">
        <f t="shared" ref="P216:Q216" si="1299">RANDBETWEEN(0,22)</f>
        <v>9</v>
      </c>
      <c r="Q216" s="7">
        <f t="shared" si="1299"/>
        <v>11</v>
      </c>
      <c r="R216" s="7">
        <f t="shared" ref="R216:T216" si="1300">IF(S216=1,1,RANDBETWEEN(0,1))</f>
        <v>1</v>
      </c>
      <c r="S216" s="7">
        <f t="shared" si="1300"/>
        <v>1</v>
      </c>
      <c r="T216" s="7">
        <f t="shared" si="1300"/>
        <v>1</v>
      </c>
      <c r="U216" s="7">
        <f t="shared" si="19"/>
        <v>1</v>
      </c>
      <c r="V216" s="7">
        <f t="shared" ref="V216:X216" si="1301">IF(W216=1,1,RANDBETWEEN(0,1))</f>
        <v>1</v>
      </c>
      <c r="W216" s="7">
        <f t="shared" si="1301"/>
        <v>1</v>
      </c>
      <c r="X216" s="7">
        <f t="shared" si="1301"/>
        <v>1</v>
      </c>
      <c r="Y216" s="7">
        <f t="shared" si="21"/>
        <v>1</v>
      </c>
      <c r="Z216" s="7">
        <f t="shared" ref="Z216:AB216" si="1302">IF(AA216=1,1,RANDBETWEEN(0,1))</f>
        <v>1</v>
      </c>
      <c r="AA216" s="7">
        <f t="shared" si="1302"/>
        <v>1</v>
      </c>
      <c r="AB216" s="7">
        <f t="shared" si="1302"/>
        <v>1</v>
      </c>
      <c r="AC216" s="7">
        <f t="shared" si="23"/>
        <v>1</v>
      </c>
      <c r="AD216" s="7">
        <f t="shared" ref="AD216:AF216" si="1303">IF(AE216=1,1,RANDBETWEEN(0,1))</f>
        <v>1</v>
      </c>
      <c r="AE216" s="7">
        <f t="shared" si="1303"/>
        <v>1</v>
      </c>
      <c r="AF216" s="7">
        <f t="shared" si="1303"/>
        <v>1</v>
      </c>
      <c r="AG216" s="7">
        <f t="shared" si="25"/>
        <v>1</v>
      </c>
    </row>
    <row r="217">
      <c r="A217" s="4" t="s">
        <v>631</v>
      </c>
      <c r="B217" s="4" t="s">
        <v>632</v>
      </c>
      <c r="C217" s="4" t="s">
        <v>633</v>
      </c>
      <c r="D217" s="5">
        <v>53678.0</v>
      </c>
      <c r="E217" s="6">
        <f t="shared" si="7"/>
        <v>954</v>
      </c>
      <c r="F217" s="7">
        <f t="shared" ref="F217:G217" si="1304">ROUND(RAND(),2)</f>
        <v>0.9</v>
      </c>
      <c r="G217" s="7">
        <f t="shared" si="1304"/>
        <v>0.75</v>
      </c>
      <c r="H217" s="7">
        <f t="shared" si="9"/>
        <v>2</v>
      </c>
      <c r="I217" s="7">
        <f t="shared" si="10"/>
        <v>18390</v>
      </c>
      <c r="J217" s="7">
        <f t="shared" si="11"/>
        <v>35929</v>
      </c>
      <c r="K217" s="7" t="str">
        <f t="shared" si="12"/>
        <v>C</v>
      </c>
      <c r="L217" s="7" t="str">
        <f t="shared" si="13"/>
        <v>Transformative change</v>
      </c>
      <c r="M217" s="7" t="str">
        <f t="shared" si="14"/>
        <v>Low</v>
      </c>
      <c r="N217" s="7">
        <f t="shared" si="15"/>
        <v>2150592</v>
      </c>
      <c r="O217" s="7">
        <f t="shared" si="16"/>
        <v>606140.9442</v>
      </c>
      <c r="P217" s="7">
        <f t="shared" ref="P217:Q217" si="1305">RANDBETWEEN(0,22)</f>
        <v>11</v>
      </c>
      <c r="Q217" s="7">
        <f t="shared" si="1305"/>
        <v>3</v>
      </c>
      <c r="R217" s="7">
        <f t="shared" ref="R217:T217" si="1306">IF(S217=1,1,RANDBETWEEN(0,1))</f>
        <v>1</v>
      </c>
      <c r="S217" s="7">
        <f t="shared" si="1306"/>
        <v>1</v>
      </c>
      <c r="T217" s="7">
        <f t="shared" si="1306"/>
        <v>1</v>
      </c>
      <c r="U217" s="7">
        <f t="shared" si="19"/>
        <v>1</v>
      </c>
      <c r="V217" s="7">
        <f t="shared" ref="V217:X217" si="1307">IF(W217=1,1,RANDBETWEEN(0,1))</f>
        <v>1</v>
      </c>
      <c r="W217" s="7">
        <f t="shared" si="1307"/>
        <v>1</v>
      </c>
      <c r="X217" s="7">
        <f t="shared" si="1307"/>
        <v>1</v>
      </c>
      <c r="Y217" s="7">
        <f t="shared" si="21"/>
        <v>1</v>
      </c>
      <c r="Z217" s="7">
        <f t="shared" ref="Z217:AB217" si="1308">IF(AA217=1,1,RANDBETWEEN(0,1))</f>
        <v>1</v>
      </c>
      <c r="AA217" s="7">
        <f t="shared" si="1308"/>
        <v>1</v>
      </c>
      <c r="AB217" s="7">
        <f t="shared" si="1308"/>
        <v>1</v>
      </c>
      <c r="AC217" s="7">
        <f t="shared" si="23"/>
        <v>0</v>
      </c>
      <c r="AD217" s="7">
        <f t="shared" ref="AD217:AF217" si="1309">IF(AE217=1,1,RANDBETWEEN(0,1))</f>
        <v>1</v>
      </c>
      <c r="AE217" s="7">
        <f t="shared" si="1309"/>
        <v>1</v>
      </c>
      <c r="AF217" s="7">
        <f t="shared" si="1309"/>
        <v>0</v>
      </c>
      <c r="AG217" s="7">
        <f t="shared" si="25"/>
        <v>0</v>
      </c>
    </row>
    <row r="218">
      <c r="A218" s="4" t="s">
        <v>634</v>
      </c>
      <c r="B218" s="4" t="s">
        <v>635</v>
      </c>
      <c r="C218" s="4" t="s">
        <v>636</v>
      </c>
      <c r="D218" s="5">
        <v>18907.0</v>
      </c>
      <c r="E218" s="6">
        <f t="shared" si="7"/>
        <v>824</v>
      </c>
      <c r="F218" s="7">
        <f t="shared" ref="F218:G218" si="1310">ROUND(RAND(),2)</f>
        <v>0.36</v>
      </c>
      <c r="G218" s="7">
        <f t="shared" si="1310"/>
        <v>0.9</v>
      </c>
      <c r="H218" s="7">
        <f t="shared" si="9"/>
        <v>5</v>
      </c>
      <c r="I218" s="7">
        <f t="shared" si="10"/>
        <v>63743</v>
      </c>
      <c r="J218" s="7">
        <f t="shared" si="11"/>
        <v>47073</v>
      </c>
      <c r="K218" s="7" t="str">
        <f t="shared" si="12"/>
        <v>C</v>
      </c>
      <c r="L218" s="7" t="str">
        <f t="shared" si="13"/>
        <v>Transformative change</v>
      </c>
      <c r="M218" s="7" t="str">
        <f t="shared" si="14"/>
        <v>Low</v>
      </c>
      <c r="N218" s="7">
        <f t="shared" si="15"/>
        <v>1271026</v>
      </c>
      <c r="O218" s="7">
        <f t="shared" si="16"/>
        <v>662835.815</v>
      </c>
      <c r="P218" s="7">
        <f t="shared" ref="P218:Q218" si="1311">RANDBETWEEN(0,22)</f>
        <v>10</v>
      </c>
      <c r="Q218" s="7">
        <f t="shared" si="1311"/>
        <v>7</v>
      </c>
      <c r="R218" s="7">
        <f t="shared" ref="R218:T218" si="1312">IF(S218=1,1,RANDBETWEEN(0,1))</f>
        <v>1</v>
      </c>
      <c r="S218" s="7">
        <f t="shared" si="1312"/>
        <v>1</v>
      </c>
      <c r="T218" s="7">
        <f t="shared" si="1312"/>
        <v>1</v>
      </c>
      <c r="U218" s="7">
        <f t="shared" si="19"/>
        <v>0</v>
      </c>
      <c r="V218" s="7">
        <f t="shared" ref="V218:X218" si="1313">IF(W218=1,1,RANDBETWEEN(0,1))</f>
        <v>1</v>
      </c>
      <c r="W218" s="7">
        <f t="shared" si="1313"/>
        <v>1</v>
      </c>
      <c r="X218" s="7">
        <f t="shared" si="1313"/>
        <v>1</v>
      </c>
      <c r="Y218" s="7">
        <f t="shared" si="21"/>
        <v>1</v>
      </c>
      <c r="Z218" s="7">
        <f t="shared" ref="Z218:AB218" si="1314">IF(AA218=1,1,RANDBETWEEN(0,1))</f>
        <v>1</v>
      </c>
      <c r="AA218" s="7">
        <f t="shared" si="1314"/>
        <v>1</v>
      </c>
      <c r="AB218" s="7">
        <f t="shared" si="1314"/>
        <v>0</v>
      </c>
      <c r="AC218" s="7">
        <f t="shared" si="23"/>
        <v>0</v>
      </c>
      <c r="AD218" s="7">
        <f t="shared" ref="AD218:AF218" si="1315">IF(AE218=1,1,RANDBETWEEN(0,1))</f>
        <v>1</v>
      </c>
      <c r="AE218" s="7">
        <f t="shared" si="1315"/>
        <v>1</v>
      </c>
      <c r="AF218" s="7">
        <f t="shared" si="1315"/>
        <v>0</v>
      </c>
      <c r="AG218" s="7">
        <f t="shared" si="25"/>
        <v>0</v>
      </c>
    </row>
    <row r="219">
      <c r="A219" s="4" t="s">
        <v>637</v>
      </c>
      <c r="B219" s="4" t="s">
        <v>638</v>
      </c>
      <c r="C219" s="4" t="s">
        <v>95</v>
      </c>
      <c r="D219" s="5">
        <v>5756.0</v>
      </c>
      <c r="E219" s="6">
        <f t="shared" si="7"/>
        <v>1066</v>
      </c>
      <c r="F219" s="7">
        <f t="shared" ref="F219:G219" si="1316">ROUND(RAND(),2)</f>
        <v>0.21</v>
      </c>
      <c r="G219" s="7">
        <f t="shared" si="1316"/>
        <v>0.85</v>
      </c>
      <c r="H219" s="7">
        <f t="shared" si="9"/>
        <v>1</v>
      </c>
      <c r="I219" s="7">
        <f t="shared" si="10"/>
        <v>69452</v>
      </c>
      <c r="J219" s="7">
        <f t="shared" si="11"/>
        <v>23461</v>
      </c>
      <c r="K219" s="7" t="str">
        <f t="shared" si="12"/>
        <v>B</v>
      </c>
      <c r="L219" s="7" t="str">
        <f t="shared" si="13"/>
        <v>Transformative change</v>
      </c>
      <c r="M219" s="7" t="str">
        <f t="shared" si="14"/>
        <v>High</v>
      </c>
      <c r="N219" s="7">
        <f t="shared" si="15"/>
        <v>3364119</v>
      </c>
      <c r="O219" s="7">
        <f t="shared" si="16"/>
        <v>3232166.022</v>
      </c>
      <c r="P219" s="7">
        <f t="shared" ref="P219:Q219" si="1317">RANDBETWEEN(0,22)</f>
        <v>21</v>
      </c>
      <c r="Q219" s="7">
        <f t="shared" si="1317"/>
        <v>15</v>
      </c>
      <c r="R219" s="7">
        <f t="shared" ref="R219:T219" si="1318">IF(S219=1,1,RANDBETWEEN(0,1))</f>
        <v>1</v>
      </c>
      <c r="S219" s="7">
        <f t="shared" si="1318"/>
        <v>1</v>
      </c>
      <c r="T219" s="7">
        <f t="shared" si="1318"/>
        <v>1</v>
      </c>
      <c r="U219" s="7">
        <f t="shared" si="19"/>
        <v>1</v>
      </c>
      <c r="V219" s="7">
        <f t="shared" ref="V219:X219" si="1319">IF(W219=1,1,RANDBETWEEN(0,1))</f>
        <v>1</v>
      </c>
      <c r="W219" s="7">
        <f t="shared" si="1319"/>
        <v>1</v>
      </c>
      <c r="X219" s="7">
        <f t="shared" si="1319"/>
        <v>1</v>
      </c>
      <c r="Y219" s="7">
        <f t="shared" si="21"/>
        <v>1</v>
      </c>
      <c r="Z219" s="7">
        <f t="shared" ref="Z219:AB219" si="1320">IF(AA219=1,1,RANDBETWEEN(0,1))</f>
        <v>1</v>
      </c>
      <c r="AA219" s="7">
        <f t="shared" si="1320"/>
        <v>1</v>
      </c>
      <c r="AB219" s="7">
        <f t="shared" si="1320"/>
        <v>1</v>
      </c>
      <c r="AC219" s="7">
        <f t="shared" si="23"/>
        <v>1</v>
      </c>
      <c r="AD219" s="7">
        <f t="shared" ref="AD219:AF219" si="1321">IF(AE219=1,1,RANDBETWEEN(0,1))</f>
        <v>1</v>
      </c>
      <c r="AE219" s="7">
        <f t="shared" si="1321"/>
        <v>0</v>
      </c>
      <c r="AF219" s="7">
        <f t="shared" si="1321"/>
        <v>0</v>
      </c>
      <c r="AG219" s="7">
        <f t="shared" si="25"/>
        <v>0</v>
      </c>
    </row>
    <row r="220">
      <c r="A220" s="4" t="s">
        <v>639</v>
      </c>
      <c r="B220" s="4" t="s">
        <v>640</v>
      </c>
      <c r="C220" s="4" t="s">
        <v>641</v>
      </c>
      <c r="D220" s="5">
        <v>14167.0</v>
      </c>
      <c r="E220" s="6">
        <f t="shared" si="7"/>
        <v>845</v>
      </c>
      <c r="F220" s="7">
        <f t="shared" ref="F220:G220" si="1322">ROUND(RAND(),2)</f>
        <v>0.74</v>
      </c>
      <c r="G220" s="7">
        <f t="shared" si="1322"/>
        <v>0.94</v>
      </c>
      <c r="H220" s="7">
        <f t="shared" si="9"/>
        <v>4</v>
      </c>
      <c r="I220" s="7">
        <f t="shared" si="10"/>
        <v>8937</v>
      </c>
      <c r="J220" s="7">
        <f t="shared" si="11"/>
        <v>39900</v>
      </c>
      <c r="K220" s="7" t="str">
        <f t="shared" si="12"/>
        <v>F</v>
      </c>
      <c r="L220" s="7" t="str">
        <f t="shared" si="13"/>
        <v>Transformative change</v>
      </c>
      <c r="M220" s="7" t="str">
        <f t="shared" si="14"/>
        <v>Low</v>
      </c>
      <c r="N220" s="7">
        <f t="shared" si="15"/>
        <v>832581</v>
      </c>
      <c r="O220" s="7">
        <f t="shared" si="16"/>
        <v>21694.57147</v>
      </c>
      <c r="P220" s="7">
        <f t="shared" ref="P220:Q220" si="1323">RANDBETWEEN(0,22)</f>
        <v>0</v>
      </c>
      <c r="Q220" s="7">
        <f t="shared" si="1323"/>
        <v>17</v>
      </c>
      <c r="R220" s="7">
        <f t="shared" ref="R220:T220" si="1324">IF(S220=1,1,RANDBETWEEN(0,1))</f>
        <v>0</v>
      </c>
      <c r="S220" s="7">
        <f t="shared" si="1324"/>
        <v>0</v>
      </c>
      <c r="T220" s="7">
        <f t="shared" si="1324"/>
        <v>0</v>
      </c>
      <c r="U220" s="7">
        <f t="shared" si="19"/>
        <v>0</v>
      </c>
      <c r="V220" s="7">
        <f t="shared" ref="V220:X220" si="1325">IF(W220=1,1,RANDBETWEEN(0,1))</f>
        <v>1</v>
      </c>
      <c r="W220" s="7">
        <f t="shared" si="1325"/>
        <v>1</v>
      </c>
      <c r="X220" s="7">
        <f t="shared" si="1325"/>
        <v>1</v>
      </c>
      <c r="Y220" s="7">
        <f t="shared" si="21"/>
        <v>1</v>
      </c>
      <c r="Z220" s="7">
        <f t="shared" ref="Z220:AB220" si="1326">IF(AA220=1,1,RANDBETWEEN(0,1))</f>
        <v>1</v>
      </c>
      <c r="AA220" s="7">
        <f t="shared" si="1326"/>
        <v>1</v>
      </c>
      <c r="AB220" s="7">
        <f t="shared" si="1326"/>
        <v>1</v>
      </c>
      <c r="AC220" s="7">
        <f t="shared" si="23"/>
        <v>1</v>
      </c>
      <c r="AD220" s="7">
        <f t="shared" ref="AD220:AF220" si="1327">IF(AE220=1,1,RANDBETWEEN(0,1))</f>
        <v>1</v>
      </c>
      <c r="AE220" s="7">
        <f t="shared" si="1327"/>
        <v>0</v>
      </c>
      <c r="AF220" s="7">
        <f t="shared" si="1327"/>
        <v>0</v>
      </c>
      <c r="AG220" s="7">
        <f t="shared" si="25"/>
        <v>0</v>
      </c>
    </row>
    <row r="221">
      <c r="A221" s="4" t="s">
        <v>642</v>
      </c>
      <c r="B221" s="4" t="s">
        <v>643</v>
      </c>
      <c r="C221" s="4" t="s">
        <v>644</v>
      </c>
      <c r="D221" s="5">
        <v>16039.0</v>
      </c>
      <c r="E221" s="6">
        <f t="shared" si="7"/>
        <v>856</v>
      </c>
      <c r="F221" s="7">
        <f t="shared" ref="F221:G221" si="1328">ROUND(RAND(),2)</f>
        <v>0.48</v>
      </c>
      <c r="G221" s="7">
        <f t="shared" si="1328"/>
        <v>0.38</v>
      </c>
      <c r="H221" s="7">
        <f t="shared" si="9"/>
        <v>1</v>
      </c>
      <c r="I221" s="7">
        <f t="shared" si="10"/>
        <v>73683</v>
      </c>
      <c r="J221" s="7">
        <f t="shared" si="11"/>
        <v>22908</v>
      </c>
      <c r="K221" s="7" t="str">
        <f t="shared" si="12"/>
        <v>D</v>
      </c>
      <c r="L221" s="7" t="str">
        <f t="shared" si="13"/>
        <v>Transformative change</v>
      </c>
      <c r="M221" s="7" t="str">
        <f t="shared" si="14"/>
        <v>Low</v>
      </c>
      <c r="N221" s="7">
        <f t="shared" si="15"/>
        <v>72779</v>
      </c>
      <c r="O221" s="7">
        <f t="shared" si="16"/>
        <v>70547.19098</v>
      </c>
      <c r="P221" s="7">
        <f t="shared" ref="P221:Q221" si="1329">RANDBETWEEN(0,22)</f>
        <v>16</v>
      </c>
      <c r="Q221" s="7">
        <f t="shared" si="1329"/>
        <v>8</v>
      </c>
      <c r="R221" s="7">
        <f t="shared" ref="R221:T221" si="1330">IF(S221=1,1,RANDBETWEEN(0,1))</f>
        <v>1</v>
      </c>
      <c r="S221" s="7">
        <f t="shared" si="1330"/>
        <v>1</v>
      </c>
      <c r="T221" s="7">
        <f t="shared" si="1330"/>
        <v>1</v>
      </c>
      <c r="U221" s="7">
        <f t="shared" si="19"/>
        <v>1</v>
      </c>
      <c r="V221" s="7">
        <f t="shared" ref="V221:X221" si="1331">IF(W221=1,1,RANDBETWEEN(0,1))</f>
        <v>1</v>
      </c>
      <c r="W221" s="7">
        <f t="shared" si="1331"/>
        <v>1</v>
      </c>
      <c r="X221" s="7">
        <f t="shared" si="1331"/>
        <v>1</v>
      </c>
      <c r="Y221" s="7">
        <f t="shared" si="21"/>
        <v>1</v>
      </c>
      <c r="Z221" s="7">
        <f t="shared" ref="Z221:AB221" si="1332">IF(AA221=1,1,RANDBETWEEN(0,1))</f>
        <v>1</v>
      </c>
      <c r="AA221" s="7">
        <f t="shared" si="1332"/>
        <v>1</v>
      </c>
      <c r="AB221" s="7">
        <f t="shared" si="1332"/>
        <v>1</v>
      </c>
      <c r="AC221" s="7">
        <f t="shared" si="23"/>
        <v>1</v>
      </c>
      <c r="AD221" s="7">
        <f t="shared" ref="AD221:AF221" si="1333">IF(AE221=1,1,RANDBETWEEN(0,1))</f>
        <v>1</v>
      </c>
      <c r="AE221" s="7">
        <f t="shared" si="1333"/>
        <v>1</v>
      </c>
      <c r="AF221" s="7">
        <f t="shared" si="1333"/>
        <v>1</v>
      </c>
      <c r="AG221" s="7">
        <f t="shared" si="25"/>
        <v>1</v>
      </c>
    </row>
    <row r="222">
      <c r="A222" s="4" t="s">
        <v>645</v>
      </c>
      <c r="B222" s="4" t="s">
        <v>646</v>
      </c>
      <c r="C222" s="4" t="s">
        <v>647</v>
      </c>
      <c r="D222" s="5">
        <v>9575.0</v>
      </c>
      <c r="E222" s="6">
        <f t="shared" si="7"/>
        <v>949</v>
      </c>
      <c r="F222" s="7">
        <f t="shared" ref="F222:G222" si="1334">ROUND(RAND(),2)</f>
        <v>0.46</v>
      </c>
      <c r="G222" s="7">
        <f t="shared" si="1334"/>
        <v>0.75</v>
      </c>
      <c r="H222" s="7">
        <f t="shared" si="9"/>
        <v>1</v>
      </c>
      <c r="I222" s="7">
        <f t="shared" si="10"/>
        <v>99027</v>
      </c>
      <c r="J222" s="7">
        <f t="shared" si="11"/>
        <v>43366</v>
      </c>
      <c r="K222" s="7" t="str">
        <f t="shared" si="12"/>
        <v>B</v>
      </c>
      <c r="L222" s="7" t="str">
        <f t="shared" si="13"/>
        <v>Transformative change</v>
      </c>
      <c r="M222" s="7" t="str">
        <f t="shared" si="14"/>
        <v>Medium</v>
      </c>
      <c r="N222" s="7">
        <f t="shared" si="15"/>
        <v>2705974</v>
      </c>
      <c r="O222" s="7">
        <f t="shared" si="16"/>
        <v>120321.7712</v>
      </c>
      <c r="P222" s="7">
        <f t="shared" ref="P222:Q222" si="1335">RANDBETWEEN(0,22)</f>
        <v>20</v>
      </c>
      <c r="Q222" s="7">
        <f t="shared" si="1335"/>
        <v>22</v>
      </c>
      <c r="R222" s="7">
        <f t="shared" ref="R222:T222" si="1336">IF(S222=1,1,RANDBETWEEN(0,1))</f>
        <v>1</v>
      </c>
      <c r="S222" s="7">
        <f t="shared" si="1336"/>
        <v>1</v>
      </c>
      <c r="T222" s="7">
        <f t="shared" si="1336"/>
        <v>1</v>
      </c>
      <c r="U222" s="7">
        <f t="shared" si="19"/>
        <v>1</v>
      </c>
      <c r="V222" s="7">
        <f t="shared" ref="V222:X222" si="1337">IF(W222=1,1,RANDBETWEEN(0,1))</f>
        <v>1</v>
      </c>
      <c r="W222" s="7">
        <f t="shared" si="1337"/>
        <v>1</v>
      </c>
      <c r="X222" s="7">
        <f t="shared" si="1337"/>
        <v>1</v>
      </c>
      <c r="Y222" s="7">
        <f t="shared" si="21"/>
        <v>1</v>
      </c>
      <c r="Z222" s="7">
        <f t="shared" ref="Z222:AB222" si="1338">IF(AA222=1,1,RANDBETWEEN(0,1))</f>
        <v>1</v>
      </c>
      <c r="AA222" s="7">
        <f t="shared" si="1338"/>
        <v>1</v>
      </c>
      <c r="AB222" s="7">
        <f t="shared" si="1338"/>
        <v>0</v>
      </c>
      <c r="AC222" s="7">
        <f t="shared" si="23"/>
        <v>0</v>
      </c>
      <c r="AD222" s="7">
        <f t="shared" ref="AD222:AF222" si="1339">IF(AE222=1,1,RANDBETWEEN(0,1))</f>
        <v>1</v>
      </c>
      <c r="AE222" s="7">
        <f t="shared" si="1339"/>
        <v>1</v>
      </c>
      <c r="AF222" s="7">
        <f t="shared" si="1339"/>
        <v>1</v>
      </c>
      <c r="AG222" s="7">
        <f t="shared" si="25"/>
        <v>1</v>
      </c>
    </row>
    <row r="223">
      <c r="A223" s="4" t="s">
        <v>433</v>
      </c>
      <c r="B223" s="4" t="s">
        <v>648</v>
      </c>
      <c r="C223" s="4" t="s">
        <v>649</v>
      </c>
      <c r="D223" s="5">
        <v>91575.0</v>
      </c>
      <c r="E223" s="6">
        <f t="shared" si="7"/>
        <v>1023</v>
      </c>
      <c r="F223" s="7">
        <f t="shared" ref="F223:G223" si="1340">ROUND(RAND(),2)</f>
        <v>1</v>
      </c>
      <c r="G223" s="7">
        <f t="shared" si="1340"/>
        <v>0.99</v>
      </c>
      <c r="H223" s="7">
        <f t="shared" si="9"/>
        <v>2</v>
      </c>
      <c r="I223" s="7">
        <f t="shared" si="10"/>
        <v>37868</v>
      </c>
      <c r="J223" s="7">
        <f t="shared" si="11"/>
        <v>28462</v>
      </c>
      <c r="K223" s="7" t="str">
        <f t="shared" si="12"/>
        <v>B</v>
      </c>
      <c r="L223" s="7" t="str">
        <f t="shared" si="13"/>
        <v>Transformative change</v>
      </c>
      <c r="M223" s="7" t="str">
        <f t="shared" si="14"/>
        <v>Medium</v>
      </c>
      <c r="N223" s="7">
        <f t="shared" si="15"/>
        <v>892010</v>
      </c>
      <c r="O223" s="7">
        <f t="shared" si="16"/>
        <v>632494.2267</v>
      </c>
      <c r="P223" s="7">
        <f t="shared" ref="P223:Q223" si="1341">RANDBETWEEN(0,22)</f>
        <v>19</v>
      </c>
      <c r="Q223" s="7">
        <f t="shared" si="1341"/>
        <v>18</v>
      </c>
      <c r="R223" s="7">
        <f t="shared" ref="R223:T223" si="1342">IF(S223=1,1,RANDBETWEEN(0,1))</f>
        <v>1</v>
      </c>
      <c r="S223" s="7">
        <f t="shared" si="1342"/>
        <v>1</v>
      </c>
      <c r="T223" s="7">
        <f t="shared" si="1342"/>
        <v>1</v>
      </c>
      <c r="U223" s="7">
        <f t="shared" si="19"/>
        <v>0</v>
      </c>
      <c r="V223" s="7">
        <f t="shared" ref="V223:X223" si="1343">IF(W223=1,1,RANDBETWEEN(0,1))</f>
        <v>1</v>
      </c>
      <c r="W223" s="7">
        <f t="shared" si="1343"/>
        <v>1</v>
      </c>
      <c r="X223" s="7">
        <f t="shared" si="1343"/>
        <v>1</v>
      </c>
      <c r="Y223" s="7">
        <f t="shared" si="21"/>
        <v>1</v>
      </c>
      <c r="Z223" s="7">
        <f t="shared" ref="Z223:AB223" si="1344">IF(AA223=1,1,RANDBETWEEN(0,1))</f>
        <v>1</v>
      </c>
      <c r="AA223" s="7">
        <f t="shared" si="1344"/>
        <v>1</v>
      </c>
      <c r="AB223" s="7">
        <f t="shared" si="1344"/>
        <v>1</v>
      </c>
      <c r="AC223" s="7">
        <f t="shared" si="23"/>
        <v>0</v>
      </c>
      <c r="AD223" s="7">
        <f t="shared" ref="AD223:AF223" si="1345">IF(AE223=1,1,RANDBETWEEN(0,1))</f>
        <v>1</v>
      </c>
      <c r="AE223" s="7">
        <f t="shared" si="1345"/>
        <v>1</v>
      </c>
      <c r="AF223" s="7">
        <f t="shared" si="1345"/>
        <v>1</v>
      </c>
      <c r="AG223" s="7">
        <f t="shared" si="25"/>
        <v>0</v>
      </c>
    </row>
    <row r="224">
      <c r="A224" s="4" t="s">
        <v>650</v>
      </c>
      <c r="B224" s="4" t="s">
        <v>651</v>
      </c>
      <c r="C224" s="4" t="s">
        <v>652</v>
      </c>
      <c r="D224" s="5">
        <v>16471.0</v>
      </c>
      <c r="E224" s="6">
        <f t="shared" si="7"/>
        <v>977</v>
      </c>
      <c r="F224" s="7">
        <f t="shared" ref="F224:G224" si="1346">ROUND(RAND(),2)</f>
        <v>0.43</v>
      </c>
      <c r="G224" s="7">
        <f t="shared" si="1346"/>
        <v>0.74</v>
      </c>
      <c r="H224" s="7">
        <f t="shared" si="9"/>
        <v>4</v>
      </c>
      <c r="I224" s="7">
        <f t="shared" si="10"/>
        <v>7150</v>
      </c>
      <c r="J224" s="7">
        <f t="shared" si="11"/>
        <v>3810</v>
      </c>
      <c r="K224" s="7" t="str">
        <f t="shared" si="12"/>
        <v>C</v>
      </c>
      <c r="L224" s="7" t="str">
        <f t="shared" si="13"/>
        <v>Transformative change</v>
      </c>
      <c r="M224" s="7" t="str">
        <f t="shared" si="14"/>
        <v>Medium</v>
      </c>
      <c r="N224" s="7">
        <f t="shared" si="15"/>
        <v>1832614</v>
      </c>
      <c r="O224" s="7">
        <f t="shared" si="16"/>
        <v>516377.972</v>
      </c>
      <c r="P224" s="7">
        <f t="shared" ref="P224:Q224" si="1347">RANDBETWEEN(0,22)</f>
        <v>15</v>
      </c>
      <c r="Q224" s="7">
        <f t="shared" si="1347"/>
        <v>0</v>
      </c>
      <c r="R224" s="7">
        <f t="shared" ref="R224:T224" si="1348">IF(S224=1,1,RANDBETWEEN(0,1))</f>
        <v>1</v>
      </c>
      <c r="S224" s="7">
        <f t="shared" si="1348"/>
        <v>1</v>
      </c>
      <c r="T224" s="7">
        <f t="shared" si="1348"/>
        <v>1</v>
      </c>
      <c r="U224" s="7">
        <f t="shared" si="19"/>
        <v>1</v>
      </c>
      <c r="V224" s="7">
        <f t="shared" ref="V224:X224" si="1349">IF(W224=1,1,RANDBETWEEN(0,1))</f>
        <v>1</v>
      </c>
      <c r="W224" s="7">
        <f t="shared" si="1349"/>
        <v>1</v>
      </c>
      <c r="X224" s="7">
        <f t="shared" si="1349"/>
        <v>1</v>
      </c>
      <c r="Y224" s="7">
        <f t="shared" si="21"/>
        <v>1</v>
      </c>
      <c r="Z224" s="7">
        <f t="shared" ref="Z224:AB224" si="1350">IF(AA224=1,1,RANDBETWEEN(0,1))</f>
        <v>0</v>
      </c>
      <c r="AA224" s="7">
        <f t="shared" si="1350"/>
        <v>0</v>
      </c>
      <c r="AB224" s="7">
        <f t="shared" si="1350"/>
        <v>0</v>
      </c>
      <c r="AC224" s="7">
        <f t="shared" si="23"/>
        <v>0</v>
      </c>
      <c r="AD224" s="7">
        <f t="shared" ref="AD224:AF224" si="1351">IF(AE224=1,1,RANDBETWEEN(0,1))</f>
        <v>1</v>
      </c>
      <c r="AE224" s="7">
        <f t="shared" si="1351"/>
        <v>1</v>
      </c>
      <c r="AF224" s="7">
        <f t="shared" si="1351"/>
        <v>1</v>
      </c>
      <c r="AG224" s="7">
        <f t="shared" si="25"/>
        <v>1</v>
      </c>
    </row>
    <row r="225">
      <c r="A225" s="4" t="s">
        <v>653</v>
      </c>
      <c r="B225" s="4" t="s">
        <v>654</v>
      </c>
      <c r="C225" s="4" t="s">
        <v>655</v>
      </c>
      <c r="D225" s="5">
        <v>11656.0</v>
      </c>
      <c r="E225" s="6">
        <f t="shared" si="7"/>
        <v>860</v>
      </c>
      <c r="F225" s="7">
        <f t="shared" ref="F225:G225" si="1352">ROUND(RAND(),2)</f>
        <v>0.93</v>
      </c>
      <c r="G225" s="7">
        <f t="shared" si="1352"/>
        <v>0.36</v>
      </c>
      <c r="H225" s="7">
        <f t="shared" si="9"/>
        <v>2</v>
      </c>
      <c r="I225" s="7">
        <f t="shared" si="10"/>
        <v>40124</v>
      </c>
      <c r="J225" s="7">
        <f t="shared" si="11"/>
        <v>22253</v>
      </c>
      <c r="K225" s="7" t="str">
        <f t="shared" si="12"/>
        <v>E</v>
      </c>
      <c r="L225" s="7" t="str">
        <f t="shared" si="13"/>
        <v>High ambition</v>
      </c>
      <c r="M225" s="7" t="str">
        <f t="shared" si="14"/>
        <v>Medium</v>
      </c>
      <c r="N225" s="7">
        <f t="shared" si="15"/>
        <v>2400091</v>
      </c>
      <c r="O225" s="7">
        <f t="shared" si="16"/>
        <v>2157049.545</v>
      </c>
      <c r="P225" s="7">
        <f t="shared" ref="P225:Q225" si="1353">RANDBETWEEN(0,22)</f>
        <v>15</v>
      </c>
      <c r="Q225" s="7">
        <f t="shared" si="1353"/>
        <v>18</v>
      </c>
      <c r="R225" s="7">
        <f t="shared" ref="R225:T225" si="1354">IF(S225=1,1,RANDBETWEEN(0,1))</f>
        <v>1</v>
      </c>
      <c r="S225" s="7">
        <f t="shared" si="1354"/>
        <v>1</v>
      </c>
      <c r="T225" s="7">
        <f t="shared" si="1354"/>
        <v>1</v>
      </c>
      <c r="U225" s="7">
        <f t="shared" si="19"/>
        <v>1</v>
      </c>
      <c r="V225" s="7">
        <f t="shared" ref="V225:X225" si="1355">IF(W225=1,1,RANDBETWEEN(0,1))</f>
        <v>1</v>
      </c>
      <c r="W225" s="7">
        <f t="shared" si="1355"/>
        <v>1</v>
      </c>
      <c r="X225" s="7">
        <f t="shared" si="1355"/>
        <v>1</v>
      </c>
      <c r="Y225" s="7">
        <f t="shared" si="21"/>
        <v>0</v>
      </c>
      <c r="Z225" s="7">
        <f t="shared" ref="Z225:AB225" si="1356">IF(AA225=1,1,RANDBETWEEN(0,1))</f>
        <v>1</v>
      </c>
      <c r="AA225" s="7">
        <f t="shared" si="1356"/>
        <v>1</v>
      </c>
      <c r="AB225" s="7">
        <f t="shared" si="1356"/>
        <v>1</v>
      </c>
      <c r="AC225" s="7">
        <f t="shared" si="23"/>
        <v>1</v>
      </c>
      <c r="AD225" s="7">
        <f t="shared" ref="AD225:AF225" si="1357">IF(AE225=1,1,RANDBETWEEN(0,1))</f>
        <v>1</v>
      </c>
      <c r="AE225" s="7">
        <f t="shared" si="1357"/>
        <v>1</v>
      </c>
      <c r="AF225" s="7">
        <f t="shared" si="1357"/>
        <v>0</v>
      </c>
      <c r="AG225" s="7">
        <f t="shared" si="25"/>
        <v>0</v>
      </c>
    </row>
    <row r="226">
      <c r="A226" s="4" t="s">
        <v>656</v>
      </c>
      <c r="B226" s="4" t="s">
        <v>657</v>
      </c>
      <c r="C226" s="4" t="s">
        <v>658</v>
      </c>
      <c r="D226" s="5">
        <v>5537.0</v>
      </c>
      <c r="E226" s="6">
        <f t="shared" si="7"/>
        <v>822</v>
      </c>
      <c r="F226" s="7">
        <f t="shared" ref="F226:G226" si="1358">ROUND(RAND(),2)</f>
        <v>0.97</v>
      </c>
      <c r="G226" s="7">
        <f t="shared" si="1358"/>
        <v>0.3</v>
      </c>
      <c r="H226" s="7">
        <f t="shared" si="9"/>
        <v>3</v>
      </c>
      <c r="I226" s="7">
        <f t="shared" si="10"/>
        <v>12365</v>
      </c>
      <c r="J226" s="7">
        <f t="shared" si="11"/>
        <v>13933</v>
      </c>
      <c r="K226" s="7" t="str">
        <f t="shared" si="12"/>
        <v>B</v>
      </c>
      <c r="L226" s="7" t="str">
        <f t="shared" si="13"/>
        <v>Transformative change</v>
      </c>
      <c r="M226" s="7" t="str">
        <f t="shared" si="14"/>
        <v>Low</v>
      </c>
      <c r="N226" s="7">
        <f t="shared" si="15"/>
        <v>2361264</v>
      </c>
      <c r="O226" s="7">
        <f t="shared" si="16"/>
        <v>1572574.284</v>
      </c>
      <c r="P226" s="7">
        <f t="shared" ref="P226:Q226" si="1359">RANDBETWEEN(0,22)</f>
        <v>21</v>
      </c>
      <c r="Q226" s="7">
        <f t="shared" si="1359"/>
        <v>19</v>
      </c>
      <c r="R226" s="7">
        <f t="shared" ref="R226:T226" si="1360">IF(S226=1,1,RANDBETWEEN(0,1))</f>
        <v>1</v>
      </c>
      <c r="S226" s="7">
        <f t="shared" si="1360"/>
        <v>1</v>
      </c>
      <c r="T226" s="7">
        <f t="shared" si="1360"/>
        <v>1</v>
      </c>
      <c r="U226" s="7">
        <f t="shared" si="19"/>
        <v>1</v>
      </c>
      <c r="V226" s="7">
        <f t="shared" ref="V226:X226" si="1361">IF(W226=1,1,RANDBETWEEN(0,1))</f>
        <v>1</v>
      </c>
      <c r="W226" s="7">
        <f t="shared" si="1361"/>
        <v>0</v>
      </c>
      <c r="X226" s="7">
        <f t="shared" si="1361"/>
        <v>0</v>
      </c>
      <c r="Y226" s="7">
        <f t="shared" si="21"/>
        <v>0</v>
      </c>
      <c r="Z226" s="7">
        <f t="shared" ref="Z226:AB226" si="1362">IF(AA226=1,1,RANDBETWEEN(0,1))</f>
        <v>1</v>
      </c>
      <c r="AA226" s="7">
        <f t="shared" si="1362"/>
        <v>1</v>
      </c>
      <c r="AB226" s="7">
        <f t="shared" si="1362"/>
        <v>1</v>
      </c>
      <c r="AC226" s="7">
        <f t="shared" si="23"/>
        <v>0</v>
      </c>
      <c r="AD226" s="7">
        <f t="shared" ref="AD226:AF226" si="1363">IF(AE226=1,1,RANDBETWEEN(0,1))</f>
        <v>1</v>
      </c>
      <c r="AE226" s="7">
        <f t="shared" si="1363"/>
        <v>1</v>
      </c>
      <c r="AF226" s="7">
        <f t="shared" si="1363"/>
        <v>1</v>
      </c>
      <c r="AG226" s="7">
        <f t="shared" si="25"/>
        <v>0</v>
      </c>
    </row>
    <row r="227">
      <c r="A227" s="4" t="s">
        <v>659</v>
      </c>
      <c r="B227" s="4" t="s">
        <v>660</v>
      </c>
      <c r="C227" s="4" t="s">
        <v>661</v>
      </c>
      <c r="D227" s="5">
        <v>396662.0</v>
      </c>
      <c r="E227" s="6">
        <f t="shared" si="7"/>
        <v>4837.34</v>
      </c>
      <c r="F227" s="7">
        <f t="shared" ref="F227:G227" si="1364">ROUND(RAND(),2)</f>
        <v>0.61</v>
      </c>
      <c r="G227" s="7">
        <f t="shared" si="1364"/>
        <v>0.7</v>
      </c>
      <c r="H227" s="7">
        <f t="shared" si="9"/>
        <v>2</v>
      </c>
      <c r="I227" s="7">
        <f t="shared" si="10"/>
        <v>62044</v>
      </c>
      <c r="J227" s="7">
        <f t="shared" si="11"/>
        <v>49902</v>
      </c>
      <c r="K227" s="7" t="str">
        <f t="shared" si="12"/>
        <v>C</v>
      </c>
      <c r="L227" s="7" t="str">
        <f t="shared" si="13"/>
        <v>Transformative change</v>
      </c>
      <c r="M227" s="7" t="str">
        <f t="shared" si="14"/>
        <v>Medium</v>
      </c>
      <c r="N227" s="7">
        <f t="shared" si="15"/>
        <v>298390</v>
      </c>
      <c r="O227" s="7">
        <f t="shared" si="16"/>
        <v>254991.4402</v>
      </c>
      <c r="P227" s="7">
        <f t="shared" ref="P227:Q227" si="1365">RANDBETWEEN(0,22)</f>
        <v>20</v>
      </c>
      <c r="Q227" s="7">
        <f t="shared" si="1365"/>
        <v>7</v>
      </c>
      <c r="R227" s="7">
        <f t="shared" ref="R227:T227" si="1366">IF(S227=1,1,RANDBETWEEN(0,1))</f>
        <v>1</v>
      </c>
      <c r="S227" s="7">
        <f t="shared" si="1366"/>
        <v>1</v>
      </c>
      <c r="T227" s="7">
        <f t="shared" si="1366"/>
        <v>1</v>
      </c>
      <c r="U227" s="7">
        <f t="shared" si="19"/>
        <v>1</v>
      </c>
      <c r="V227" s="7">
        <f t="shared" ref="V227:X227" si="1367">IF(W227=1,1,RANDBETWEEN(0,1))</f>
        <v>1</v>
      </c>
      <c r="W227" s="7">
        <f t="shared" si="1367"/>
        <v>1</v>
      </c>
      <c r="X227" s="7">
        <f t="shared" si="1367"/>
        <v>1</v>
      </c>
      <c r="Y227" s="7">
        <f t="shared" si="21"/>
        <v>1</v>
      </c>
      <c r="Z227" s="7">
        <f t="shared" ref="Z227:AB227" si="1368">IF(AA227=1,1,RANDBETWEEN(0,1))</f>
        <v>1</v>
      </c>
      <c r="AA227" s="7">
        <f t="shared" si="1368"/>
        <v>0</v>
      </c>
      <c r="AB227" s="7">
        <f t="shared" si="1368"/>
        <v>0</v>
      </c>
      <c r="AC227" s="7">
        <f t="shared" si="23"/>
        <v>0</v>
      </c>
      <c r="AD227" s="7">
        <f t="shared" ref="AD227:AF227" si="1369">IF(AE227=1,1,RANDBETWEEN(0,1))</f>
        <v>1</v>
      </c>
      <c r="AE227" s="7">
        <f t="shared" si="1369"/>
        <v>1</v>
      </c>
      <c r="AF227" s="7">
        <f t="shared" si="1369"/>
        <v>1</v>
      </c>
      <c r="AG227" s="7">
        <f t="shared" si="25"/>
        <v>0</v>
      </c>
    </row>
    <row r="228">
      <c r="A228" s="4" t="s">
        <v>662</v>
      </c>
      <c r="B228" s="4" t="s">
        <v>663</v>
      </c>
      <c r="C228" s="4" t="s">
        <v>597</v>
      </c>
      <c r="D228" s="5">
        <v>5524.0</v>
      </c>
      <c r="E228" s="6">
        <f t="shared" si="7"/>
        <v>820</v>
      </c>
      <c r="F228" s="7">
        <f t="shared" ref="F228:G228" si="1370">ROUND(RAND(),2)</f>
        <v>0.62</v>
      </c>
      <c r="G228" s="7">
        <f t="shared" si="1370"/>
        <v>0.1</v>
      </c>
      <c r="H228" s="7">
        <f t="shared" si="9"/>
        <v>3</v>
      </c>
      <c r="I228" s="7">
        <f t="shared" si="10"/>
        <v>36786</v>
      </c>
      <c r="J228" s="7">
        <f t="shared" si="11"/>
        <v>8320</v>
      </c>
      <c r="K228" s="7" t="str">
        <f t="shared" si="12"/>
        <v>E</v>
      </c>
      <c r="L228" s="7" t="str">
        <f t="shared" si="13"/>
        <v>Transformative change</v>
      </c>
      <c r="M228" s="7" t="str">
        <f t="shared" si="14"/>
        <v>Medium</v>
      </c>
      <c r="N228" s="7">
        <f t="shared" si="15"/>
        <v>1094998</v>
      </c>
      <c r="O228" s="7">
        <f t="shared" si="16"/>
        <v>632748.9523</v>
      </c>
      <c r="P228" s="7">
        <f t="shared" ref="P228:Q228" si="1371">RANDBETWEEN(0,22)</f>
        <v>22</v>
      </c>
      <c r="Q228" s="7">
        <f t="shared" si="1371"/>
        <v>0</v>
      </c>
      <c r="R228" s="7">
        <f t="shared" ref="R228:T228" si="1372">IF(S228=1,1,RANDBETWEEN(0,1))</f>
        <v>1</v>
      </c>
      <c r="S228" s="7">
        <f t="shared" si="1372"/>
        <v>1</v>
      </c>
      <c r="T228" s="7">
        <f t="shared" si="1372"/>
        <v>1</v>
      </c>
      <c r="U228" s="7">
        <f t="shared" si="19"/>
        <v>1</v>
      </c>
      <c r="V228" s="7">
        <f t="shared" ref="V228:X228" si="1373">IF(W228=1,1,RANDBETWEEN(0,1))</f>
        <v>1</v>
      </c>
      <c r="W228" s="7">
        <f t="shared" si="1373"/>
        <v>1</v>
      </c>
      <c r="X228" s="7">
        <f t="shared" si="1373"/>
        <v>1</v>
      </c>
      <c r="Y228" s="7">
        <f t="shared" si="21"/>
        <v>0</v>
      </c>
      <c r="Z228" s="7">
        <f t="shared" ref="Z228:AB228" si="1374">IF(AA228=1,1,RANDBETWEEN(0,1))</f>
        <v>1</v>
      </c>
      <c r="AA228" s="7">
        <f t="shared" si="1374"/>
        <v>1</v>
      </c>
      <c r="AB228" s="7">
        <f t="shared" si="1374"/>
        <v>1</v>
      </c>
      <c r="AC228" s="7">
        <f t="shared" si="23"/>
        <v>1</v>
      </c>
      <c r="AD228" s="7">
        <f t="shared" ref="AD228:AF228" si="1375">IF(AE228=1,1,RANDBETWEEN(0,1))</f>
        <v>0</v>
      </c>
      <c r="AE228" s="7">
        <f t="shared" si="1375"/>
        <v>0</v>
      </c>
      <c r="AF228" s="7">
        <f t="shared" si="1375"/>
        <v>0</v>
      </c>
      <c r="AG228" s="7">
        <f t="shared" si="25"/>
        <v>0</v>
      </c>
    </row>
    <row r="229">
      <c r="A229" s="4" t="s">
        <v>664</v>
      </c>
      <c r="B229" s="4" t="s">
        <v>665</v>
      </c>
      <c r="C229" s="4" t="s">
        <v>666</v>
      </c>
      <c r="D229" s="5">
        <v>8152.0</v>
      </c>
      <c r="E229" s="6">
        <f t="shared" si="7"/>
        <v>1020</v>
      </c>
      <c r="F229" s="7">
        <f t="shared" ref="F229:G229" si="1376">ROUND(RAND(),2)</f>
        <v>0.31</v>
      </c>
      <c r="G229" s="7">
        <f t="shared" si="1376"/>
        <v>0.22</v>
      </c>
      <c r="H229" s="7">
        <f t="shared" si="9"/>
        <v>3</v>
      </c>
      <c r="I229" s="7">
        <f t="shared" si="10"/>
        <v>81057</v>
      </c>
      <c r="J229" s="7">
        <f t="shared" si="11"/>
        <v>54664</v>
      </c>
      <c r="K229" s="7" t="str">
        <f t="shared" si="12"/>
        <v>B</v>
      </c>
      <c r="L229" s="7" t="str">
        <f t="shared" si="13"/>
        <v>Transformative change</v>
      </c>
      <c r="M229" s="7" t="str">
        <f t="shared" si="14"/>
        <v>High</v>
      </c>
      <c r="N229" s="7">
        <f t="shared" si="15"/>
        <v>1924218</v>
      </c>
      <c r="O229" s="7">
        <f t="shared" si="16"/>
        <v>264508.4446</v>
      </c>
      <c r="P229" s="7">
        <f t="shared" ref="P229:Q229" si="1377">RANDBETWEEN(0,22)</f>
        <v>21</v>
      </c>
      <c r="Q229" s="7">
        <f t="shared" si="1377"/>
        <v>19</v>
      </c>
      <c r="R229" s="7">
        <f t="shared" ref="R229:T229" si="1378">IF(S229=1,1,RANDBETWEEN(0,1))</f>
        <v>1</v>
      </c>
      <c r="S229" s="7">
        <f t="shared" si="1378"/>
        <v>0</v>
      </c>
      <c r="T229" s="7">
        <f t="shared" si="1378"/>
        <v>0</v>
      </c>
      <c r="U229" s="7">
        <f t="shared" si="19"/>
        <v>0</v>
      </c>
      <c r="V229" s="7">
        <f t="shared" ref="V229:X229" si="1379">IF(W229=1,1,RANDBETWEEN(0,1))</f>
        <v>1</v>
      </c>
      <c r="W229" s="7">
        <f t="shared" si="1379"/>
        <v>1</v>
      </c>
      <c r="X229" s="7">
        <f t="shared" si="1379"/>
        <v>1</v>
      </c>
      <c r="Y229" s="7">
        <f t="shared" si="21"/>
        <v>0</v>
      </c>
      <c r="Z229" s="7">
        <f t="shared" ref="Z229:AB229" si="1380">IF(AA229=1,1,RANDBETWEEN(0,1))</f>
        <v>1</v>
      </c>
      <c r="AA229" s="7">
        <f t="shared" si="1380"/>
        <v>1</v>
      </c>
      <c r="AB229" s="7">
        <f t="shared" si="1380"/>
        <v>1</v>
      </c>
      <c r="AC229" s="7">
        <f t="shared" si="23"/>
        <v>1</v>
      </c>
      <c r="AD229" s="7">
        <f t="shared" ref="AD229:AF229" si="1381">IF(AE229=1,1,RANDBETWEEN(0,1))</f>
        <v>1</v>
      </c>
      <c r="AE229" s="7">
        <f t="shared" si="1381"/>
        <v>1</v>
      </c>
      <c r="AF229" s="7">
        <f t="shared" si="1381"/>
        <v>1</v>
      </c>
      <c r="AG229" s="7">
        <f t="shared" si="25"/>
        <v>0</v>
      </c>
    </row>
    <row r="230">
      <c r="A230" s="4" t="s">
        <v>667</v>
      </c>
      <c r="B230" s="4" t="s">
        <v>668</v>
      </c>
      <c r="C230" s="4" t="s">
        <v>95</v>
      </c>
      <c r="D230" s="5">
        <v>14394.0</v>
      </c>
      <c r="E230" s="6">
        <f t="shared" si="7"/>
        <v>1053</v>
      </c>
      <c r="F230" s="7">
        <f t="shared" ref="F230:G230" si="1382">ROUND(RAND(),2)</f>
        <v>0.74</v>
      </c>
      <c r="G230" s="7">
        <f t="shared" si="1382"/>
        <v>0.22</v>
      </c>
      <c r="H230" s="7">
        <f t="shared" si="9"/>
        <v>3</v>
      </c>
      <c r="I230" s="7">
        <f t="shared" si="10"/>
        <v>96868</v>
      </c>
      <c r="J230" s="7">
        <f t="shared" si="11"/>
        <v>51332</v>
      </c>
      <c r="K230" s="7" t="str">
        <f t="shared" si="12"/>
        <v>A</v>
      </c>
      <c r="L230" s="7" t="str">
        <f t="shared" si="13"/>
        <v>Transformative change</v>
      </c>
      <c r="M230" s="7" t="str">
        <f t="shared" si="14"/>
        <v>Medium</v>
      </c>
      <c r="N230" s="7">
        <f t="shared" si="15"/>
        <v>3299716</v>
      </c>
      <c r="O230" s="7">
        <f t="shared" si="16"/>
        <v>2474195.741</v>
      </c>
      <c r="P230" s="7">
        <f t="shared" ref="P230:Q230" si="1383">RANDBETWEEN(0,22)</f>
        <v>13</v>
      </c>
      <c r="Q230" s="7">
        <f t="shared" si="1383"/>
        <v>20</v>
      </c>
      <c r="R230" s="7">
        <f t="shared" ref="R230:T230" si="1384">IF(S230=1,1,RANDBETWEEN(0,1))</f>
        <v>1</v>
      </c>
      <c r="S230" s="7">
        <f t="shared" si="1384"/>
        <v>1</v>
      </c>
      <c r="T230" s="7">
        <f t="shared" si="1384"/>
        <v>1</v>
      </c>
      <c r="U230" s="7">
        <f t="shared" si="19"/>
        <v>0</v>
      </c>
      <c r="V230" s="7">
        <f t="shared" ref="V230:X230" si="1385">IF(W230=1,1,RANDBETWEEN(0,1))</f>
        <v>0</v>
      </c>
      <c r="W230" s="7">
        <f t="shared" si="1385"/>
        <v>0</v>
      </c>
      <c r="X230" s="7">
        <f t="shared" si="1385"/>
        <v>0</v>
      </c>
      <c r="Y230" s="7">
        <f t="shared" si="21"/>
        <v>0</v>
      </c>
      <c r="Z230" s="7">
        <f t="shared" ref="Z230:AB230" si="1386">IF(AA230=1,1,RANDBETWEEN(0,1))</f>
        <v>1</v>
      </c>
      <c r="AA230" s="7">
        <f t="shared" si="1386"/>
        <v>1</v>
      </c>
      <c r="AB230" s="7">
        <f t="shared" si="1386"/>
        <v>0</v>
      </c>
      <c r="AC230" s="7">
        <f t="shared" si="23"/>
        <v>0</v>
      </c>
      <c r="AD230" s="7">
        <f t="shared" ref="AD230:AF230" si="1387">IF(AE230=1,1,RANDBETWEEN(0,1))</f>
        <v>1</v>
      </c>
      <c r="AE230" s="7">
        <f t="shared" si="1387"/>
        <v>0</v>
      </c>
      <c r="AF230" s="7">
        <f t="shared" si="1387"/>
        <v>0</v>
      </c>
      <c r="AG230" s="7">
        <f t="shared" si="25"/>
        <v>0</v>
      </c>
    </row>
    <row r="231">
      <c r="A231" s="4" t="s">
        <v>669</v>
      </c>
      <c r="B231" s="4" t="s">
        <v>670</v>
      </c>
      <c r="C231" s="4" t="s">
        <v>671</v>
      </c>
      <c r="D231" s="5">
        <v>15903.0</v>
      </c>
      <c r="E231" s="6">
        <f t="shared" si="7"/>
        <v>971</v>
      </c>
      <c r="F231" s="7">
        <f t="shared" ref="F231:G231" si="1388">ROUND(RAND(),2)</f>
        <v>0.74</v>
      </c>
      <c r="G231" s="7">
        <f t="shared" si="1388"/>
        <v>0.72</v>
      </c>
      <c r="H231" s="7">
        <f t="shared" si="9"/>
        <v>2</v>
      </c>
      <c r="I231" s="7">
        <f t="shared" si="10"/>
        <v>12251</v>
      </c>
      <c r="J231" s="7">
        <f t="shared" si="11"/>
        <v>41754</v>
      </c>
      <c r="K231" s="7" t="str">
        <f t="shared" si="12"/>
        <v>C</v>
      </c>
      <c r="L231" s="7" t="str">
        <f t="shared" si="13"/>
        <v>Transformative change</v>
      </c>
      <c r="M231" s="7" t="str">
        <f t="shared" si="14"/>
        <v>Low</v>
      </c>
      <c r="N231" s="7">
        <f t="shared" si="15"/>
        <v>3163998</v>
      </c>
      <c r="O231" s="7">
        <f t="shared" si="16"/>
        <v>3037503.111</v>
      </c>
      <c r="P231" s="7">
        <f t="shared" ref="P231:Q231" si="1389">RANDBETWEEN(0,22)</f>
        <v>3</v>
      </c>
      <c r="Q231" s="7">
        <f t="shared" si="1389"/>
        <v>10</v>
      </c>
      <c r="R231" s="7">
        <f t="shared" ref="R231:T231" si="1390">IF(S231=1,1,RANDBETWEEN(0,1))</f>
        <v>1</v>
      </c>
      <c r="S231" s="7">
        <f t="shared" si="1390"/>
        <v>1</v>
      </c>
      <c r="T231" s="7">
        <f t="shared" si="1390"/>
        <v>1</v>
      </c>
      <c r="U231" s="7">
        <f t="shared" si="19"/>
        <v>1</v>
      </c>
      <c r="V231" s="7">
        <f t="shared" ref="V231:X231" si="1391">IF(W231=1,1,RANDBETWEEN(0,1))</f>
        <v>1</v>
      </c>
      <c r="W231" s="7">
        <f t="shared" si="1391"/>
        <v>1</v>
      </c>
      <c r="X231" s="7">
        <f t="shared" si="1391"/>
        <v>1</v>
      </c>
      <c r="Y231" s="7">
        <f t="shared" si="21"/>
        <v>1</v>
      </c>
      <c r="Z231" s="7">
        <f t="shared" ref="Z231:AB231" si="1392">IF(AA231=1,1,RANDBETWEEN(0,1))</f>
        <v>1</v>
      </c>
      <c r="AA231" s="7">
        <f t="shared" si="1392"/>
        <v>1</v>
      </c>
      <c r="AB231" s="7">
        <f t="shared" si="1392"/>
        <v>1</v>
      </c>
      <c r="AC231" s="7">
        <f t="shared" si="23"/>
        <v>1</v>
      </c>
      <c r="AD231" s="7">
        <f t="shared" ref="AD231:AF231" si="1393">IF(AE231=1,1,RANDBETWEEN(0,1))</f>
        <v>1</v>
      </c>
      <c r="AE231" s="7">
        <f t="shared" si="1393"/>
        <v>1</v>
      </c>
      <c r="AF231" s="7">
        <f t="shared" si="1393"/>
        <v>1</v>
      </c>
      <c r="AG231" s="7">
        <f t="shared" si="25"/>
        <v>1</v>
      </c>
    </row>
    <row r="232">
      <c r="A232" s="4" t="s">
        <v>672</v>
      </c>
      <c r="B232" s="4" t="s">
        <v>673</v>
      </c>
      <c r="C232" s="4" t="s">
        <v>674</v>
      </c>
      <c r="D232" s="5">
        <v>319013.0</v>
      </c>
      <c r="E232" s="6">
        <f t="shared" si="7"/>
        <v>853</v>
      </c>
      <c r="F232" s="7">
        <f t="shared" ref="F232:G232" si="1394">ROUND(RAND(),2)</f>
        <v>0.74</v>
      </c>
      <c r="G232" s="7">
        <f t="shared" si="1394"/>
        <v>0.1</v>
      </c>
      <c r="H232" s="7">
        <f t="shared" si="9"/>
        <v>5</v>
      </c>
      <c r="I232" s="7">
        <f t="shared" si="10"/>
        <v>77361</v>
      </c>
      <c r="J232" s="7">
        <f t="shared" si="11"/>
        <v>10012</v>
      </c>
      <c r="K232" s="7" t="str">
        <f t="shared" si="12"/>
        <v>F</v>
      </c>
      <c r="L232" s="7" t="str">
        <f t="shared" si="13"/>
        <v>Transformative change</v>
      </c>
      <c r="M232" s="7" t="str">
        <f t="shared" si="14"/>
        <v>High</v>
      </c>
      <c r="N232" s="7">
        <f t="shared" si="15"/>
        <v>1195525</v>
      </c>
      <c r="O232" s="7">
        <f t="shared" si="16"/>
        <v>797889.1643</v>
      </c>
      <c r="P232" s="7">
        <f t="shared" ref="P232:Q232" si="1395">RANDBETWEEN(0,22)</f>
        <v>7</v>
      </c>
      <c r="Q232" s="7">
        <f t="shared" si="1395"/>
        <v>15</v>
      </c>
      <c r="R232" s="7">
        <f t="shared" ref="R232:T232" si="1396">IF(S232=1,1,RANDBETWEEN(0,1))</f>
        <v>1</v>
      </c>
      <c r="S232" s="7">
        <f t="shared" si="1396"/>
        <v>1</v>
      </c>
      <c r="T232" s="7">
        <f t="shared" si="1396"/>
        <v>1</v>
      </c>
      <c r="U232" s="7">
        <f t="shared" si="19"/>
        <v>0</v>
      </c>
      <c r="V232" s="7">
        <f t="shared" ref="V232:X232" si="1397">IF(W232=1,1,RANDBETWEEN(0,1))</f>
        <v>1</v>
      </c>
      <c r="W232" s="7">
        <f t="shared" si="1397"/>
        <v>1</v>
      </c>
      <c r="X232" s="7">
        <f t="shared" si="1397"/>
        <v>1</v>
      </c>
      <c r="Y232" s="7">
        <f t="shared" si="21"/>
        <v>1</v>
      </c>
      <c r="Z232" s="7">
        <f t="shared" ref="Z232:AB232" si="1398">IF(AA232=1,1,RANDBETWEEN(0,1))</f>
        <v>1</v>
      </c>
      <c r="AA232" s="7">
        <f t="shared" si="1398"/>
        <v>1</v>
      </c>
      <c r="AB232" s="7">
        <f t="shared" si="1398"/>
        <v>0</v>
      </c>
      <c r="AC232" s="7">
        <f t="shared" si="23"/>
        <v>0</v>
      </c>
      <c r="AD232" s="7">
        <f t="shared" ref="AD232:AF232" si="1399">IF(AE232=1,1,RANDBETWEEN(0,1))</f>
        <v>1</v>
      </c>
      <c r="AE232" s="7">
        <f t="shared" si="1399"/>
        <v>1</v>
      </c>
      <c r="AF232" s="7">
        <f t="shared" si="1399"/>
        <v>0</v>
      </c>
      <c r="AG232" s="7">
        <f t="shared" si="25"/>
        <v>0</v>
      </c>
    </row>
    <row r="233">
      <c r="A233" s="4" t="s">
        <v>675</v>
      </c>
      <c r="B233" s="4" t="s">
        <v>676</v>
      </c>
      <c r="C233" s="4" t="s">
        <v>677</v>
      </c>
      <c r="D233" s="5">
        <v>50560.0</v>
      </c>
      <c r="E233" s="6">
        <f t="shared" si="7"/>
        <v>972</v>
      </c>
      <c r="F233" s="7">
        <f t="shared" ref="F233:G233" si="1400">ROUND(RAND(),2)</f>
        <v>0.29</v>
      </c>
      <c r="G233" s="7">
        <f t="shared" si="1400"/>
        <v>0.85</v>
      </c>
      <c r="H233" s="7">
        <f t="shared" si="9"/>
        <v>1</v>
      </c>
      <c r="I233" s="7">
        <f t="shared" si="10"/>
        <v>18172</v>
      </c>
      <c r="J233" s="7">
        <f t="shared" si="11"/>
        <v>26058</v>
      </c>
      <c r="K233" s="7" t="str">
        <f t="shared" si="12"/>
        <v>D</v>
      </c>
      <c r="L233" s="7" t="str">
        <f t="shared" si="13"/>
        <v>Transformative change</v>
      </c>
      <c r="M233" s="7" t="str">
        <f t="shared" si="14"/>
        <v>High</v>
      </c>
      <c r="N233" s="7">
        <f t="shared" si="15"/>
        <v>1335533</v>
      </c>
      <c r="O233" s="7">
        <f t="shared" si="16"/>
        <v>827418.5662</v>
      </c>
      <c r="P233" s="7">
        <f t="shared" ref="P233:Q233" si="1401">RANDBETWEEN(0,22)</f>
        <v>7</v>
      </c>
      <c r="Q233" s="7">
        <f t="shared" si="1401"/>
        <v>0</v>
      </c>
      <c r="R233" s="7">
        <f t="shared" ref="R233:T233" si="1402">IF(S233=1,1,RANDBETWEEN(0,1))</f>
        <v>1</v>
      </c>
      <c r="S233" s="7">
        <f t="shared" si="1402"/>
        <v>0</v>
      </c>
      <c r="T233" s="7">
        <f t="shared" si="1402"/>
        <v>0</v>
      </c>
      <c r="U233" s="7">
        <f t="shared" si="19"/>
        <v>0</v>
      </c>
      <c r="V233" s="7">
        <f t="shared" ref="V233:X233" si="1403">IF(W233=1,1,RANDBETWEEN(0,1))</f>
        <v>1</v>
      </c>
      <c r="W233" s="7">
        <f t="shared" si="1403"/>
        <v>1</v>
      </c>
      <c r="X233" s="7">
        <f t="shared" si="1403"/>
        <v>1</v>
      </c>
      <c r="Y233" s="7">
        <f t="shared" si="21"/>
        <v>1</v>
      </c>
      <c r="Z233" s="7">
        <f t="shared" ref="Z233:AB233" si="1404">IF(AA233=1,1,RANDBETWEEN(0,1))</f>
        <v>1</v>
      </c>
      <c r="AA233" s="7">
        <f t="shared" si="1404"/>
        <v>1</v>
      </c>
      <c r="AB233" s="7">
        <f t="shared" si="1404"/>
        <v>1</v>
      </c>
      <c r="AC233" s="7">
        <f t="shared" si="23"/>
        <v>0</v>
      </c>
      <c r="AD233" s="7">
        <f t="shared" ref="AD233:AF233" si="1405">IF(AE233=1,1,RANDBETWEEN(0,1))</f>
        <v>1</v>
      </c>
      <c r="AE233" s="7">
        <f t="shared" si="1405"/>
        <v>1</v>
      </c>
      <c r="AF233" s="7">
        <f t="shared" si="1405"/>
        <v>0</v>
      </c>
      <c r="AG233" s="7">
        <f t="shared" si="25"/>
        <v>0</v>
      </c>
    </row>
    <row r="234">
      <c r="A234" s="4" t="s">
        <v>678</v>
      </c>
      <c r="B234" s="4" t="s">
        <v>679</v>
      </c>
      <c r="C234" s="4" t="s">
        <v>680</v>
      </c>
      <c r="D234" s="5">
        <v>9979.0</v>
      </c>
      <c r="E234" s="6">
        <f t="shared" si="7"/>
        <v>1057</v>
      </c>
      <c r="F234" s="7">
        <f t="shared" ref="F234:G234" si="1406">ROUND(RAND(),2)</f>
        <v>0.24</v>
      </c>
      <c r="G234" s="7">
        <f t="shared" si="1406"/>
        <v>0.95</v>
      </c>
      <c r="H234" s="7">
        <f t="shared" si="9"/>
        <v>3</v>
      </c>
      <c r="I234" s="7">
        <f t="shared" si="10"/>
        <v>90646</v>
      </c>
      <c r="J234" s="7">
        <f t="shared" si="11"/>
        <v>83163</v>
      </c>
      <c r="K234" s="7" t="str">
        <f t="shared" si="12"/>
        <v>D</v>
      </c>
      <c r="L234" s="7" t="str">
        <f t="shared" si="13"/>
        <v>Transformative change</v>
      </c>
      <c r="M234" s="7" t="str">
        <f t="shared" si="14"/>
        <v>High</v>
      </c>
      <c r="N234" s="7">
        <f t="shared" si="15"/>
        <v>3957062</v>
      </c>
      <c r="O234" s="7">
        <f t="shared" si="16"/>
        <v>3265215.121</v>
      </c>
      <c r="P234" s="7">
        <f t="shared" ref="P234:Q234" si="1407">RANDBETWEEN(0,22)</f>
        <v>5</v>
      </c>
      <c r="Q234" s="7">
        <f t="shared" si="1407"/>
        <v>2</v>
      </c>
      <c r="R234" s="7">
        <f t="shared" ref="R234:T234" si="1408">IF(S234=1,1,RANDBETWEEN(0,1))</f>
        <v>1</v>
      </c>
      <c r="S234" s="7">
        <f t="shared" si="1408"/>
        <v>1</v>
      </c>
      <c r="T234" s="7">
        <f t="shared" si="1408"/>
        <v>1</v>
      </c>
      <c r="U234" s="7">
        <f t="shared" si="19"/>
        <v>0</v>
      </c>
      <c r="V234" s="7">
        <f t="shared" ref="V234:X234" si="1409">IF(W234=1,1,RANDBETWEEN(0,1))</f>
        <v>1</v>
      </c>
      <c r="W234" s="7">
        <f t="shared" si="1409"/>
        <v>1</v>
      </c>
      <c r="X234" s="7">
        <f t="shared" si="1409"/>
        <v>1</v>
      </c>
      <c r="Y234" s="7">
        <f t="shared" si="21"/>
        <v>1</v>
      </c>
      <c r="Z234" s="7">
        <f t="shared" ref="Z234:AB234" si="1410">IF(AA234=1,1,RANDBETWEEN(0,1))</f>
        <v>1</v>
      </c>
      <c r="AA234" s="7">
        <f t="shared" si="1410"/>
        <v>1</v>
      </c>
      <c r="AB234" s="7">
        <f t="shared" si="1410"/>
        <v>1</v>
      </c>
      <c r="AC234" s="7">
        <f t="shared" si="23"/>
        <v>1</v>
      </c>
      <c r="AD234" s="7">
        <f t="shared" ref="AD234:AF234" si="1411">IF(AE234=1,1,RANDBETWEEN(0,1))</f>
        <v>1</v>
      </c>
      <c r="AE234" s="7">
        <f t="shared" si="1411"/>
        <v>1</v>
      </c>
      <c r="AF234" s="7">
        <f t="shared" si="1411"/>
        <v>1</v>
      </c>
      <c r="AG234" s="7">
        <f t="shared" si="25"/>
        <v>0</v>
      </c>
    </row>
    <row r="235">
      <c r="A235" s="4" t="s">
        <v>681</v>
      </c>
      <c r="B235" s="4" t="s">
        <v>682</v>
      </c>
      <c r="C235" s="4" t="s">
        <v>683</v>
      </c>
      <c r="D235" s="5">
        <v>5061.0</v>
      </c>
      <c r="E235" s="6">
        <f t="shared" si="7"/>
        <v>1038</v>
      </c>
      <c r="F235" s="7">
        <f t="shared" ref="F235:G235" si="1412">ROUND(RAND(),2)</f>
        <v>0.95</v>
      </c>
      <c r="G235" s="7">
        <f t="shared" si="1412"/>
        <v>0.14</v>
      </c>
      <c r="H235" s="7">
        <f t="shared" si="9"/>
        <v>4</v>
      </c>
      <c r="I235" s="7">
        <f t="shared" si="10"/>
        <v>41531</v>
      </c>
      <c r="J235" s="7">
        <f t="shared" si="11"/>
        <v>26021</v>
      </c>
      <c r="K235" s="7" t="str">
        <f t="shared" si="12"/>
        <v>E</v>
      </c>
      <c r="L235" s="7" t="str">
        <f t="shared" si="13"/>
        <v>Transformative change</v>
      </c>
      <c r="M235" s="7" t="str">
        <f t="shared" si="14"/>
        <v>Medium</v>
      </c>
      <c r="N235" s="7">
        <f t="shared" si="15"/>
        <v>3891538</v>
      </c>
      <c r="O235" s="7">
        <f t="shared" si="16"/>
        <v>613064.5442</v>
      </c>
      <c r="P235" s="7">
        <f t="shared" ref="P235:Q235" si="1413">RANDBETWEEN(0,22)</f>
        <v>11</v>
      </c>
      <c r="Q235" s="7">
        <f t="shared" si="1413"/>
        <v>1</v>
      </c>
      <c r="R235" s="7">
        <f t="shared" ref="R235:T235" si="1414">IF(S235=1,1,RANDBETWEEN(0,1))</f>
        <v>1</v>
      </c>
      <c r="S235" s="7">
        <f t="shared" si="1414"/>
        <v>1</v>
      </c>
      <c r="T235" s="7">
        <f t="shared" si="1414"/>
        <v>1</v>
      </c>
      <c r="U235" s="7">
        <f t="shared" si="19"/>
        <v>0</v>
      </c>
      <c r="V235" s="7">
        <f t="shared" ref="V235:X235" si="1415">IF(W235=1,1,RANDBETWEEN(0,1))</f>
        <v>1</v>
      </c>
      <c r="W235" s="7">
        <f t="shared" si="1415"/>
        <v>1</v>
      </c>
      <c r="X235" s="7">
        <f t="shared" si="1415"/>
        <v>1</v>
      </c>
      <c r="Y235" s="7">
        <f t="shared" si="21"/>
        <v>0</v>
      </c>
      <c r="Z235" s="7">
        <f t="shared" ref="Z235:AB235" si="1416">IF(AA235=1,1,RANDBETWEEN(0,1))</f>
        <v>1</v>
      </c>
      <c r="AA235" s="7">
        <f t="shared" si="1416"/>
        <v>1</v>
      </c>
      <c r="AB235" s="7">
        <f t="shared" si="1416"/>
        <v>1</v>
      </c>
      <c r="AC235" s="7">
        <f t="shared" si="23"/>
        <v>1</v>
      </c>
      <c r="AD235" s="7">
        <f t="shared" ref="AD235:AF235" si="1417">IF(AE235=1,1,RANDBETWEEN(0,1))</f>
        <v>1</v>
      </c>
      <c r="AE235" s="7">
        <f t="shared" si="1417"/>
        <v>1</v>
      </c>
      <c r="AF235" s="7">
        <f t="shared" si="1417"/>
        <v>1</v>
      </c>
      <c r="AG235" s="7">
        <f t="shared" si="25"/>
        <v>1</v>
      </c>
    </row>
    <row r="236">
      <c r="A236" s="4" t="s">
        <v>684</v>
      </c>
      <c r="B236" s="4" t="s">
        <v>685</v>
      </c>
      <c r="C236" s="4" t="s">
        <v>95</v>
      </c>
      <c r="D236" s="5">
        <v>10676.0</v>
      </c>
      <c r="E236" s="6">
        <f t="shared" si="7"/>
        <v>917</v>
      </c>
      <c r="F236" s="7">
        <f t="shared" ref="F236:G236" si="1418">ROUND(RAND(),2)</f>
        <v>0.4</v>
      </c>
      <c r="G236" s="7">
        <f t="shared" si="1418"/>
        <v>0.37</v>
      </c>
      <c r="H236" s="7">
        <f t="shared" si="9"/>
        <v>2</v>
      </c>
      <c r="I236" s="7">
        <f t="shared" si="10"/>
        <v>82305</v>
      </c>
      <c r="J236" s="7">
        <f t="shared" si="11"/>
        <v>50055</v>
      </c>
      <c r="K236" s="7" t="str">
        <f t="shared" si="12"/>
        <v>G</v>
      </c>
      <c r="L236" s="7" t="str">
        <f t="shared" si="13"/>
        <v>Transformative change</v>
      </c>
      <c r="M236" s="7" t="str">
        <f t="shared" si="14"/>
        <v>Low</v>
      </c>
      <c r="N236" s="7">
        <f t="shared" si="15"/>
        <v>1074582</v>
      </c>
      <c r="O236" s="7">
        <f t="shared" si="16"/>
        <v>372591.7516</v>
      </c>
      <c r="P236" s="7">
        <f t="shared" ref="P236:Q236" si="1419">RANDBETWEEN(0,22)</f>
        <v>9</v>
      </c>
      <c r="Q236" s="7">
        <f t="shared" si="1419"/>
        <v>4</v>
      </c>
      <c r="R236" s="7">
        <f t="shared" ref="R236:T236" si="1420">IF(S236=1,1,RANDBETWEEN(0,1))</f>
        <v>1</v>
      </c>
      <c r="S236" s="7">
        <f t="shared" si="1420"/>
        <v>1</v>
      </c>
      <c r="T236" s="7">
        <f t="shared" si="1420"/>
        <v>1</v>
      </c>
      <c r="U236" s="7">
        <f t="shared" si="19"/>
        <v>1</v>
      </c>
      <c r="V236" s="7">
        <f t="shared" ref="V236:X236" si="1421">IF(W236=1,1,RANDBETWEEN(0,1))</f>
        <v>1</v>
      </c>
      <c r="W236" s="7">
        <f t="shared" si="1421"/>
        <v>1</v>
      </c>
      <c r="X236" s="7">
        <f t="shared" si="1421"/>
        <v>1</v>
      </c>
      <c r="Y236" s="7">
        <f t="shared" si="21"/>
        <v>0</v>
      </c>
      <c r="Z236" s="7">
        <f t="shared" ref="Z236:AB236" si="1422">IF(AA236=1,1,RANDBETWEEN(0,1))</f>
        <v>1</v>
      </c>
      <c r="AA236" s="7">
        <f t="shared" si="1422"/>
        <v>1</v>
      </c>
      <c r="AB236" s="7">
        <f t="shared" si="1422"/>
        <v>1</v>
      </c>
      <c r="AC236" s="7">
        <f t="shared" si="23"/>
        <v>0</v>
      </c>
      <c r="AD236" s="7">
        <f t="shared" ref="AD236:AF236" si="1423">IF(AE236=1,1,RANDBETWEEN(0,1))</f>
        <v>1</v>
      </c>
      <c r="AE236" s="7">
        <f t="shared" si="1423"/>
        <v>1</v>
      </c>
      <c r="AF236" s="7">
        <f t="shared" si="1423"/>
        <v>1</v>
      </c>
      <c r="AG236" s="7">
        <f t="shared" si="25"/>
        <v>1</v>
      </c>
    </row>
    <row r="237">
      <c r="A237" s="4" t="s">
        <v>686</v>
      </c>
      <c r="B237" s="4" t="s">
        <v>687</v>
      </c>
      <c r="C237" s="4" t="s">
        <v>688</v>
      </c>
      <c r="D237" s="5">
        <v>7791.0</v>
      </c>
      <c r="E237" s="6">
        <f t="shared" si="7"/>
        <v>982</v>
      </c>
      <c r="F237" s="7">
        <f t="shared" ref="F237:G237" si="1424">ROUND(RAND(),2)</f>
        <v>0.84</v>
      </c>
      <c r="G237" s="7">
        <f t="shared" si="1424"/>
        <v>0.45</v>
      </c>
      <c r="H237" s="7">
        <f t="shared" si="9"/>
        <v>3</v>
      </c>
      <c r="I237" s="7">
        <f t="shared" si="10"/>
        <v>16847</v>
      </c>
      <c r="J237" s="7">
        <f t="shared" si="11"/>
        <v>23818</v>
      </c>
      <c r="K237" s="7" t="str">
        <f t="shared" si="12"/>
        <v>C</v>
      </c>
      <c r="L237" s="7" t="str">
        <f t="shared" si="13"/>
        <v>Transformative change</v>
      </c>
      <c r="M237" s="7" t="str">
        <f t="shared" si="14"/>
        <v>Low</v>
      </c>
      <c r="N237" s="7">
        <f t="shared" si="15"/>
        <v>1522697</v>
      </c>
      <c r="O237" s="7">
        <f t="shared" si="16"/>
        <v>1160366.773</v>
      </c>
      <c r="P237" s="7">
        <f t="shared" ref="P237:Q237" si="1425">RANDBETWEEN(0,22)</f>
        <v>0</v>
      </c>
      <c r="Q237" s="7">
        <f t="shared" si="1425"/>
        <v>15</v>
      </c>
      <c r="R237" s="7">
        <f t="shared" ref="R237:T237" si="1426">IF(S237=1,1,RANDBETWEEN(0,1))</f>
        <v>1</v>
      </c>
      <c r="S237" s="7">
        <f t="shared" si="1426"/>
        <v>1</v>
      </c>
      <c r="T237" s="7">
        <f t="shared" si="1426"/>
        <v>1</v>
      </c>
      <c r="U237" s="7">
        <f t="shared" si="19"/>
        <v>1</v>
      </c>
      <c r="V237" s="7">
        <f t="shared" ref="V237:X237" si="1427">IF(W237=1,1,RANDBETWEEN(0,1))</f>
        <v>1</v>
      </c>
      <c r="W237" s="7">
        <f t="shared" si="1427"/>
        <v>1</v>
      </c>
      <c r="X237" s="7">
        <f t="shared" si="1427"/>
        <v>1</v>
      </c>
      <c r="Y237" s="7">
        <f t="shared" si="21"/>
        <v>1</v>
      </c>
      <c r="Z237" s="7">
        <f t="shared" ref="Z237:AB237" si="1428">IF(AA237=1,1,RANDBETWEEN(0,1))</f>
        <v>1</v>
      </c>
      <c r="AA237" s="7">
        <f t="shared" si="1428"/>
        <v>1</v>
      </c>
      <c r="AB237" s="7">
        <f t="shared" si="1428"/>
        <v>1</v>
      </c>
      <c r="AC237" s="7">
        <f t="shared" si="23"/>
        <v>1</v>
      </c>
      <c r="AD237" s="7">
        <f t="shared" ref="AD237:AF237" si="1429">IF(AE237=1,1,RANDBETWEEN(0,1))</f>
        <v>1</v>
      </c>
      <c r="AE237" s="7">
        <f t="shared" si="1429"/>
        <v>1</v>
      </c>
      <c r="AF237" s="7">
        <f t="shared" si="1429"/>
        <v>1</v>
      </c>
      <c r="AG237" s="7">
        <f t="shared" si="25"/>
        <v>1</v>
      </c>
    </row>
    <row r="238">
      <c r="A238" s="4" t="s">
        <v>689</v>
      </c>
      <c r="B238" s="4" t="s">
        <v>690</v>
      </c>
      <c r="C238" s="4" t="s">
        <v>691</v>
      </c>
      <c r="D238" s="5">
        <v>18951.0</v>
      </c>
      <c r="E238" s="6">
        <f t="shared" si="7"/>
        <v>1017</v>
      </c>
      <c r="F238" s="7">
        <f t="shared" ref="F238:G238" si="1430">ROUND(RAND(),2)</f>
        <v>0.85</v>
      </c>
      <c r="G238" s="7">
        <f t="shared" si="1430"/>
        <v>0.5</v>
      </c>
      <c r="H238" s="7">
        <f t="shared" si="9"/>
        <v>5</v>
      </c>
      <c r="I238" s="7">
        <f t="shared" si="10"/>
        <v>14437</v>
      </c>
      <c r="J238" s="7">
        <f t="shared" si="11"/>
        <v>683</v>
      </c>
      <c r="K238" s="7" t="str">
        <f t="shared" si="12"/>
        <v>A</v>
      </c>
      <c r="L238" s="7" t="str">
        <f t="shared" si="13"/>
        <v>High ambition</v>
      </c>
      <c r="M238" s="7" t="str">
        <f t="shared" si="14"/>
        <v>Medium</v>
      </c>
      <c r="N238" s="7">
        <f t="shared" si="15"/>
        <v>1840964</v>
      </c>
      <c r="O238" s="7">
        <f t="shared" si="16"/>
        <v>111539.3781</v>
      </c>
      <c r="P238" s="7">
        <f t="shared" ref="P238:Q238" si="1431">RANDBETWEEN(0,22)</f>
        <v>2</v>
      </c>
      <c r="Q238" s="7">
        <f t="shared" si="1431"/>
        <v>7</v>
      </c>
      <c r="R238" s="7">
        <f t="shared" ref="R238:T238" si="1432">IF(S238=1,1,RANDBETWEEN(0,1))</f>
        <v>1</v>
      </c>
      <c r="S238" s="7">
        <f t="shared" si="1432"/>
        <v>0</v>
      </c>
      <c r="T238" s="7">
        <f t="shared" si="1432"/>
        <v>0</v>
      </c>
      <c r="U238" s="7">
        <f t="shared" si="19"/>
        <v>0</v>
      </c>
      <c r="V238" s="7">
        <f t="shared" ref="V238:X238" si="1433">IF(W238=1,1,RANDBETWEEN(0,1))</f>
        <v>1</v>
      </c>
      <c r="W238" s="7">
        <f t="shared" si="1433"/>
        <v>1</v>
      </c>
      <c r="X238" s="7">
        <f t="shared" si="1433"/>
        <v>1</v>
      </c>
      <c r="Y238" s="7">
        <f t="shared" si="21"/>
        <v>1</v>
      </c>
      <c r="Z238" s="7">
        <f t="shared" ref="Z238:AB238" si="1434">IF(AA238=1,1,RANDBETWEEN(0,1))</f>
        <v>1</v>
      </c>
      <c r="AA238" s="7">
        <f t="shared" si="1434"/>
        <v>1</v>
      </c>
      <c r="AB238" s="7">
        <f t="shared" si="1434"/>
        <v>1</v>
      </c>
      <c r="AC238" s="7">
        <f t="shared" si="23"/>
        <v>1</v>
      </c>
      <c r="AD238" s="7">
        <f t="shared" ref="AD238:AF238" si="1435">IF(AE238=1,1,RANDBETWEEN(0,1))</f>
        <v>1</v>
      </c>
      <c r="AE238" s="7">
        <f t="shared" si="1435"/>
        <v>1</v>
      </c>
      <c r="AF238" s="7">
        <f t="shared" si="1435"/>
        <v>1</v>
      </c>
      <c r="AG238" s="7">
        <f t="shared" si="25"/>
        <v>1</v>
      </c>
    </row>
    <row r="239">
      <c r="A239" s="4" t="s">
        <v>692</v>
      </c>
      <c r="B239" s="4" t="s">
        <v>693</v>
      </c>
      <c r="C239" s="4" t="s">
        <v>694</v>
      </c>
      <c r="D239" s="5">
        <v>11694.0</v>
      </c>
      <c r="E239" s="6">
        <f t="shared" si="7"/>
        <v>927</v>
      </c>
      <c r="F239" s="7">
        <f t="shared" ref="F239:G239" si="1436">ROUND(RAND(),2)</f>
        <v>0.53</v>
      </c>
      <c r="G239" s="7">
        <f t="shared" si="1436"/>
        <v>0.5</v>
      </c>
      <c r="H239" s="7">
        <f t="shared" si="9"/>
        <v>5</v>
      </c>
      <c r="I239" s="7">
        <f t="shared" si="10"/>
        <v>56712</v>
      </c>
      <c r="J239" s="7">
        <f t="shared" si="11"/>
        <v>8747</v>
      </c>
      <c r="K239" s="7" t="str">
        <f t="shared" si="12"/>
        <v>G</v>
      </c>
      <c r="L239" s="7" t="str">
        <f t="shared" si="13"/>
        <v>Transformative change</v>
      </c>
      <c r="M239" s="7" t="str">
        <f t="shared" si="14"/>
        <v>High</v>
      </c>
      <c r="N239" s="7">
        <f t="shared" si="15"/>
        <v>3162372</v>
      </c>
      <c r="O239" s="7">
        <f t="shared" si="16"/>
        <v>2512260.768</v>
      </c>
      <c r="P239" s="7">
        <f t="shared" ref="P239:Q239" si="1437">RANDBETWEEN(0,22)</f>
        <v>19</v>
      </c>
      <c r="Q239" s="7">
        <f t="shared" si="1437"/>
        <v>7</v>
      </c>
      <c r="R239" s="7">
        <f t="shared" ref="R239:T239" si="1438">IF(S239=1,1,RANDBETWEEN(0,1))</f>
        <v>1</v>
      </c>
      <c r="S239" s="7">
        <f t="shared" si="1438"/>
        <v>1</v>
      </c>
      <c r="T239" s="7">
        <f t="shared" si="1438"/>
        <v>1</v>
      </c>
      <c r="U239" s="7">
        <f t="shared" si="19"/>
        <v>0</v>
      </c>
      <c r="V239" s="7">
        <f t="shared" ref="V239:X239" si="1439">IF(W239=1,1,RANDBETWEEN(0,1))</f>
        <v>1</v>
      </c>
      <c r="W239" s="7">
        <f t="shared" si="1439"/>
        <v>1</v>
      </c>
      <c r="X239" s="7">
        <f t="shared" si="1439"/>
        <v>1</v>
      </c>
      <c r="Y239" s="7">
        <f t="shared" si="21"/>
        <v>1</v>
      </c>
      <c r="Z239" s="7">
        <f t="shared" ref="Z239:AB239" si="1440">IF(AA239=1,1,RANDBETWEEN(0,1))</f>
        <v>1</v>
      </c>
      <c r="AA239" s="7">
        <f t="shared" si="1440"/>
        <v>1</v>
      </c>
      <c r="AB239" s="7">
        <f t="shared" si="1440"/>
        <v>1</v>
      </c>
      <c r="AC239" s="7">
        <f t="shared" si="23"/>
        <v>0</v>
      </c>
      <c r="AD239" s="7">
        <f t="shared" ref="AD239:AF239" si="1441">IF(AE239=1,1,RANDBETWEEN(0,1))</f>
        <v>1</v>
      </c>
      <c r="AE239" s="7">
        <f t="shared" si="1441"/>
        <v>1</v>
      </c>
      <c r="AF239" s="7">
        <f t="shared" si="1441"/>
        <v>0</v>
      </c>
      <c r="AG239" s="7">
        <f t="shared" si="25"/>
        <v>0</v>
      </c>
    </row>
    <row r="240">
      <c r="A240" s="4" t="s">
        <v>172</v>
      </c>
      <c r="B240" s="4" t="s">
        <v>695</v>
      </c>
      <c r="C240" s="4" t="s">
        <v>696</v>
      </c>
      <c r="D240" s="5">
        <v>12505.0</v>
      </c>
      <c r="E240" s="6">
        <f t="shared" si="7"/>
        <v>1004</v>
      </c>
      <c r="F240" s="7">
        <f t="shared" ref="F240:G240" si="1442">ROUND(RAND(),2)</f>
        <v>0.55</v>
      </c>
      <c r="G240" s="7">
        <f t="shared" si="1442"/>
        <v>0.87</v>
      </c>
      <c r="H240" s="7">
        <f t="shared" si="9"/>
        <v>2</v>
      </c>
      <c r="I240" s="7">
        <f t="shared" si="10"/>
        <v>28821</v>
      </c>
      <c r="J240" s="7">
        <f t="shared" si="11"/>
        <v>25583</v>
      </c>
      <c r="K240" s="7" t="str">
        <f t="shared" si="12"/>
        <v>A</v>
      </c>
      <c r="L240" s="7" t="str">
        <f t="shared" si="13"/>
        <v>Transformative change</v>
      </c>
      <c r="M240" s="7" t="str">
        <f t="shared" si="14"/>
        <v>Medium</v>
      </c>
      <c r="N240" s="7">
        <f t="shared" si="15"/>
        <v>741211</v>
      </c>
      <c r="O240" s="7">
        <f t="shared" si="16"/>
        <v>98350.8581</v>
      </c>
      <c r="P240" s="7">
        <f t="shared" ref="P240:Q240" si="1443">RANDBETWEEN(0,22)</f>
        <v>3</v>
      </c>
      <c r="Q240" s="7">
        <f t="shared" si="1443"/>
        <v>19</v>
      </c>
      <c r="R240" s="7">
        <f t="shared" ref="R240:T240" si="1444">IF(S240=1,1,RANDBETWEEN(0,1))</f>
        <v>1</v>
      </c>
      <c r="S240" s="7">
        <f t="shared" si="1444"/>
        <v>1</v>
      </c>
      <c r="T240" s="7">
        <f t="shared" si="1444"/>
        <v>1</v>
      </c>
      <c r="U240" s="7">
        <f t="shared" si="19"/>
        <v>1</v>
      </c>
      <c r="V240" s="7">
        <f t="shared" ref="V240:X240" si="1445">IF(W240=1,1,RANDBETWEEN(0,1))</f>
        <v>1</v>
      </c>
      <c r="W240" s="7">
        <f t="shared" si="1445"/>
        <v>1</v>
      </c>
      <c r="X240" s="7">
        <f t="shared" si="1445"/>
        <v>1</v>
      </c>
      <c r="Y240" s="7">
        <f t="shared" si="21"/>
        <v>0</v>
      </c>
      <c r="Z240" s="7">
        <f t="shared" ref="Z240:AB240" si="1446">IF(AA240=1,1,RANDBETWEEN(0,1))</f>
        <v>1</v>
      </c>
      <c r="AA240" s="7">
        <f t="shared" si="1446"/>
        <v>1</v>
      </c>
      <c r="AB240" s="7">
        <f t="shared" si="1446"/>
        <v>0</v>
      </c>
      <c r="AC240" s="7">
        <f t="shared" si="23"/>
        <v>0</v>
      </c>
      <c r="AD240" s="7">
        <f t="shared" ref="AD240:AF240" si="1447">IF(AE240=1,1,RANDBETWEEN(0,1))</f>
        <v>1</v>
      </c>
      <c r="AE240" s="7">
        <f t="shared" si="1447"/>
        <v>1</v>
      </c>
      <c r="AF240" s="7">
        <f t="shared" si="1447"/>
        <v>0</v>
      </c>
      <c r="AG240" s="7">
        <f t="shared" si="25"/>
        <v>0</v>
      </c>
    </row>
    <row r="241">
      <c r="A241" s="4" t="s">
        <v>697</v>
      </c>
      <c r="B241" s="4" t="s">
        <v>698</v>
      </c>
      <c r="C241" s="4" t="s">
        <v>699</v>
      </c>
      <c r="D241" s="5">
        <v>25098.0</v>
      </c>
      <c r="E241" s="6">
        <f t="shared" si="7"/>
        <v>816</v>
      </c>
      <c r="F241" s="7">
        <f t="shared" ref="F241:G241" si="1448">ROUND(RAND(),2)</f>
        <v>0.25</v>
      </c>
      <c r="G241" s="7">
        <f t="shared" si="1448"/>
        <v>0.77</v>
      </c>
      <c r="H241" s="7">
        <f t="shared" si="9"/>
        <v>2</v>
      </c>
      <c r="I241" s="7">
        <f t="shared" si="10"/>
        <v>79358</v>
      </c>
      <c r="J241" s="7">
        <f t="shared" si="11"/>
        <v>58478</v>
      </c>
      <c r="K241" s="7" t="str">
        <f t="shared" si="12"/>
        <v>C</v>
      </c>
      <c r="L241" s="7" t="str">
        <f t="shared" si="13"/>
        <v>Transformative change</v>
      </c>
      <c r="M241" s="7" t="str">
        <f t="shared" si="14"/>
        <v>High</v>
      </c>
      <c r="N241" s="7">
        <f t="shared" si="15"/>
        <v>1357610</v>
      </c>
      <c r="O241" s="7">
        <f t="shared" si="16"/>
        <v>1328928.889</v>
      </c>
      <c r="P241" s="7">
        <f t="shared" ref="P241:Q241" si="1449">RANDBETWEEN(0,22)</f>
        <v>12</v>
      </c>
      <c r="Q241" s="7">
        <f t="shared" si="1449"/>
        <v>0</v>
      </c>
      <c r="R241" s="7">
        <f t="shared" ref="R241:T241" si="1450">IF(S241=1,1,RANDBETWEEN(0,1))</f>
        <v>1</v>
      </c>
      <c r="S241" s="7">
        <f t="shared" si="1450"/>
        <v>1</v>
      </c>
      <c r="T241" s="7">
        <f t="shared" si="1450"/>
        <v>1</v>
      </c>
      <c r="U241" s="7">
        <f t="shared" si="19"/>
        <v>1</v>
      </c>
      <c r="V241" s="7">
        <f t="shared" ref="V241:X241" si="1451">IF(W241=1,1,RANDBETWEEN(0,1))</f>
        <v>1</v>
      </c>
      <c r="W241" s="7">
        <f t="shared" si="1451"/>
        <v>1</v>
      </c>
      <c r="X241" s="7">
        <f t="shared" si="1451"/>
        <v>1</v>
      </c>
      <c r="Y241" s="7">
        <f t="shared" si="21"/>
        <v>1</v>
      </c>
      <c r="Z241" s="7">
        <f t="shared" ref="Z241:AB241" si="1452">IF(AA241=1,1,RANDBETWEEN(0,1))</f>
        <v>1</v>
      </c>
      <c r="AA241" s="7">
        <f t="shared" si="1452"/>
        <v>1</v>
      </c>
      <c r="AB241" s="7">
        <f t="shared" si="1452"/>
        <v>1</v>
      </c>
      <c r="AC241" s="7">
        <f t="shared" si="23"/>
        <v>1</v>
      </c>
      <c r="AD241" s="7">
        <f t="shared" ref="AD241:AF241" si="1453">IF(AE241=1,1,RANDBETWEEN(0,1))</f>
        <v>1</v>
      </c>
      <c r="AE241" s="7">
        <f t="shared" si="1453"/>
        <v>1</v>
      </c>
      <c r="AF241" s="7">
        <f t="shared" si="1453"/>
        <v>1</v>
      </c>
      <c r="AG241" s="7">
        <f t="shared" si="25"/>
        <v>1</v>
      </c>
    </row>
    <row r="242">
      <c r="A242" s="4" t="s">
        <v>700</v>
      </c>
      <c r="B242" s="4" t="s">
        <v>701</v>
      </c>
      <c r="C242" s="4" t="s">
        <v>702</v>
      </c>
      <c r="D242" s="5">
        <v>16234.0</v>
      </c>
      <c r="E242" s="6">
        <f t="shared" si="7"/>
        <v>1053</v>
      </c>
      <c r="F242" s="7">
        <f t="shared" ref="F242:G242" si="1454">ROUND(RAND(),2)</f>
        <v>0.07</v>
      </c>
      <c r="G242" s="7">
        <f t="shared" si="1454"/>
        <v>0.54</v>
      </c>
      <c r="H242" s="7">
        <f t="shared" si="9"/>
        <v>1</v>
      </c>
      <c r="I242" s="7">
        <f t="shared" si="10"/>
        <v>29417</v>
      </c>
      <c r="J242" s="7">
        <f t="shared" si="11"/>
        <v>42673</v>
      </c>
      <c r="K242" s="7" t="str">
        <f t="shared" si="12"/>
        <v>F</v>
      </c>
      <c r="L242" s="7" t="str">
        <f t="shared" si="13"/>
        <v>Transformative change</v>
      </c>
      <c r="M242" s="7" t="str">
        <f t="shared" si="14"/>
        <v>Medium</v>
      </c>
      <c r="N242" s="7">
        <f t="shared" si="15"/>
        <v>351818</v>
      </c>
      <c r="O242" s="7">
        <f t="shared" si="16"/>
        <v>4079.523712</v>
      </c>
      <c r="P242" s="7">
        <f t="shared" ref="P242:Q242" si="1455">RANDBETWEEN(0,22)</f>
        <v>3</v>
      </c>
      <c r="Q242" s="7">
        <f t="shared" si="1455"/>
        <v>10</v>
      </c>
      <c r="R242" s="7">
        <f t="shared" ref="R242:T242" si="1456">IF(S242=1,1,RANDBETWEEN(0,1))</f>
        <v>1</v>
      </c>
      <c r="S242" s="7">
        <f t="shared" si="1456"/>
        <v>0</v>
      </c>
      <c r="T242" s="7">
        <f t="shared" si="1456"/>
        <v>0</v>
      </c>
      <c r="U242" s="7">
        <f t="shared" si="19"/>
        <v>0</v>
      </c>
      <c r="V242" s="7">
        <f t="shared" ref="V242:X242" si="1457">IF(W242=1,1,RANDBETWEEN(0,1))</f>
        <v>1</v>
      </c>
      <c r="W242" s="7">
        <f t="shared" si="1457"/>
        <v>0</v>
      </c>
      <c r="X242" s="7">
        <f t="shared" si="1457"/>
        <v>0</v>
      </c>
      <c r="Y242" s="7">
        <f t="shared" si="21"/>
        <v>0</v>
      </c>
      <c r="Z242" s="7">
        <f t="shared" ref="Z242:AB242" si="1458">IF(AA242=1,1,RANDBETWEEN(0,1))</f>
        <v>1</v>
      </c>
      <c r="AA242" s="7">
        <f t="shared" si="1458"/>
        <v>1</v>
      </c>
      <c r="AB242" s="7">
        <f t="shared" si="1458"/>
        <v>1</v>
      </c>
      <c r="AC242" s="7">
        <f t="shared" si="23"/>
        <v>0</v>
      </c>
      <c r="AD242" s="7">
        <f t="shared" ref="AD242:AF242" si="1459">IF(AE242=1,1,RANDBETWEEN(0,1))</f>
        <v>0</v>
      </c>
      <c r="AE242" s="7">
        <f t="shared" si="1459"/>
        <v>0</v>
      </c>
      <c r="AF242" s="7">
        <f t="shared" si="1459"/>
        <v>0</v>
      </c>
      <c r="AG242" s="7">
        <f t="shared" si="25"/>
        <v>0</v>
      </c>
    </row>
    <row r="243">
      <c r="A243" s="4" t="s">
        <v>703</v>
      </c>
      <c r="B243" s="4" t="s">
        <v>704</v>
      </c>
      <c r="C243" s="4" t="s">
        <v>705</v>
      </c>
      <c r="D243" s="5">
        <v>13532.0</v>
      </c>
      <c r="E243" s="6">
        <f t="shared" si="7"/>
        <v>1014</v>
      </c>
      <c r="F243" s="7">
        <f t="shared" ref="F243:G243" si="1460">ROUND(RAND(),2)</f>
        <v>0.83</v>
      </c>
      <c r="G243" s="7">
        <f t="shared" si="1460"/>
        <v>0.83</v>
      </c>
      <c r="H243" s="7">
        <f t="shared" si="9"/>
        <v>3</v>
      </c>
      <c r="I243" s="7">
        <f t="shared" si="10"/>
        <v>51369</v>
      </c>
      <c r="J243" s="7">
        <f t="shared" si="11"/>
        <v>31530</v>
      </c>
      <c r="K243" s="7" t="str">
        <f t="shared" si="12"/>
        <v>E</v>
      </c>
      <c r="L243" s="7" t="str">
        <f t="shared" si="13"/>
        <v>Transformative change</v>
      </c>
      <c r="M243" s="7" t="str">
        <f t="shared" si="14"/>
        <v>High</v>
      </c>
      <c r="N243" s="7">
        <f t="shared" si="15"/>
        <v>1176505</v>
      </c>
      <c r="O243" s="7">
        <f t="shared" si="16"/>
        <v>1152154.501</v>
      </c>
      <c r="P243" s="7">
        <f t="shared" ref="P243:Q243" si="1461">RANDBETWEEN(0,22)</f>
        <v>6</v>
      </c>
      <c r="Q243" s="7">
        <f t="shared" si="1461"/>
        <v>16</v>
      </c>
      <c r="R243" s="7">
        <f t="shared" ref="R243:T243" si="1462">IF(S243=1,1,RANDBETWEEN(0,1))</f>
        <v>1</v>
      </c>
      <c r="S243" s="7">
        <f t="shared" si="1462"/>
        <v>1</v>
      </c>
      <c r="T243" s="7">
        <f t="shared" si="1462"/>
        <v>1</v>
      </c>
      <c r="U243" s="7">
        <f t="shared" si="19"/>
        <v>1</v>
      </c>
      <c r="V243" s="7">
        <f t="shared" ref="V243:X243" si="1463">IF(W243=1,1,RANDBETWEEN(0,1))</f>
        <v>1</v>
      </c>
      <c r="W243" s="7">
        <f t="shared" si="1463"/>
        <v>1</v>
      </c>
      <c r="X243" s="7">
        <f t="shared" si="1463"/>
        <v>1</v>
      </c>
      <c r="Y243" s="7">
        <f t="shared" si="21"/>
        <v>1</v>
      </c>
      <c r="Z243" s="7">
        <f t="shared" ref="Z243:AB243" si="1464">IF(AA243=1,1,RANDBETWEEN(0,1))</f>
        <v>1</v>
      </c>
      <c r="AA243" s="7">
        <f t="shared" si="1464"/>
        <v>1</v>
      </c>
      <c r="AB243" s="7">
        <f t="shared" si="1464"/>
        <v>1</v>
      </c>
      <c r="AC243" s="7">
        <f t="shared" si="23"/>
        <v>1</v>
      </c>
      <c r="AD243" s="7">
        <f t="shared" ref="AD243:AF243" si="1465">IF(AE243=1,1,RANDBETWEEN(0,1))</f>
        <v>0</v>
      </c>
      <c r="AE243" s="7">
        <f t="shared" si="1465"/>
        <v>0</v>
      </c>
      <c r="AF243" s="7">
        <f t="shared" si="1465"/>
        <v>0</v>
      </c>
      <c r="AG243" s="7">
        <f t="shared" si="25"/>
        <v>0</v>
      </c>
    </row>
    <row r="244">
      <c r="A244" s="4" t="s">
        <v>706</v>
      </c>
      <c r="B244" s="4" t="s">
        <v>707</v>
      </c>
      <c r="C244" s="4" t="s">
        <v>708</v>
      </c>
      <c r="D244" s="5">
        <v>15731.0</v>
      </c>
      <c r="E244" s="6">
        <f t="shared" si="7"/>
        <v>855</v>
      </c>
      <c r="F244" s="7">
        <f t="shared" ref="F244:G244" si="1466">ROUND(RAND(),2)</f>
        <v>0.75</v>
      </c>
      <c r="G244" s="7">
        <f t="shared" si="1466"/>
        <v>0.07</v>
      </c>
      <c r="H244" s="7">
        <f t="shared" si="9"/>
        <v>1</v>
      </c>
      <c r="I244" s="7">
        <f t="shared" si="10"/>
        <v>65242</v>
      </c>
      <c r="J244" s="7">
        <f t="shared" si="11"/>
        <v>11482</v>
      </c>
      <c r="K244" s="7" t="str">
        <f t="shared" si="12"/>
        <v>G</v>
      </c>
      <c r="L244" s="7" t="str">
        <f t="shared" si="13"/>
        <v>Transformative change</v>
      </c>
      <c r="M244" s="7" t="str">
        <f t="shared" si="14"/>
        <v>Medium</v>
      </c>
      <c r="N244" s="7">
        <f t="shared" si="15"/>
        <v>3754969</v>
      </c>
      <c r="O244" s="7">
        <f t="shared" si="16"/>
        <v>658607.1353</v>
      </c>
      <c r="P244" s="7">
        <f t="shared" ref="P244:Q244" si="1467">RANDBETWEEN(0,22)</f>
        <v>0</v>
      </c>
      <c r="Q244" s="7">
        <f t="shared" si="1467"/>
        <v>10</v>
      </c>
      <c r="R244" s="7">
        <f t="shared" ref="R244:T244" si="1468">IF(S244=1,1,RANDBETWEEN(0,1))</f>
        <v>1</v>
      </c>
      <c r="S244" s="7">
        <f t="shared" si="1468"/>
        <v>1</v>
      </c>
      <c r="T244" s="7">
        <f t="shared" si="1468"/>
        <v>1</v>
      </c>
      <c r="U244" s="7">
        <f t="shared" si="19"/>
        <v>1</v>
      </c>
      <c r="V244" s="7">
        <f t="shared" ref="V244:X244" si="1469">IF(W244=1,1,RANDBETWEEN(0,1))</f>
        <v>1</v>
      </c>
      <c r="W244" s="7">
        <f t="shared" si="1469"/>
        <v>1</v>
      </c>
      <c r="X244" s="7">
        <f t="shared" si="1469"/>
        <v>0</v>
      </c>
      <c r="Y244" s="7">
        <f t="shared" si="21"/>
        <v>0</v>
      </c>
      <c r="Z244" s="7">
        <f t="shared" ref="Z244:AB244" si="1470">IF(AA244=1,1,RANDBETWEEN(0,1))</f>
        <v>1</v>
      </c>
      <c r="AA244" s="7">
        <f t="shared" si="1470"/>
        <v>1</v>
      </c>
      <c r="AB244" s="7">
        <f t="shared" si="1470"/>
        <v>1</v>
      </c>
      <c r="AC244" s="7">
        <f t="shared" si="23"/>
        <v>1</v>
      </c>
      <c r="AD244" s="7">
        <f t="shared" ref="AD244:AF244" si="1471">IF(AE244=1,1,RANDBETWEEN(0,1))</f>
        <v>1</v>
      </c>
      <c r="AE244" s="7">
        <f t="shared" si="1471"/>
        <v>1</v>
      </c>
      <c r="AF244" s="7">
        <f t="shared" si="1471"/>
        <v>1</v>
      </c>
      <c r="AG244" s="7">
        <f t="shared" si="25"/>
        <v>0</v>
      </c>
    </row>
    <row r="245">
      <c r="A245" s="4" t="s">
        <v>709</v>
      </c>
      <c r="B245" s="4" t="s">
        <v>710</v>
      </c>
      <c r="C245" s="4" t="s">
        <v>711</v>
      </c>
      <c r="D245" s="5">
        <v>15013.0</v>
      </c>
      <c r="E245" s="6">
        <f t="shared" si="7"/>
        <v>914</v>
      </c>
      <c r="F245" s="7">
        <f t="shared" ref="F245:G245" si="1472">ROUND(RAND(),2)</f>
        <v>0.03</v>
      </c>
      <c r="G245" s="7">
        <f t="shared" si="1472"/>
        <v>0.05</v>
      </c>
      <c r="H245" s="7">
        <f t="shared" si="9"/>
        <v>1</v>
      </c>
      <c r="I245" s="7">
        <f t="shared" si="10"/>
        <v>29832</v>
      </c>
      <c r="J245" s="7">
        <f t="shared" si="11"/>
        <v>6729</v>
      </c>
      <c r="K245" s="7" t="str">
        <f t="shared" si="12"/>
        <v>F</v>
      </c>
      <c r="L245" s="7" t="str">
        <f t="shared" si="13"/>
        <v>Transformative change</v>
      </c>
      <c r="M245" s="7" t="str">
        <f t="shared" si="14"/>
        <v>Low</v>
      </c>
      <c r="N245" s="7">
        <f t="shared" si="15"/>
        <v>3905663</v>
      </c>
      <c r="O245" s="7">
        <f t="shared" si="16"/>
        <v>419311.7337</v>
      </c>
      <c r="P245" s="7">
        <f t="shared" ref="P245:Q245" si="1473">RANDBETWEEN(0,22)</f>
        <v>0</v>
      </c>
      <c r="Q245" s="7">
        <f t="shared" si="1473"/>
        <v>22</v>
      </c>
      <c r="R245" s="7">
        <f t="shared" ref="R245:T245" si="1474">IF(S245=1,1,RANDBETWEEN(0,1))</f>
        <v>1</v>
      </c>
      <c r="S245" s="7">
        <f t="shared" si="1474"/>
        <v>1</v>
      </c>
      <c r="T245" s="7">
        <f t="shared" si="1474"/>
        <v>1</v>
      </c>
      <c r="U245" s="7">
        <f t="shared" si="19"/>
        <v>1</v>
      </c>
      <c r="V245" s="7">
        <f t="shared" ref="V245:X245" si="1475">IF(W245=1,1,RANDBETWEEN(0,1))</f>
        <v>0</v>
      </c>
      <c r="W245" s="7">
        <f t="shared" si="1475"/>
        <v>0</v>
      </c>
      <c r="X245" s="7">
        <f t="shared" si="1475"/>
        <v>0</v>
      </c>
      <c r="Y245" s="7">
        <f t="shared" si="21"/>
        <v>0</v>
      </c>
      <c r="Z245" s="7">
        <f t="shared" ref="Z245:AB245" si="1476">IF(AA245=1,1,RANDBETWEEN(0,1))</f>
        <v>1</v>
      </c>
      <c r="AA245" s="7">
        <f t="shared" si="1476"/>
        <v>1</v>
      </c>
      <c r="AB245" s="7">
        <f t="shared" si="1476"/>
        <v>1</v>
      </c>
      <c r="AC245" s="7">
        <f t="shared" si="23"/>
        <v>0</v>
      </c>
      <c r="AD245" s="7">
        <f t="shared" ref="AD245:AF245" si="1477">IF(AE245=1,1,RANDBETWEEN(0,1))</f>
        <v>1</v>
      </c>
      <c r="AE245" s="7">
        <f t="shared" si="1477"/>
        <v>1</v>
      </c>
      <c r="AF245" s="7">
        <f t="shared" si="1477"/>
        <v>0</v>
      </c>
      <c r="AG245" s="7">
        <f t="shared" si="25"/>
        <v>0</v>
      </c>
    </row>
    <row r="246">
      <c r="A246" s="4" t="s">
        <v>712</v>
      </c>
      <c r="B246" s="4" t="s">
        <v>713</v>
      </c>
      <c r="C246" s="4" t="s">
        <v>95</v>
      </c>
      <c r="D246" s="5">
        <v>5535.0</v>
      </c>
      <c r="E246" s="6">
        <f t="shared" si="7"/>
        <v>1077</v>
      </c>
      <c r="F246" s="7">
        <f t="shared" ref="F246:G246" si="1478">ROUND(RAND(),2)</f>
        <v>0.08</v>
      </c>
      <c r="G246" s="7">
        <f t="shared" si="1478"/>
        <v>0.47</v>
      </c>
      <c r="H246" s="7">
        <f t="shared" si="9"/>
        <v>2</v>
      </c>
      <c r="I246" s="7">
        <f t="shared" si="10"/>
        <v>29259</v>
      </c>
      <c r="J246" s="7">
        <f t="shared" si="11"/>
        <v>10677</v>
      </c>
      <c r="K246" s="7" t="str">
        <f t="shared" si="12"/>
        <v>A</v>
      </c>
      <c r="L246" s="7" t="str">
        <f t="shared" si="13"/>
        <v>Transformative change</v>
      </c>
      <c r="M246" s="7" t="str">
        <f t="shared" si="14"/>
        <v>Low</v>
      </c>
      <c r="N246" s="7">
        <f t="shared" si="15"/>
        <v>2026505</v>
      </c>
      <c r="O246" s="7">
        <f t="shared" si="16"/>
        <v>487580.0274</v>
      </c>
      <c r="P246" s="7">
        <f t="shared" ref="P246:Q246" si="1479">RANDBETWEEN(0,22)</f>
        <v>21</v>
      </c>
      <c r="Q246" s="7">
        <f t="shared" si="1479"/>
        <v>17</v>
      </c>
      <c r="R246" s="7">
        <f t="shared" ref="R246:T246" si="1480">IF(S246=1,1,RANDBETWEEN(0,1))</f>
        <v>1</v>
      </c>
      <c r="S246" s="7">
        <f t="shared" si="1480"/>
        <v>1</v>
      </c>
      <c r="T246" s="7">
        <f t="shared" si="1480"/>
        <v>1</v>
      </c>
      <c r="U246" s="7">
        <f t="shared" si="19"/>
        <v>1</v>
      </c>
      <c r="V246" s="7">
        <f t="shared" ref="V246:X246" si="1481">IF(W246=1,1,RANDBETWEEN(0,1))</f>
        <v>1</v>
      </c>
      <c r="W246" s="7">
        <f t="shared" si="1481"/>
        <v>1</v>
      </c>
      <c r="X246" s="7">
        <f t="shared" si="1481"/>
        <v>1</v>
      </c>
      <c r="Y246" s="7">
        <f t="shared" si="21"/>
        <v>1</v>
      </c>
      <c r="Z246" s="7">
        <f t="shared" ref="Z246:AB246" si="1482">IF(AA246=1,1,RANDBETWEEN(0,1))</f>
        <v>1</v>
      </c>
      <c r="AA246" s="7">
        <f t="shared" si="1482"/>
        <v>1</v>
      </c>
      <c r="AB246" s="7">
        <f t="shared" si="1482"/>
        <v>1</v>
      </c>
      <c r="AC246" s="7">
        <f t="shared" si="23"/>
        <v>1</v>
      </c>
      <c r="AD246" s="7">
        <f t="shared" ref="AD246:AF246" si="1483">IF(AE246=1,1,RANDBETWEEN(0,1))</f>
        <v>1</v>
      </c>
      <c r="AE246" s="7">
        <f t="shared" si="1483"/>
        <v>1</v>
      </c>
      <c r="AF246" s="7">
        <f t="shared" si="1483"/>
        <v>1</v>
      </c>
      <c r="AG246" s="7">
        <f t="shared" si="25"/>
        <v>1</v>
      </c>
    </row>
    <row r="247">
      <c r="A247" s="4" t="s">
        <v>714</v>
      </c>
      <c r="B247" s="4" t="s">
        <v>715</v>
      </c>
      <c r="C247" s="4" t="s">
        <v>95</v>
      </c>
      <c r="D247" s="5">
        <v>9769.0</v>
      </c>
      <c r="E247" s="6">
        <f t="shared" si="7"/>
        <v>827</v>
      </c>
      <c r="F247" s="7">
        <f t="shared" ref="F247:G247" si="1484">ROUND(RAND(),2)</f>
        <v>0.82</v>
      </c>
      <c r="G247" s="7">
        <f t="shared" si="1484"/>
        <v>0.56</v>
      </c>
      <c r="H247" s="7">
        <f t="shared" si="9"/>
        <v>1</v>
      </c>
      <c r="I247" s="7">
        <f t="shared" si="10"/>
        <v>43615</v>
      </c>
      <c r="J247" s="7">
        <f t="shared" si="11"/>
        <v>7869</v>
      </c>
      <c r="K247" s="7" t="str">
        <f t="shared" si="12"/>
        <v>B</v>
      </c>
      <c r="L247" s="7" t="str">
        <f t="shared" si="13"/>
        <v>Transformative change</v>
      </c>
      <c r="M247" s="7" t="str">
        <f t="shared" si="14"/>
        <v>Medium</v>
      </c>
      <c r="N247" s="7">
        <f t="shared" si="15"/>
        <v>3818391</v>
      </c>
      <c r="O247" s="7">
        <f t="shared" si="16"/>
        <v>531659.8131</v>
      </c>
      <c r="P247" s="7">
        <f t="shared" ref="P247:Q247" si="1485">RANDBETWEEN(0,22)</f>
        <v>9</v>
      </c>
      <c r="Q247" s="7">
        <f t="shared" si="1485"/>
        <v>6</v>
      </c>
      <c r="R247" s="7">
        <f t="shared" ref="R247:T247" si="1486">IF(S247=1,1,RANDBETWEEN(0,1))</f>
        <v>1</v>
      </c>
      <c r="S247" s="7">
        <f t="shared" si="1486"/>
        <v>1</v>
      </c>
      <c r="T247" s="7">
        <f t="shared" si="1486"/>
        <v>1</v>
      </c>
      <c r="U247" s="7">
        <f t="shared" si="19"/>
        <v>0</v>
      </c>
      <c r="V247" s="7">
        <f t="shared" ref="V247:X247" si="1487">IF(W247=1,1,RANDBETWEEN(0,1))</f>
        <v>1</v>
      </c>
      <c r="W247" s="7">
        <f t="shared" si="1487"/>
        <v>1</v>
      </c>
      <c r="X247" s="7">
        <f t="shared" si="1487"/>
        <v>1</v>
      </c>
      <c r="Y247" s="7">
        <f t="shared" si="21"/>
        <v>1</v>
      </c>
      <c r="Z247" s="7">
        <f t="shared" ref="Z247:AB247" si="1488">IF(AA247=1,1,RANDBETWEEN(0,1))</f>
        <v>1</v>
      </c>
      <c r="AA247" s="7">
        <f t="shared" si="1488"/>
        <v>1</v>
      </c>
      <c r="AB247" s="7">
        <f t="shared" si="1488"/>
        <v>1</v>
      </c>
      <c r="AC247" s="7">
        <f t="shared" si="23"/>
        <v>0</v>
      </c>
      <c r="AD247" s="7">
        <f t="shared" ref="AD247:AF247" si="1489">IF(AE247=1,1,RANDBETWEEN(0,1))</f>
        <v>1</v>
      </c>
      <c r="AE247" s="7">
        <f t="shared" si="1489"/>
        <v>1</v>
      </c>
      <c r="AF247" s="7">
        <f t="shared" si="1489"/>
        <v>0</v>
      </c>
      <c r="AG247" s="7">
        <f t="shared" si="25"/>
        <v>0</v>
      </c>
    </row>
    <row r="248">
      <c r="A248" s="4" t="s">
        <v>716</v>
      </c>
      <c r="B248" s="4" t="s">
        <v>717</v>
      </c>
      <c r="C248" s="4" t="s">
        <v>718</v>
      </c>
      <c r="D248" s="5">
        <v>13041.0</v>
      </c>
      <c r="E248" s="6">
        <f t="shared" si="7"/>
        <v>1015</v>
      </c>
      <c r="F248" s="7">
        <f t="shared" ref="F248:G248" si="1490">ROUND(RAND(),2)</f>
        <v>0.86</v>
      </c>
      <c r="G248" s="7">
        <f t="shared" si="1490"/>
        <v>0.63</v>
      </c>
      <c r="H248" s="7">
        <f t="shared" si="9"/>
        <v>2</v>
      </c>
      <c r="I248" s="7">
        <f t="shared" si="10"/>
        <v>66967</v>
      </c>
      <c r="J248" s="7">
        <f t="shared" si="11"/>
        <v>10109</v>
      </c>
      <c r="K248" s="7" t="str">
        <f t="shared" si="12"/>
        <v>E</v>
      </c>
      <c r="L248" s="7" t="str">
        <f t="shared" si="13"/>
        <v>Transformative change</v>
      </c>
      <c r="M248" s="7" t="str">
        <f t="shared" si="14"/>
        <v>Low</v>
      </c>
      <c r="N248" s="7">
        <f t="shared" si="15"/>
        <v>2750253</v>
      </c>
      <c r="O248" s="7">
        <f t="shared" si="16"/>
        <v>1002640.734</v>
      </c>
      <c r="P248" s="7">
        <f t="shared" ref="P248:Q248" si="1491">RANDBETWEEN(0,22)</f>
        <v>5</v>
      </c>
      <c r="Q248" s="7">
        <f t="shared" si="1491"/>
        <v>9</v>
      </c>
      <c r="R248" s="7">
        <f t="shared" ref="R248:T248" si="1492">IF(S248=1,1,RANDBETWEEN(0,1))</f>
        <v>0</v>
      </c>
      <c r="S248" s="7">
        <f t="shared" si="1492"/>
        <v>0</v>
      </c>
      <c r="T248" s="7">
        <f t="shared" si="1492"/>
        <v>0</v>
      </c>
      <c r="U248" s="7">
        <f t="shared" si="19"/>
        <v>0</v>
      </c>
      <c r="V248" s="7">
        <f t="shared" ref="V248:X248" si="1493">IF(W248=1,1,RANDBETWEEN(0,1))</f>
        <v>1</v>
      </c>
      <c r="W248" s="7">
        <f t="shared" si="1493"/>
        <v>1</v>
      </c>
      <c r="X248" s="7">
        <f t="shared" si="1493"/>
        <v>0</v>
      </c>
      <c r="Y248" s="7">
        <f t="shared" si="21"/>
        <v>0</v>
      </c>
      <c r="Z248" s="7">
        <f t="shared" ref="Z248:AB248" si="1494">IF(AA248=1,1,RANDBETWEEN(0,1))</f>
        <v>1</v>
      </c>
      <c r="AA248" s="7">
        <f t="shared" si="1494"/>
        <v>1</v>
      </c>
      <c r="AB248" s="7">
        <f t="shared" si="1494"/>
        <v>1</v>
      </c>
      <c r="AC248" s="7">
        <f t="shared" si="23"/>
        <v>0</v>
      </c>
      <c r="AD248" s="7">
        <f t="shared" ref="AD248:AF248" si="1495">IF(AE248=1,1,RANDBETWEEN(0,1))</f>
        <v>1</v>
      </c>
      <c r="AE248" s="7">
        <f t="shared" si="1495"/>
        <v>1</v>
      </c>
      <c r="AF248" s="7">
        <f t="shared" si="1495"/>
        <v>1</v>
      </c>
      <c r="AG248" s="7">
        <f t="shared" si="25"/>
        <v>0</v>
      </c>
    </row>
    <row r="249">
      <c r="A249" s="4" t="s">
        <v>719</v>
      </c>
      <c r="B249" s="4" t="s">
        <v>720</v>
      </c>
      <c r="C249" s="4" t="s">
        <v>95</v>
      </c>
      <c r="D249" s="5">
        <v>9418.0</v>
      </c>
      <c r="E249" s="6">
        <f t="shared" si="7"/>
        <v>955</v>
      </c>
      <c r="F249" s="7">
        <f t="shared" ref="F249:G249" si="1496">ROUND(RAND(),2)</f>
        <v>0.32</v>
      </c>
      <c r="G249" s="7">
        <f t="shared" si="1496"/>
        <v>0.6</v>
      </c>
      <c r="H249" s="7">
        <f t="shared" si="9"/>
        <v>4</v>
      </c>
      <c r="I249" s="7">
        <f t="shared" si="10"/>
        <v>22844</v>
      </c>
      <c r="J249" s="7">
        <f t="shared" si="11"/>
        <v>27693</v>
      </c>
      <c r="K249" s="7" t="str">
        <f t="shared" si="12"/>
        <v>D</v>
      </c>
      <c r="L249" s="7" t="str">
        <f t="shared" si="13"/>
        <v>Transformative change</v>
      </c>
      <c r="M249" s="7" t="str">
        <f t="shared" si="14"/>
        <v>Low</v>
      </c>
      <c r="N249" s="7">
        <f t="shared" si="15"/>
        <v>2678126</v>
      </c>
      <c r="O249" s="7">
        <f t="shared" si="16"/>
        <v>2098992.978</v>
      </c>
      <c r="P249" s="7">
        <f t="shared" ref="P249:Q249" si="1497">RANDBETWEEN(0,22)</f>
        <v>0</v>
      </c>
      <c r="Q249" s="7">
        <f t="shared" si="1497"/>
        <v>12</v>
      </c>
      <c r="R249" s="7">
        <f t="shared" ref="R249:T249" si="1498">IF(S249=1,1,RANDBETWEEN(0,1))</f>
        <v>1</v>
      </c>
      <c r="S249" s="7">
        <f t="shared" si="1498"/>
        <v>1</v>
      </c>
      <c r="T249" s="7">
        <f t="shared" si="1498"/>
        <v>1</v>
      </c>
      <c r="U249" s="7">
        <f t="shared" si="19"/>
        <v>1</v>
      </c>
      <c r="V249" s="7">
        <f t="shared" ref="V249:X249" si="1499">IF(W249=1,1,RANDBETWEEN(0,1))</f>
        <v>1</v>
      </c>
      <c r="W249" s="7">
        <f t="shared" si="1499"/>
        <v>1</v>
      </c>
      <c r="X249" s="7">
        <f t="shared" si="1499"/>
        <v>1</v>
      </c>
      <c r="Y249" s="7">
        <f t="shared" si="21"/>
        <v>0</v>
      </c>
      <c r="Z249" s="7">
        <f t="shared" ref="Z249:AB249" si="1500">IF(AA249=1,1,RANDBETWEEN(0,1))</f>
        <v>1</v>
      </c>
      <c r="AA249" s="7">
        <f t="shared" si="1500"/>
        <v>1</v>
      </c>
      <c r="AB249" s="7">
        <f t="shared" si="1500"/>
        <v>1</v>
      </c>
      <c r="AC249" s="7">
        <f t="shared" si="23"/>
        <v>1</v>
      </c>
      <c r="AD249" s="7">
        <f t="shared" ref="AD249:AF249" si="1501">IF(AE249=1,1,RANDBETWEEN(0,1))</f>
        <v>1</v>
      </c>
      <c r="AE249" s="7">
        <f t="shared" si="1501"/>
        <v>1</v>
      </c>
      <c r="AF249" s="7">
        <f t="shared" si="1501"/>
        <v>1</v>
      </c>
      <c r="AG249" s="7">
        <f t="shared" si="25"/>
        <v>1</v>
      </c>
    </row>
    <row r="250">
      <c r="A250" s="4" t="s">
        <v>721</v>
      </c>
      <c r="B250" s="4" t="s">
        <v>722</v>
      </c>
      <c r="C250" s="4" t="s">
        <v>723</v>
      </c>
      <c r="D250" s="5">
        <v>11128.0</v>
      </c>
      <c r="E250" s="6">
        <f t="shared" si="7"/>
        <v>885</v>
      </c>
      <c r="F250" s="7">
        <f t="shared" ref="F250:G250" si="1502">ROUND(RAND(),2)</f>
        <v>0.27</v>
      </c>
      <c r="G250" s="7">
        <f t="shared" si="1502"/>
        <v>0.1</v>
      </c>
      <c r="H250" s="7">
        <f t="shared" si="9"/>
        <v>1</v>
      </c>
      <c r="I250" s="7">
        <f t="shared" si="10"/>
        <v>78613</v>
      </c>
      <c r="J250" s="7">
        <f t="shared" si="11"/>
        <v>72968</v>
      </c>
      <c r="K250" s="7" t="str">
        <f t="shared" si="12"/>
        <v>G</v>
      </c>
      <c r="L250" s="7" t="str">
        <f t="shared" si="13"/>
        <v>Transformative change</v>
      </c>
      <c r="M250" s="7" t="str">
        <f t="shared" si="14"/>
        <v>Low</v>
      </c>
      <c r="N250" s="7">
        <f t="shared" si="15"/>
        <v>1142681</v>
      </c>
      <c r="O250" s="7">
        <f t="shared" si="16"/>
        <v>280872.3144</v>
      </c>
      <c r="P250" s="7">
        <f t="shared" ref="P250:Q250" si="1503">RANDBETWEEN(0,22)</f>
        <v>11</v>
      </c>
      <c r="Q250" s="7">
        <f t="shared" si="1503"/>
        <v>20</v>
      </c>
      <c r="R250" s="7">
        <f t="shared" ref="R250:T250" si="1504">IF(S250=1,1,RANDBETWEEN(0,1))</f>
        <v>1</v>
      </c>
      <c r="S250" s="7">
        <f t="shared" si="1504"/>
        <v>1</v>
      </c>
      <c r="T250" s="7">
        <f t="shared" si="1504"/>
        <v>0</v>
      </c>
      <c r="U250" s="7">
        <f t="shared" si="19"/>
        <v>0</v>
      </c>
      <c r="V250" s="7">
        <f t="shared" ref="V250:X250" si="1505">IF(W250=1,1,RANDBETWEEN(0,1))</f>
        <v>1</v>
      </c>
      <c r="W250" s="7">
        <f t="shared" si="1505"/>
        <v>1</v>
      </c>
      <c r="X250" s="7">
        <f t="shared" si="1505"/>
        <v>1</v>
      </c>
      <c r="Y250" s="7">
        <f t="shared" si="21"/>
        <v>0</v>
      </c>
      <c r="Z250" s="7">
        <f t="shared" ref="Z250:AB250" si="1506">IF(AA250=1,1,RANDBETWEEN(0,1))</f>
        <v>1</v>
      </c>
      <c r="AA250" s="7">
        <f t="shared" si="1506"/>
        <v>1</v>
      </c>
      <c r="AB250" s="7">
        <f t="shared" si="1506"/>
        <v>1</v>
      </c>
      <c r="AC250" s="7">
        <f t="shared" si="23"/>
        <v>1</v>
      </c>
      <c r="AD250" s="7">
        <f t="shared" ref="AD250:AF250" si="1507">IF(AE250=1,1,RANDBETWEEN(0,1))</f>
        <v>1</v>
      </c>
      <c r="AE250" s="7">
        <f t="shared" si="1507"/>
        <v>1</v>
      </c>
      <c r="AF250" s="7">
        <f t="shared" si="1507"/>
        <v>1</v>
      </c>
      <c r="AG250" s="7">
        <f t="shared" si="25"/>
        <v>1</v>
      </c>
    </row>
    <row r="251">
      <c r="A251" s="4" t="s">
        <v>724</v>
      </c>
      <c r="B251" s="4" t="s">
        <v>725</v>
      </c>
      <c r="C251" s="4" t="s">
        <v>95</v>
      </c>
      <c r="D251" s="5">
        <v>12667.0</v>
      </c>
      <c r="E251" s="6">
        <f t="shared" si="7"/>
        <v>981</v>
      </c>
      <c r="F251" s="7">
        <f t="shared" ref="F251:G251" si="1508">ROUND(RAND(),2)</f>
        <v>0.63</v>
      </c>
      <c r="G251" s="7">
        <f t="shared" si="1508"/>
        <v>0.51</v>
      </c>
      <c r="H251" s="7">
        <f t="shared" si="9"/>
        <v>5</v>
      </c>
      <c r="I251" s="7">
        <f t="shared" si="10"/>
        <v>73274</v>
      </c>
      <c r="J251" s="7">
        <f t="shared" si="11"/>
        <v>12</v>
      </c>
      <c r="K251" s="7" t="str">
        <f t="shared" si="12"/>
        <v>D</v>
      </c>
      <c r="L251" s="7" t="str">
        <f t="shared" si="13"/>
        <v>Transformative change</v>
      </c>
      <c r="M251" s="7" t="str">
        <f t="shared" si="14"/>
        <v>Medium</v>
      </c>
      <c r="N251" s="7">
        <f t="shared" si="15"/>
        <v>2171693</v>
      </c>
      <c r="O251" s="7">
        <f t="shared" si="16"/>
        <v>143362.3027</v>
      </c>
      <c r="P251" s="7">
        <f t="shared" ref="P251:Q251" si="1509">RANDBETWEEN(0,22)</f>
        <v>15</v>
      </c>
      <c r="Q251" s="7">
        <f t="shared" si="1509"/>
        <v>8</v>
      </c>
      <c r="R251" s="7">
        <f t="shared" ref="R251:T251" si="1510">IF(S251=1,1,RANDBETWEEN(0,1))</f>
        <v>0</v>
      </c>
      <c r="S251" s="7">
        <f t="shared" si="1510"/>
        <v>0</v>
      </c>
      <c r="T251" s="7">
        <f t="shared" si="1510"/>
        <v>0</v>
      </c>
      <c r="U251" s="7">
        <f t="shared" si="19"/>
        <v>0</v>
      </c>
      <c r="V251" s="7">
        <f t="shared" ref="V251:X251" si="1511">IF(W251=1,1,RANDBETWEEN(0,1))</f>
        <v>1</v>
      </c>
      <c r="W251" s="7">
        <f t="shared" si="1511"/>
        <v>1</v>
      </c>
      <c r="X251" s="7">
        <f t="shared" si="1511"/>
        <v>1</v>
      </c>
      <c r="Y251" s="7">
        <f t="shared" si="21"/>
        <v>0</v>
      </c>
      <c r="Z251" s="7">
        <f t="shared" ref="Z251:AB251" si="1512">IF(AA251=1,1,RANDBETWEEN(0,1))</f>
        <v>1</v>
      </c>
      <c r="AA251" s="7">
        <f t="shared" si="1512"/>
        <v>1</v>
      </c>
      <c r="AB251" s="7">
        <f t="shared" si="1512"/>
        <v>1</v>
      </c>
      <c r="AC251" s="7">
        <f t="shared" si="23"/>
        <v>1</v>
      </c>
      <c r="AD251" s="7">
        <f t="shared" ref="AD251:AF251" si="1513">IF(AE251=1,1,RANDBETWEEN(0,1))</f>
        <v>1</v>
      </c>
      <c r="AE251" s="7">
        <f t="shared" si="1513"/>
        <v>1</v>
      </c>
      <c r="AF251" s="7">
        <f t="shared" si="1513"/>
        <v>1</v>
      </c>
      <c r="AG251" s="7">
        <f t="shared" si="25"/>
        <v>1</v>
      </c>
    </row>
    <row r="252">
      <c r="A252" s="4" t="s">
        <v>726</v>
      </c>
      <c r="B252" s="4" t="s">
        <v>727</v>
      </c>
      <c r="C252" s="4" t="s">
        <v>95</v>
      </c>
      <c r="D252" s="5">
        <v>145699.0</v>
      </c>
      <c r="E252" s="6">
        <f t="shared" si="7"/>
        <v>929</v>
      </c>
      <c r="F252" s="7">
        <f t="shared" ref="F252:G252" si="1514">ROUND(RAND(),2)</f>
        <v>0.9</v>
      </c>
      <c r="G252" s="7">
        <f t="shared" si="1514"/>
        <v>0.27</v>
      </c>
      <c r="H252" s="7">
        <f t="shared" si="9"/>
        <v>2</v>
      </c>
      <c r="I252" s="7">
        <f t="shared" si="10"/>
        <v>62523</v>
      </c>
      <c r="J252" s="7">
        <f t="shared" si="11"/>
        <v>34613</v>
      </c>
      <c r="K252" s="7" t="str">
        <f t="shared" si="12"/>
        <v>F</v>
      </c>
      <c r="L252" s="7" t="str">
        <f t="shared" si="13"/>
        <v>High ambition</v>
      </c>
      <c r="M252" s="7" t="str">
        <f t="shared" si="14"/>
        <v>Medium</v>
      </c>
      <c r="N252" s="7">
        <f t="shared" si="15"/>
        <v>1679376</v>
      </c>
      <c r="O252" s="7">
        <f t="shared" si="16"/>
        <v>661732.2007</v>
      </c>
      <c r="P252" s="7">
        <f t="shared" ref="P252:Q252" si="1515">RANDBETWEEN(0,22)</f>
        <v>16</v>
      </c>
      <c r="Q252" s="7">
        <f t="shared" si="1515"/>
        <v>12</v>
      </c>
      <c r="R252" s="7">
        <f t="shared" ref="R252:T252" si="1516">IF(S252=1,1,RANDBETWEEN(0,1))</f>
        <v>1</v>
      </c>
      <c r="S252" s="7">
        <f t="shared" si="1516"/>
        <v>1</v>
      </c>
      <c r="T252" s="7">
        <f t="shared" si="1516"/>
        <v>1</v>
      </c>
      <c r="U252" s="7">
        <f t="shared" si="19"/>
        <v>1</v>
      </c>
      <c r="V252" s="7">
        <f t="shared" ref="V252:X252" si="1517">IF(W252=1,1,RANDBETWEEN(0,1))</f>
        <v>1</v>
      </c>
      <c r="W252" s="7">
        <f t="shared" si="1517"/>
        <v>1</v>
      </c>
      <c r="X252" s="7">
        <f t="shared" si="1517"/>
        <v>1</v>
      </c>
      <c r="Y252" s="7">
        <f t="shared" si="21"/>
        <v>1</v>
      </c>
      <c r="Z252" s="7">
        <f t="shared" ref="Z252:AB252" si="1518">IF(AA252=1,1,RANDBETWEEN(0,1))</f>
        <v>1</v>
      </c>
      <c r="AA252" s="7">
        <f t="shared" si="1518"/>
        <v>1</v>
      </c>
      <c r="AB252" s="7">
        <f t="shared" si="1518"/>
        <v>1</v>
      </c>
      <c r="AC252" s="7">
        <f t="shared" si="23"/>
        <v>0</v>
      </c>
      <c r="AD252" s="7">
        <f t="shared" ref="AD252:AF252" si="1519">IF(AE252=1,1,RANDBETWEEN(0,1))</f>
        <v>1</v>
      </c>
      <c r="AE252" s="7">
        <f t="shared" si="1519"/>
        <v>1</v>
      </c>
      <c r="AF252" s="7">
        <f t="shared" si="1519"/>
        <v>0</v>
      </c>
      <c r="AG252" s="7">
        <f t="shared" si="25"/>
        <v>0</v>
      </c>
    </row>
    <row r="253">
      <c r="A253" s="4" t="s">
        <v>728</v>
      </c>
      <c r="B253" s="4" t="s">
        <v>729</v>
      </c>
      <c r="C253" s="4" t="s">
        <v>730</v>
      </c>
      <c r="D253" s="5">
        <v>12684.0</v>
      </c>
      <c r="E253" s="6">
        <f t="shared" si="7"/>
        <v>1031</v>
      </c>
      <c r="F253" s="7">
        <f t="shared" ref="F253:G253" si="1520">ROUND(RAND(),2)</f>
        <v>0.38</v>
      </c>
      <c r="G253" s="7">
        <f t="shared" si="1520"/>
        <v>0.9</v>
      </c>
      <c r="H253" s="7">
        <f t="shared" si="9"/>
        <v>4</v>
      </c>
      <c r="I253" s="7">
        <f t="shared" si="10"/>
        <v>22186</v>
      </c>
      <c r="J253" s="7">
        <f t="shared" si="11"/>
        <v>14866</v>
      </c>
      <c r="K253" s="7" t="str">
        <f t="shared" si="12"/>
        <v>E</v>
      </c>
      <c r="L253" s="7" t="str">
        <f t="shared" si="13"/>
        <v>Transformative change</v>
      </c>
      <c r="M253" s="7" t="str">
        <f t="shared" si="14"/>
        <v>Low</v>
      </c>
      <c r="N253" s="7">
        <f t="shared" si="15"/>
        <v>2841724</v>
      </c>
      <c r="O253" s="7">
        <f t="shared" si="16"/>
        <v>1964577.428</v>
      </c>
      <c r="P253" s="7">
        <f t="shared" ref="P253:Q253" si="1521">RANDBETWEEN(0,22)</f>
        <v>6</v>
      </c>
      <c r="Q253" s="7">
        <f t="shared" si="1521"/>
        <v>22</v>
      </c>
      <c r="R253" s="7">
        <f t="shared" ref="R253:T253" si="1522">IF(S253=1,1,RANDBETWEEN(0,1))</f>
        <v>1</v>
      </c>
      <c r="S253" s="7">
        <f t="shared" si="1522"/>
        <v>1</v>
      </c>
      <c r="T253" s="7">
        <f t="shared" si="1522"/>
        <v>0</v>
      </c>
      <c r="U253" s="7">
        <f t="shared" si="19"/>
        <v>0</v>
      </c>
      <c r="V253" s="7">
        <f t="shared" ref="V253:X253" si="1523">IF(W253=1,1,RANDBETWEEN(0,1))</f>
        <v>1</v>
      </c>
      <c r="W253" s="7">
        <f t="shared" si="1523"/>
        <v>1</v>
      </c>
      <c r="X253" s="7">
        <f t="shared" si="1523"/>
        <v>1</v>
      </c>
      <c r="Y253" s="7">
        <f t="shared" si="21"/>
        <v>1</v>
      </c>
      <c r="Z253" s="7">
        <f t="shared" ref="Z253:AB253" si="1524">IF(AA253=1,1,RANDBETWEEN(0,1))</f>
        <v>1</v>
      </c>
      <c r="AA253" s="7">
        <f t="shared" si="1524"/>
        <v>1</v>
      </c>
      <c r="AB253" s="7">
        <f t="shared" si="1524"/>
        <v>1</v>
      </c>
      <c r="AC253" s="7">
        <f t="shared" si="23"/>
        <v>1</v>
      </c>
      <c r="AD253" s="7">
        <f t="shared" ref="AD253:AF253" si="1525">IF(AE253=1,1,RANDBETWEEN(0,1))</f>
        <v>1</v>
      </c>
      <c r="AE253" s="7">
        <f t="shared" si="1525"/>
        <v>1</v>
      </c>
      <c r="AF253" s="7">
        <f t="shared" si="1525"/>
        <v>1</v>
      </c>
      <c r="AG253" s="7">
        <f t="shared" si="25"/>
        <v>1</v>
      </c>
    </row>
    <row r="254">
      <c r="A254" s="4" t="s">
        <v>731</v>
      </c>
      <c r="B254" s="4" t="s">
        <v>732</v>
      </c>
      <c r="C254" s="4" t="s">
        <v>733</v>
      </c>
      <c r="D254" s="5">
        <v>11734.0</v>
      </c>
      <c r="E254" s="6">
        <f t="shared" si="7"/>
        <v>997</v>
      </c>
      <c r="F254" s="7">
        <f t="shared" ref="F254:G254" si="1526">ROUND(RAND(),2)</f>
        <v>0.33</v>
      </c>
      <c r="G254" s="7">
        <f t="shared" si="1526"/>
        <v>0.12</v>
      </c>
      <c r="H254" s="7">
        <f t="shared" si="9"/>
        <v>2</v>
      </c>
      <c r="I254" s="7">
        <f t="shared" si="10"/>
        <v>72256</v>
      </c>
      <c r="J254" s="7">
        <f t="shared" si="11"/>
        <v>4913</v>
      </c>
      <c r="K254" s="7" t="str">
        <f t="shared" si="12"/>
        <v>E</v>
      </c>
      <c r="L254" s="7" t="str">
        <f t="shared" si="13"/>
        <v>Transformative change</v>
      </c>
      <c r="M254" s="7" t="str">
        <f t="shared" si="14"/>
        <v>Medium</v>
      </c>
      <c r="N254" s="7">
        <f t="shared" si="15"/>
        <v>3073718</v>
      </c>
      <c r="O254" s="7">
        <f t="shared" si="16"/>
        <v>2109104.703</v>
      </c>
      <c r="P254" s="7">
        <f t="shared" ref="P254:Q254" si="1527">RANDBETWEEN(0,22)</f>
        <v>16</v>
      </c>
      <c r="Q254" s="7">
        <f t="shared" si="1527"/>
        <v>15</v>
      </c>
      <c r="R254" s="7">
        <f t="shared" ref="R254:T254" si="1528">IF(S254=1,1,RANDBETWEEN(0,1))</f>
        <v>1</v>
      </c>
      <c r="S254" s="7">
        <f t="shared" si="1528"/>
        <v>1</v>
      </c>
      <c r="T254" s="7">
        <f t="shared" si="1528"/>
        <v>0</v>
      </c>
      <c r="U254" s="7">
        <f t="shared" si="19"/>
        <v>0</v>
      </c>
      <c r="V254" s="7">
        <f t="shared" ref="V254:X254" si="1529">IF(W254=1,1,RANDBETWEEN(0,1))</f>
        <v>1</v>
      </c>
      <c r="W254" s="7">
        <f t="shared" si="1529"/>
        <v>1</v>
      </c>
      <c r="X254" s="7">
        <f t="shared" si="1529"/>
        <v>1</v>
      </c>
      <c r="Y254" s="7">
        <f t="shared" si="21"/>
        <v>0</v>
      </c>
      <c r="Z254" s="7">
        <f t="shared" ref="Z254:AB254" si="1530">IF(AA254=1,1,RANDBETWEEN(0,1))</f>
        <v>1</v>
      </c>
      <c r="AA254" s="7">
        <f t="shared" si="1530"/>
        <v>1</v>
      </c>
      <c r="AB254" s="7">
        <f t="shared" si="1530"/>
        <v>1</v>
      </c>
      <c r="AC254" s="7">
        <f t="shared" si="23"/>
        <v>0</v>
      </c>
      <c r="AD254" s="7">
        <f t="shared" ref="AD254:AF254" si="1531">IF(AE254=1,1,RANDBETWEEN(0,1))</f>
        <v>1</v>
      </c>
      <c r="AE254" s="7">
        <f t="shared" si="1531"/>
        <v>1</v>
      </c>
      <c r="AF254" s="7">
        <f t="shared" si="1531"/>
        <v>1</v>
      </c>
      <c r="AG254" s="7">
        <f t="shared" si="25"/>
        <v>1</v>
      </c>
    </row>
    <row r="255">
      <c r="A255" s="4" t="s">
        <v>734</v>
      </c>
      <c r="B255" s="4" t="s">
        <v>735</v>
      </c>
      <c r="C255" s="4" t="s">
        <v>736</v>
      </c>
      <c r="D255" s="5">
        <v>18553.0</v>
      </c>
      <c r="E255" s="6">
        <f t="shared" si="7"/>
        <v>965</v>
      </c>
      <c r="F255" s="7">
        <f t="shared" ref="F255:G255" si="1532">ROUND(RAND(),2)</f>
        <v>0.44</v>
      </c>
      <c r="G255" s="7">
        <f t="shared" si="1532"/>
        <v>0.23</v>
      </c>
      <c r="H255" s="7">
        <f t="shared" si="9"/>
        <v>1</v>
      </c>
      <c r="I255" s="7">
        <f t="shared" si="10"/>
        <v>33047</v>
      </c>
      <c r="J255" s="7">
        <f t="shared" si="11"/>
        <v>16361</v>
      </c>
      <c r="K255" s="7" t="str">
        <f t="shared" si="12"/>
        <v>D</v>
      </c>
      <c r="L255" s="7" t="str">
        <f t="shared" si="13"/>
        <v>High ambition</v>
      </c>
      <c r="M255" s="7" t="str">
        <f t="shared" si="14"/>
        <v>Low</v>
      </c>
      <c r="N255" s="7">
        <f t="shared" si="15"/>
        <v>689694</v>
      </c>
      <c r="O255" s="7">
        <f t="shared" si="16"/>
        <v>256354.2256</v>
      </c>
      <c r="P255" s="7">
        <f t="shared" ref="P255:Q255" si="1533">RANDBETWEEN(0,22)</f>
        <v>1</v>
      </c>
      <c r="Q255" s="7">
        <f t="shared" si="1533"/>
        <v>17</v>
      </c>
      <c r="R255" s="7">
        <f t="shared" ref="R255:T255" si="1534">IF(S255=1,1,RANDBETWEEN(0,1))</f>
        <v>1</v>
      </c>
      <c r="S255" s="7">
        <f t="shared" si="1534"/>
        <v>1</v>
      </c>
      <c r="T255" s="7">
        <f t="shared" si="1534"/>
        <v>1</v>
      </c>
      <c r="U255" s="7">
        <f t="shared" si="19"/>
        <v>1</v>
      </c>
      <c r="V255" s="7">
        <f t="shared" ref="V255:X255" si="1535">IF(W255=1,1,RANDBETWEEN(0,1))</f>
        <v>1</v>
      </c>
      <c r="W255" s="7">
        <f t="shared" si="1535"/>
        <v>1</v>
      </c>
      <c r="X255" s="7">
        <f t="shared" si="1535"/>
        <v>1</v>
      </c>
      <c r="Y255" s="7">
        <f t="shared" si="21"/>
        <v>0</v>
      </c>
      <c r="Z255" s="7">
        <f t="shared" ref="Z255:AB255" si="1536">IF(AA255=1,1,RANDBETWEEN(0,1))</f>
        <v>1</v>
      </c>
      <c r="AA255" s="7">
        <f t="shared" si="1536"/>
        <v>1</v>
      </c>
      <c r="AB255" s="7">
        <f t="shared" si="1536"/>
        <v>1</v>
      </c>
      <c r="AC255" s="7">
        <f t="shared" si="23"/>
        <v>1</v>
      </c>
      <c r="AD255" s="7">
        <f t="shared" ref="AD255:AF255" si="1537">IF(AE255=1,1,RANDBETWEEN(0,1))</f>
        <v>1</v>
      </c>
      <c r="AE255" s="7">
        <f t="shared" si="1537"/>
        <v>1</v>
      </c>
      <c r="AF255" s="7">
        <f t="shared" si="1537"/>
        <v>1</v>
      </c>
      <c r="AG255" s="7">
        <f t="shared" si="25"/>
        <v>1</v>
      </c>
    </row>
    <row r="256">
      <c r="A256" s="4" t="s">
        <v>737</v>
      </c>
      <c r="B256" s="4" t="s">
        <v>738</v>
      </c>
      <c r="C256" s="4" t="s">
        <v>739</v>
      </c>
      <c r="D256" s="5">
        <v>13627.0</v>
      </c>
      <c r="E256" s="6">
        <f t="shared" si="7"/>
        <v>1076</v>
      </c>
      <c r="F256" s="7">
        <f t="shared" ref="F256:G256" si="1538">ROUND(RAND(),2)</f>
        <v>0.85</v>
      </c>
      <c r="G256" s="7">
        <f t="shared" si="1538"/>
        <v>0.42</v>
      </c>
      <c r="H256" s="7">
        <f t="shared" si="9"/>
        <v>1</v>
      </c>
      <c r="I256" s="7">
        <f t="shared" si="10"/>
        <v>13332</v>
      </c>
      <c r="J256" s="7">
        <f t="shared" si="11"/>
        <v>27067</v>
      </c>
      <c r="K256" s="7" t="str">
        <f t="shared" si="12"/>
        <v>B</v>
      </c>
      <c r="L256" s="7" t="str">
        <f t="shared" si="13"/>
        <v>Transformative change</v>
      </c>
      <c r="M256" s="7" t="str">
        <f t="shared" si="14"/>
        <v>High</v>
      </c>
      <c r="N256" s="7">
        <f t="shared" si="15"/>
        <v>930349</v>
      </c>
      <c r="O256" s="7">
        <f t="shared" si="16"/>
        <v>704117.9165</v>
      </c>
      <c r="P256" s="7">
        <f t="shared" ref="P256:Q256" si="1539">RANDBETWEEN(0,22)</f>
        <v>5</v>
      </c>
      <c r="Q256" s="7">
        <f t="shared" si="1539"/>
        <v>3</v>
      </c>
      <c r="R256" s="7">
        <f t="shared" ref="R256:T256" si="1540">IF(S256=1,1,RANDBETWEEN(0,1))</f>
        <v>1</v>
      </c>
      <c r="S256" s="7">
        <f t="shared" si="1540"/>
        <v>1</v>
      </c>
      <c r="T256" s="7">
        <f t="shared" si="1540"/>
        <v>1</v>
      </c>
      <c r="U256" s="7">
        <f t="shared" si="19"/>
        <v>0</v>
      </c>
      <c r="V256" s="7">
        <f t="shared" ref="V256:X256" si="1541">IF(W256=1,1,RANDBETWEEN(0,1))</f>
        <v>1</v>
      </c>
      <c r="W256" s="7">
        <f t="shared" si="1541"/>
        <v>1</v>
      </c>
      <c r="X256" s="7">
        <f t="shared" si="1541"/>
        <v>1</v>
      </c>
      <c r="Y256" s="7">
        <f t="shared" si="21"/>
        <v>0</v>
      </c>
      <c r="Z256" s="7">
        <f t="shared" ref="Z256:AB256" si="1542">IF(AA256=1,1,RANDBETWEEN(0,1))</f>
        <v>1</v>
      </c>
      <c r="AA256" s="7">
        <f t="shared" si="1542"/>
        <v>1</v>
      </c>
      <c r="AB256" s="7">
        <f t="shared" si="1542"/>
        <v>1</v>
      </c>
      <c r="AC256" s="7">
        <f t="shared" si="23"/>
        <v>0</v>
      </c>
      <c r="AD256" s="7">
        <f t="shared" ref="AD256:AF256" si="1543">IF(AE256=1,1,RANDBETWEEN(0,1))</f>
        <v>1</v>
      </c>
      <c r="AE256" s="7">
        <f t="shared" si="1543"/>
        <v>1</v>
      </c>
      <c r="AF256" s="7">
        <f t="shared" si="1543"/>
        <v>1</v>
      </c>
      <c r="AG256" s="7">
        <f t="shared" si="25"/>
        <v>0</v>
      </c>
    </row>
    <row r="257">
      <c r="A257" s="4" t="s">
        <v>740</v>
      </c>
      <c r="B257" s="4" t="s">
        <v>741</v>
      </c>
      <c r="C257" s="4" t="s">
        <v>95</v>
      </c>
      <c r="D257" s="5">
        <v>976075.0</v>
      </c>
      <c r="E257" s="6">
        <f t="shared" si="7"/>
        <v>27113.19</v>
      </c>
      <c r="F257" s="7">
        <f t="shared" ref="F257:G257" si="1544">ROUND(RAND(),2)</f>
        <v>0.55</v>
      </c>
      <c r="G257" s="7">
        <f t="shared" si="1544"/>
        <v>0.48</v>
      </c>
      <c r="H257" s="7">
        <f t="shared" si="9"/>
        <v>5</v>
      </c>
      <c r="I257" s="7">
        <f t="shared" si="10"/>
        <v>30622</v>
      </c>
      <c r="J257" s="7">
        <f t="shared" si="11"/>
        <v>11823</v>
      </c>
      <c r="K257" s="7" t="str">
        <f t="shared" si="12"/>
        <v>C</v>
      </c>
      <c r="L257" s="7" t="str">
        <f t="shared" si="13"/>
        <v>Transformative change</v>
      </c>
      <c r="M257" s="7" t="str">
        <f t="shared" si="14"/>
        <v>High</v>
      </c>
      <c r="N257" s="7">
        <f t="shared" si="15"/>
        <v>2617184</v>
      </c>
      <c r="O257" s="7">
        <f t="shared" si="16"/>
        <v>1802377.62</v>
      </c>
      <c r="P257" s="7">
        <f t="shared" ref="P257:Q257" si="1545">RANDBETWEEN(0,22)</f>
        <v>15</v>
      </c>
      <c r="Q257" s="7">
        <f t="shared" si="1545"/>
        <v>12</v>
      </c>
      <c r="R257" s="7">
        <f t="shared" ref="R257:T257" si="1546">IF(S257=1,1,RANDBETWEEN(0,1))</f>
        <v>1</v>
      </c>
      <c r="S257" s="7">
        <f t="shared" si="1546"/>
        <v>1</v>
      </c>
      <c r="T257" s="7">
        <f t="shared" si="1546"/>
        <v>1</v>
      </c>
      <c r="U257" s="7">
        <f t="shared" si="19"/>
        <v>1</v>
      </c>
      <c r="V257" s="7">
        <f t="shared" ref="V257:X257" si="1547">IF(W257=1,1,RANDBETWEEN(0,1))</f>
        <v>1</v>
      </c>
      <c r="W257" s="7">
        <f t="shared" si="1547"/>
        <v>1</v>
      </c>
      <c r="X257" s="7">
        <f t="shared" si="1547"/>
        <v>1</v>
      </c>
      <c r="Y257" s="7">
        <f t="shared" si="21"/>
        <v>1</v>
      </c>
      <c r="Z257" s="7">
        <f t="shared" ref="Z257:AB257" si="1548">IF(AA257=1,1,RANDBETWEEN(0,1))</f>
        <v>1</v>
      </c>
      <c r="AA257" s="7">
        <f t="shared" si="1548"/>
        <v>1</v>
      </c>
      <c r="AB257" s="7">
        <f t="shared" si="1548"/>
        <v>1</v>
      </c>
      <c r="AC257" s="7">
        <f t="shared" si="23"/>
        <v>0</v>
      </c>
      <c r="AD257" s="7">
        <f t="shared" ref="AD257:AF257" si="1549">IF(AE257=1,1,RANDBETWEEN(0,1))</f>
        <v>1</v>
      </c>
      <c r="AE257" s="7">
        <f t="shared" si="1549"/>
        <v>1</v>
      </c>
      <c r="AF257" s="7">
        <f t="shared" si="1549"/>
        <v>1</v>
      </c>
      <c r="AG257" s="7">
        <f t="shared" si="25"/>
        <v>1</v>
      </c>
    </row>
    <row r="258">
      <c r="A258" s="4" t="s">
        <v>742</v>
      </c>
      <c r="B258" s="4" t="s">
        <v>743</v>
      </c>
      <c r="C258" s="4" t="s">
        <v>744</v>
      </c>
      <c r="D258" s="5">
        <v>17107.0</v>
      </c>
      <c r="E258" s="6">
        <f t="shared" si="7"/>
        <v>963</v>
      </c>
      <c r="F258" s="7">
        <f t="shared" ref="F258:G258" si="1550">ROUND(RAND(),2)</f>
        <v>0.09</v>
      </c>
      <c r="G258" s="7">
        <f t="shared" si="1550"/>
        <v>0.9</v>
      </c>
      <c r="H258" s="7">
        <f t="shared" si="9"/>
        <v>5</v>
      </c>
      <c r="I258" s="7">
        <f t="shared" si="10"/>
        <v>90327</v>
      </c>
      <c r="J258" s="7">
        <f t="shared" si="11"/>
        <v>57789</v>
      </c>
      <c r="K258" s="7" t="str">
        <f t="shared" si="12"/>
        <v>G</v>
      </c>
      <c r="L258" s="7" t="str">
        <f t="shared" si="13"/>
        <v>Transformative change</v>
      </c>
      <c r="M258" s="7" t="str">
        <f t="shared" si="14"/>
        <v>Medium</v>
      </c>
      <c r="N258" s="7">
        <f t="shared" si="15"/>
        <v>1144053</v>
      </c>
      <c r="O258" s="7">
        <f t="shared" si="16"/>
        <v>406486.087</v>
      </c>
      <c r="P258" s="7">
        <f t="shared" ref="P258:Q258" si="1551">RANDBETWEEN(0,22)</f>
        <v>5</v>
      </c>
      <c r="Q258" s="7">
        <f t="shared" si="1551"/>
        <v>12</v>
      </c>
      <c r="R258" s="7">
        <f t="shared" ref="R258:T258" si="1552">IF(S258=1,1,RANDBETWEEN(0,1))</f>
        <v>1</v>
      </c>
      <c r="S258" s="7">
        <f t="shared" si="1552"/>
        <v>0</v>
      </c>
      <c r="T258" s="7">
        <f t="shared" si="1552"/>
        <v>0</v>
      </c>
      <c r="U258" s="7">
        <f t="shared" si="19"/>
        <v>0</v>
      </c>
      <c r="V258" s="7">
        <f t="shared" ref="V258:X258" si="1553">IF(W258=1,1,RANDBETWEEN(0,1))</f>
        <v>1</v>
      </c>
      <c r="W258" s="7">
        <f t="shared" si="1553"/>
        <v>1</v>
      </c>
      <c r="X258" s="7">
        <f t="shared" si="1553"/>
        <v>1</v>
      </c>
      <c r="Y258" s="7">
        <f t="shared" si="21"/>
        <v>0</v>
      </c>
      <c r="Z258" s="7">
        <f t="shared" ref="Z258:AB258" si="1554">IF(AA258=1,1,RANDBETWEEN(0,1))</f>
        <v>1</v>
      </c>
      <c r="AA258" s="7">
        <f t="shared" si="1554"/>
        <v>1</v>
      </c>
      <c r="AB258" s="7">
        <f t="shared" si="1554"/>
        <v>1</v>
      </c>
      <c r="AC258" s="7">
        <f t="shared" si="23"/>
        <v>1</v>
      </c>
      <c r="AD258" s="7">
        <f t="shared" ref="AD258:AF258" si="1555">IF(AE258=1,1,RANDBETWEEN(0,1))</f>
        <v>1</v>
      </c>
      <c r="AE258" s="7">
        <f t="shared" si="1555"/>
        <v>1</v>
      </c>
      <c r="AF258" s="7">
        <f t="shared" si="1555"/>
        <v>1</v>
      </c>
      <c r="AG258" s="7">
        <f t="shared" si="25"/>
        <v>1</v>
      </c>
    </row>
    <row r="259">
      <c r="A259" s="4" t="s">
        <v>745</v>
      </c>
      <c r="B259" s="4" t="s">
        <v>746</v>
      </c>
      <c r="C259" s="4" t="s">
        <v>747</v>
      </c>
      <c r="D259" s="5">
        <v>72609.0</v>
      </c>
      <c r="E259" s="6">
        <f t="shared" si="7"/>
        <v>870</v>
      </c>
      <c r="F259" s="7">
        <f t="shared" ref="F259:G259" si="1556">ROUND(RAND(),2)</f>
        <v>0.71</v>
      </c>
      <c r="G259" s="7">
        <f t="shared" si="1556"/>
        <v>0.89</v>
      </c>
      <c r="H259" s="7">
        <f t="shared" si="9"/>
        <v>1</v>
      </c>
      <c r="I259" s="7">
        <f t="shared" si="10"/>
        <v>84246</v>
      </c>
      <c r="J259" s="7">
        <f t="shared" si="11"/>
        <v>81454</v>
      </c>
      <c r="K259" s="7" t="str">
        <f t="shared" si="12"/>
        <v>B</v>
      </c>
      <c r="L259" s="7" t="str">
        <f t="shared" si="13"/>
        <v>Transformative change</v>
      </c>
      <c r="M259" s="7" t="str">
        <f t="shared" si="14"/>
        <v>Low</v>
      </c>
      <c r="N259" s="7">
        <f t="shared" si="15"/>
        <v>1182023</v>
      </c>
      <c r="O259" s="7">
        <f t="shared" si="16"/>
        <v>517776.1206</v>
      </c>
      <c r="P259" s="7">
        <f t="shared" ref="P259:Q259" si="1557">RANDBETWEEN(0,22)</f>
        <v>22</v>
      </c>
      <c r="Q259" s="7">
        <f t="shared" si="1557"/>
        <v>19</v>
      </c>
      <c r="R259" s="7">
        <f t="shared" ref="R259:T259" si="1558">IF(S259=1,1,RANDBETWEEN(0,1))</f>
        <v>1</v>
      </c>
      <c r="S259" s="7">
        <f t="shared" si="1558"/>
        <v>1</v>
      </c>
      <c r="T259" s="7">
        <f t="shared" si="1558"/>
        <v>0</v>
      </c>
      <c r="U259" s="7">
        <f t="shared" si="19"/>
        <v>0</v>
      </c>
      <c r="V259" s="7">
        <f t="shared" ref="V259:X259" si="1559">IF(W259=1,1,RANDBETWEEN(0,1))</f>
        <v>1</v>
      </c>
      <c r="W259" s="7">
        <f t="shared" si="1559"/>
        <v>1</v>
      </c>
      <c r="X259" s="7">
        <f t="shared" si="1559"/>
        <v>1</v>
      </c>
      <c r="Y259" s="7">
        <f t="shared" si="21"/>
        <v>1</v>
      </c>
      <c r="Z259" s="7">
        <f t="shared" ref="Z259:AB259" si="1560">IF(AA259=1,1,RANDBETWEEN(0,1))</f>
        <v>1</v>
      </c>
      <c r="AA259" s="7">
        <f t="shared" si="1560"/>
        <v>1</v>
      </c>
      <c r="AB259" s="7">
        <f t="shared" si="1560"/>
        <v>1</v>
      </c>
      <c r="AC259" s="7">
        <f t="shared" si="23"/>
        <v>1</v>
      </c>
      <c r="AD259" s="7">
        <f t="shared" ref="AD259:AF259" si="1561">IF(AE259=1,1,RANDBETWEEN(0,1))</f>
        <v>1</v>
      </c>
      <c r="AE259" s="7">
        <f t="shared" si="1561"/>
        <v>1</v>
      </c>
      <c r="AF259" s="7">
        <f t="shared" si="1561"/>
        <v>1</v>
      </c>
      <c r="AG259" s="7">
        <f t="shared" si="25"/>
        <v>0</v>
      </c>
    </row>
    <row r="260">
      <c r="A260" s="4" t="s">
        <v>748</v>
      </c>
      <c r="B260" s="4" t="s">
        <v>749</v>
      </c>
      <c r="C260" s="4" t="s">
        <v>95</v>
      </c>
      <c r="D260" s="5">
        <v>8075.0</v>
      </c>
      <c r="E260" s="6">
        <f t="shared" si="7"/>
        <v>868</v>
      </c>
      <c r="F260" s="7">
        <f t="shared" ref="F260:G260" si="1562">ROUND(RAND(),2)</f>
        <v>0.75</v>
      </c>
      <c r="G260" s="7">
        <f t="shared" si="1562"/>
        <v>0.65</v>
      </c>
      <c r="H260" s="7">
        <f t="shared" si="9"/>
        <v>4</v>
      </c>
      <c r="I260" s="7">
        <f t="shared" si="10"/>
        <v>51032</v>
      </c>
      <c r="J260" s="7">
        <f t="shared" si="11"/>
        <v>31460</v>
      </c>
      <c r="K260" s="7" t="str">
        <f t="shared" si="12"/>
        <v>G</v>
      </c>
      <c r="L260" s="7" t="str">
        <f t="shared" si="13"/>
        <v>High ambition</v>
      </c>
      <c r="M260" s="7" t="str">
        <f t="shared" si="14"/>
        <v>Low</v>
      </c>
      <c r="N260" s="7">
        <f t="shared" si="15"/>
        <v>2520562</v>
      </c>
      <c r="O260" s="7">
        <f t="shared" si="16"/>
        <v>651920.2577</v>
      </c>
      <c r="P260" s="7">
        <f t="shared" ref="P260:Q260" si="1563">RANDBETWEEN(0,22)</f>
        <v>17</v>
      </c>
      <c r="Q260" s="7">
        <f t="shared" si="1563"/>
        <v>3</v>
      </c>
      <c r="R260" s="7">
        <f t="shared" ref="R260:T260" si="1564">IF(S260=1,1,RANDBETWEEN(0,1))</f>
        <v>1</v>
      </c>
      <c r="S260" s="7">
        <f t="shared" si="1564"/>
        <v>1</v>
      </c>
      <c r="T260" s="7">
        <f t="shared" si="1564"/>
        <v>0</v>
      </c>
      <c r="U260" s="7">
        <f t="shared" si="19"/>
        <v>0</v>
      </c>
      <c r="V260" s="7">
        <f t="shared" ref="V260:X260" si="1565">IF(W260=1,1,RANDBETWEEN(0,1))</f>
        <v>1</v>
      </c>
      <c r="W260" s="7">
        <f t="shared" si="1565"/>
        <v>1</v>
      </c>
      <c r="X260" s="7">
        <f t="shared" si="1565"/>
        <v>1</v>
      </c>
      <c r="Y260" s="7">
        <f t="shared" si="21"/>
        <v>1</v>
      </c>
      <c r="Z260" s="7">
        <f t="shared" ref="Z260:AB260" si="1566">IF(AA260=1,1,RANDBETWEEN(0,1))</f>
        <v>1</v>
      </c>
      <c r="AA260" s="7">
        <f t="shared" si="1566"/>
        <v>1</v>
      </c>
      <c r="AB260" s="7">
        <f t="shared" si="1566"/>
        <v>1</v>
      </c>
      <c r="AC260" s="7">
        <f t="shared" si="23"/>
        <v>1</v>
      </c>
      <c r="AD260" s="7">
        <f t="shared" ref="AD260:AF260" si="1567">IF(AE260=1,1,RANDBETWEEN(0,1))</f>
        <v>0</v>
      </c>
      <c r="AE260" s="7">
        <f t="shared" si="1567"/>
        <v>0</v>
      </c>
      <c r="AF260" s="7">
        <f t="shared" si="1567"/>
        <v>0</v>
      </c>
      <c r="AG260" s="7">
        <f t="shared" si="25"/>
        <v>0</v>
      </c>
    </row>
    <row r="261">
      <c r="A261" s="4" t="s">
        <v>509</v>
      </c>
      <c r="B261" s="4" t="s">
        <v>750</v>
      </c>
      <c r="C261" s="4" t="s">
        <v>751</v>
      </c>
      <c r="D261" s="5">
        <v>11759.0</v>
      </c>
      <c r="E261" s="6">
        <f t="shared" si="7"/>
        <v>977</v>
      </c>
      <c r="F261" s="7">
        <f t="shared" ref="F261:G261" si="1568">ROUND(RAND(),2)</f>
        <v>0.78</v>
      </c>
      <c r="G261" s="7">
        <f t="shared" si="1568"/>
        <v>0.74</v>
      </c>
      <c r="H261" s="7">
        <f t="shared" si="9"/>
        <v>1</v>
      </c>
      <c r="I261" s="7">
        <f t="shared" si="10"/>
        <v>38978</v>
      </c>
      <c r="J261" s="7">
        <f t="shared" si="11"/>
        <v>48488</v>
      </c>
      <c r="K261" s="7" t="str">
        <f t="shared" si="12"/>
        <v>A</v>
      </c>
      <c r="L261" s="7" t="str">
        <f t="shared" si="13"/>
        <v>Transformative change</v>
      </c>
      <c r="M261" s="7" t="str">
        <f t="shared" si="14"/>
        <v>Medium</v>
      </c>
      <c r="N261" s="7">
        <f t="shared" si="15"/>
        <v>1922707</v>
      </c>
      <c r="O261" s="7">
        <f t="shared" si="16"/>
        <v>469556.5187</v>
      </c>
      <c r="P261" s="7">
        <f t="shared" ref="P261:Q261" si="1569">RANDBETWEEN(0,22)</f>
        <v>0</v>
      </c>
      <c r="Q261" s="7">
        <f t="shared" si="1569"/>
        <v>11</v>
      </c>
      <c r="R261" s="7">
        <f t="shared" ref="R261:T261" si="1570">IF(S261=1,1,RANDBETWEEN(0,1))</f>
        <v>1</v>
      </c>
      <c r="S261" s="7">
        <f t="shared" si="1570"/>
        <v>1</v>
      </c>
      <c r="T261" s="7">
        <f t="shared" si="1570"/>
        <v>1</v>
      </c>
      <c r="U261" s="7">
        <f t="shared" si="19"/>
        <v>1</v>
      </c>
      <c r="V261" s="7">
        <f t="shared" ref="V261:X261" si="1571">IF(W261=1,1,RANDBETWEEN(0,1))</f>
        <v>1</v>
      </c>
      <c r="W261" s="7">
        <f t="shared" si="1571"/>
        <v>1</v>
      </c>
      <c r="X261" s="7">
        <f t="shared" si="1571"/>
        <v>1</v>
      </c>
      <c r="Y261" s="7">
        <f t="shared" si="21"/>
        <v>1</v>
      </c>
      <c r="Z261" s="7">
        <f t="shared" ref="Z261:AB261" si="1572">IF(AA261=1,1,RANDBETWEEN(0,1))</f>
        <v>1</v>
      </c>
      <c r="AA261" s="7">
        <f t="shared" si="1572"/>
        <v>1</v>
      </c>
      <c r="AB261" s="7">
        <f t="shared" si="1572"/>
        <v>1</v>
      </c>
      <c r="AC261" s="7">
        <f t="shared" si="23"/>
        <v>1</v>
      </c>
      <c r="AD261" s="7">
        <f t="shared" ref="AD261:AF261" si="1573">IF(AE261=1,1,RANDBETWEEN(0,1))</f>
        <v>1</v>
      </c>
      <c r="AE261" s="7">
        <f t="shared" si="1573"/>
        <v>1</v>
      </c>
      <c r="AF261" s="7">
        <f t="shared" si="1573"/>
        <v>0</v>
      </c>
      <c r="AG261" s="7">
        <f t="shared" si="25"/>
        <v>0</v>
      </c>
    </row>
    <row r="262">
      <c r="A262" s="4" t="s">
        <v>752</v>
      </c>
      <c r="B262" s="4" t="s">
        <v>753</v>
      </c>
      <c r="C262" s="4" t="s">
        <v>754</v>
      </c>
      <c r="D262" s="5">
        <v>11928.0</v>
      </c>
      <c r="E262" s="6">
        <f t="shared" si="7"/>
        <v>991</v>
      </c>
      <c r="F262" s="7">
        <f t="shared" ref="F262:G262" si="1574">ROUND(RAND(),2)</f>
        <v>0.61</v>
      </c>
      <c r="G262" s="7">
        <f t="shared" si="1574"/>
        <v>0.5</v>
      </c>
      <c r="H262" s="7">
        <f t="shared" si="9"/>
        <v>2</v>
      </c>
      <c r="I262" s="7">
        <f t="shared" si="10"/>
        <v>77075</v>
      </c>
      <c r="J262" s="7">
        <f t="shared" si="11"/>
        <v>64953</v>
      </c>
      <c r="K262" s="7" t="str">
        <f t="shared" si="12"/>
        <v>A</v>
      </c>
      <c r="L262" s="7" t="str">
        <f t="shared" si="13"/>
        <v>Transformative change</v>
      </c>
      <c r="M262" s="7" t="str">
        <f t="shared" si="14"/>
        <v>High</v>
      </c>
      <c r="N262" s="7">
        <f t="shared" si="15"/>
        <v>1332083</v>
      </c>
      <c r="O262" s="7">
        <f t="shared" si="16"/>
        <v>12307.06629</v>
      </c>
      <c r="P262" s="7">
        <f t="shared" ref="P262:Q262" si="1575">RANDBETWEEN(0,22)</f>
        <v>14</v>
      </c>
      <c r="Q262" s="7">
        <f t="shared" si="1575"/>
        <v>19</v>
      </c>
      <c r="R262" s="7">
        <f t="shared" ref="R262:T262" si="1576">IF(S262=1,1,RANDBETWEEN(0,1))</f>
        <v>1</v>
      </c>
      <c r="S262" s="7">
        <f t="shared" si="1576"/>
        <v>1</v>
      </c>
      <c r="T262" s="7">
        <f t="shared" si="1576"/>
        <v>1</v>
      </c>
      <c r="U262" s="7">
        <f t="shared" si="19"/>
        <v>1</v>
      </c>
      <c r="V262" s="7">
        <f t="shared" ref="V262:X262" si="1577">IF(W262=1,1,RANDBETWEEN(0,1))</f>
        <v>1</v>
      </c>
      <c r="W262" s="7">
        <f t="shared" si="1577"/>
        <v>1</v>
      </c>
      <c r="X262" s="7">
        <f t="shared" si="1577"/>
        <v>1</v>
      </c>
      <c r="Y262" s="7">
        <f t="shared" si="21"/>
        <v>1</v>
      </c>
      <c r="Z262" s="7">
        <f t="shared" ref="Z262:AB262" si="1578">IF(AA262=1,1,RANDBETWEEN(0,1))</f>
        <v>1</v>
      </c>
      <c r="AA262" s="7">
        <f t="shared" si="1578"/>
        <v>1</v>
      </c>
      <c r="AB262" s="7">
        <f t="shared" si="1578"/>
        <v>1</v>
      </c>
      <c r="AC262" s="7">
        <f t="shared" si="23"/>
        <v>0</v>
      </c>
      <c r="AD262" s="7">
        <f t="shared" ref="AD262:AF262" si="1579">IF(AE262=1,1,RANDBETWEEN(0,1))</f>
        <v>1</v>
      </c>
      <c r="AE262" s="7">
        <f t="shared" si="1579"/>
        <v>0</v>
      </c>
      <c r="AF262" s="7">
        <f t="shared" si="1579"/>
        <v>0</v>
      </c>
      <c r="AG262" s="7">
        <f t="shared" si="25"/>
        <v>0</v>
      </c>
    </row>
    <row r="263">
      <c r="A263" s="4" t="s">
        <v>755</v>
      </c>
      <c r="B263" s="4" t="s">
        <v>756</v>
      </c>
      <c r="C263" s="4" t="s">
        <v>757</v>
      </c>
      <c r="D263" s="5">
        <v>19877.0</v>
      </c>
      <c r="E263" s="6">
        <f t="shared" si="7"/>
        <v>942</v>
      </c>
      <c r="F263" s="7">
        <f t="shared" ref="F263:G263" si="1580">ROUND(RAND(),2)</f>
        <v>0.21</v>
      </c>
      <c r="G263" s="7">
        <f t="shared" si="1580"/>
        <v>0.21</v>
      </c>
      <c r="H263" s="7">
        <f t="shared" si="9"/>
        <v>3</v>
      </c>
      <c r="I263" s="7">
        <f t="shared" si="10"/>
        <v>10334</v>
      </c>
      <c r="J263" s="7">
        <f t="shared" si="11"/>
        <v>78721</v>
      </c>
      <c r="K263" s="7" t="str">
        <f t="shared" si="12"/>
        <v>E</v>
      </c>
      <c r="L263" s="7" t="str">
        <f t="shared" si="13"/>
        <v>Transformative change</v>
      </c>
      <c r="M263" s="7" t="str">
        <f t="shared" si="14"/>
        <v>Low</v>
      </c>
      <c r="N263" s="7">
        <f t="shared" si="15"/>
        <v>757051</v>
      </c>
      <c r="O263" s="7">
        <f t="shared" si="16"/>
        <v>66942.80958</v>
      </c>
      <c r="P263" s="7">
        <f t="shared" ref="P263:Q263" si="1581">RANDBETWEEN(0,22)</f>
        <v>7</v>
      </c>
      <c r="Q263" s="7">
        <f t="shared" si="1581"/>
        <v>2</v>
      </c>
      <c r="R263" s="7">
        <f t="shared" ref="R263:T263" si="1582">IF(S263=1,1,RANDBETWEEN(0,1))</f>
        <v>1</v>
      </c>
      <c r="S263" s="7">
        <f t="shared" si="1582"/>
        <v>1</v>
      </c>
      <c r="T263" s="7">
        <f t="shared" si="1582"/>
        <v>1</v>
      </c>
      <c r="U263" s="7">
        <f t="shared" si="19"/>
        <v>0</v>
      </c>
      <c r="V263" s="7">
        <f t="shared" ref="V263:X263" si="1583">IF(W263=1,1,RANDBETWEEN(0,1))</f>
        <v>1</v>
      </c>
      <c r="W263" s="7">
        <f t="shared" si="1583"/>
        <v>0</v>
      </c>
      <c r="X263" s="7">
        <f t="shared" si="1583"/>
        <v>0</v>
      </c>
      <c r="Y263" s="7">
        <f t="shared" si="21"/>
        <v>0</v>
      </c>
      <c r="Z263" s="7">
        <f t="shared" ref="Z263:AB263" si="1584">IF(AA263=1,1,RANDBETWEEN(0,1))</f>
        <v>1</v>
      </c>
      <c r="AA263" s="7">
        <f t="shared" si="1584"/>
        <v>1</v>
      </c>
      <c r="AB263" s="7">
        <f t="shared" si="1584"/>
        <v>1</v>
      </c>
      <c r="AC263" s="7">
        <f t="shared" si="23"/>
        <v>0</v>
      </c>
      <c r="AD263" s="7">
        <f t="shared" ref="AD263:AF263" si="1585">IF(AE263=1,1,RANDBETWEEN(0,1))</f>
        <v>1</v>
      </c>
      <c r="AE263" s="7">
        <f t="shared" si="1585"/>
        <v>1</v>
      </c>
      <c r="AF263" s="7">
        <f t="shared" si="1585"/>
        <v>1</v>
      </c>
      <c r="AG263" s="7">
        <f t="shared" si="25"/>
        <v>1</v>
      </c>
    </row>
    <row r="264">
      <c r="A264" s="4" t="s">
        <v>758</v>
      </c>
      <c r="B264" s="4" t="s">
        <v>759</v>
      </c>
      <c r="C264" s="4" t="s">
        <v>760</v>
      </c>
      <c r="D264" s="5">
        <v>14485.0</v>
      </c>
      <c r="E264" s="6">
        <f t="shared" si="7"/>
        <v>839</v>
      </c>
      <c r="F264" s="7">
        <f t="shared" ref="F264:G264" si="1586">ROUND(RAND(),2)</f>
        <v>0.32</v>
      </c>
      <c r="G264" s="7">
        <f t="shared" si="1586"/>
        <v>0.94</v>
      </c>
      <c r="H264" s="7">
        <f t="shared" si="9"/>
        <v>4</v>
      </c>
      <c r="I264" s="7">
        <f t="shared" si="10"/>
        <v>55310</v>
      </c>
      <c r="J264" s="7">
        <f t="shared" si="11"/>
        <v>9545</v>
      </c>
      <c r="K264" s="7" t="str">
        <f t="shared" si="12"/>
        <v>F</v>
      </c>
      <c r="L264" s="7" t="str">
        <f t="shared" si="13"/>
        <v>Transformative change</v>
      </c>
      <c r="M264" s="7" t="str">
        <f t="shared" si="14"/>
        <v>High</v>
      </c>
      <c r="N264" s="7">
        <f t="shared" si="15"/>
        <v>427061</v>
      </c>
      <c r="O264" s="7">
        <f t="shared" si="16"/>
        <v>133323.7158</v>
      </c>
      <c r="P264" s="7">
        <f t="shared" ref="P264:Q264" si="1587">RANDBETWEEN(0,22)</f>
        <v>16</v>
      </c>
      <c r="Q264" s="7">
        <f t="shared" si="1587"/>
        <v>13</v>
      </c>
      <c r="R264" s="7">
        <f t="shared" ref="R264:T264" si="1588">IF(S264=1,1,RANDBETWEEN(0,1))</f>
        <v>1</v>
      </c>
      <c r="S264" s="7">
        <f t="shared" si="1588"/>
        <v>1</v>
      </c>
      <c r="T264" s="7">
        <f t="shared" si="1588"/>
        <v>1</v>
      </c>
      <c r="U264" s="7">
        <f t="shared" si="19"/>
        <v>1</v>
      </c>
      <c r="V264" s="7">
        <f t="shared" ref="V264:X264" si="1589">IF(W264=1,1,RANDBETWEEN(0,1))</f>
        <v>1</v>
      </c>
      <c r="W264" s="7">
        <f t="shared" si="1589"/>
        <v>1</v>
      </c>
      <c r="X264" s="7">
        <f t="shared" si="1589"/>
        <v>1</v>
      </c>
      <c r="Y264" s="7">
        <f t="shared" si="21"/>
        <v>1</v>
      </c>
      <c r="Z264" s="7">
        <f t="shared" ref="Z264:AB264" si="1590">IF(AA264=1,1,RANDBETWEEN(0,1))</f>
        <v>1</v>
      </c>
      <c r="AA264" s="7">
        <f t="shared" si="1590"/>
        <v>1</v>
      </c>
      <c r="AB264" s="7">
        <f t="shared" si="1590"/>
        <v>1</v>
      </c>
      <c r="AC264" s="7">
        <f t="shared" si="23"/>
        <v>0</v>
      </c>
      <c r="AD264" s="7">
        <f t="shared" ref="AD264:AF264" si="1591">IF(AE264=1,1,RANDBETWEEN(0,1))</f>
        <v>1</v>
      </c>
      <c r="AE264" s="7">
        <f t="shared" si="1591"/>
        <v>1</v>
      </c>
      <c r="AF264" s="7">
        <f t="shared" si="1591"/>
        <v>1</v>
      </c>
      <c r="AG264" s="7">
        <f t="shared" si="25"/>
        <v>0</v>
      </c>
    </row>
    <row r="265">
      <c r="A265" s="4" t="s">
        <v>761</v>
      </c>
      <c r="B265" s="4" t="s">
        <v>762</v>
      </c>
      <c r="C265" s="4" t="s">
        <v>763</v>
      </c>
      <c r="D265" s="5">
        <v>27341.0</v>
      </c>
      <c r="E265" s="6">
        <f t="shared" si="7"/>
        <v>953</v>
      </c>
      <c r="F265" s="7">
        <f t="shared" ref="F265:G265" si="1592">ROUND(RAND(),2)</f>
        <v>0.9</v>
      </c>
      <c r="G265" s="7">
        <f t="shared" si="1592"/>
        <v>0.41</v>
      </c>
      <c r="H265" s="7">
        <f t="shared" si="9"/>
        <v>5</v>
      </c>
      <c r="I265" s="7">
        <f t="shared" si="10"/>
        <v>55068</v>
      </c>
      <c r="J265" s="7">
        <f t="shared" si="11"/>
        <v>48031</v>
      </c>
      <c r="K265" s="7" t="str">
        <f t="shared" si="12"/>
        <v>C</v>
      </c>
      <c r="L265" s="7" t="str">
        <f t="shared" si="13"/>
        <v>Transformative change</v>
      </c>
      <c r="M265" s="7" t="str">
        <f t="shared" si="14"/>
        <v>High</v>
      </c>
      <c r="N265" s="7">
        <f t="shared" si="15"/>
        <v>2554337</v>
      </c>
      <c r="O265" s="7">
        <f t="shared" si="16"/>
        <v>1740671.75</v>
      </c>
      <c r="P265" s="7">
        <f t="shared" ref="P265:Q265" si="1593">RANDBETWEEN(0,22)</f>
        <v>12</v>
      </c>
      <c r="Q265" s="7">
        <f t="shared" si="1593"/>
        <v>2</v>
      </c>
      <c r="R265" s="7">
        <f t="shared" ref="R265:T265" si="1594">IF(S265=1,1,RANDBETWEEN(0,1))</f>
        <v>1</v>
      </c>
      <c r="S265" s="7">
        <f t="shared" si="1594"/>
        <v>1</v>
      </c>
      <c r="T265" s="7">
        <f t="shared" si="1594"/>
        <v>1</v>
      </c>
      <c r="U265" s="7">
        <f t="shared" si="19"/>
        <v>0</v>
      </c>
      <c r="V265" s="7">
        <f t="shared" ref="V265:X265" si="1595">IF(W265=1,1,RANDBETWEEN(0,1))</f>
        <v>1</v>
      </c>
      <c r="W265" s="7">
        <f t="shared" si="1595"/>
        <v>1</v>
      </c>
      <c r="X265" s="7">
        <f t="shared" si="1595"/>
        <v>1</v>
      </c>
      <c r="Y265" s="7">
        <f t="shared" si="21"/>
        <v>1</v>
      </c>
      <c r="Z265" s="7">
        <f t="shared" ref="Z265:AB265" si="1596">IF(AA265=1,1,RANDBETWEEN(0,1))</f>
        <v>1</v>
      </c>
      <c r="AA265" s="7">
        <f t="shared" si="1596"/>
        <v>1</v>
      </c>
      <c r="AB265" s="7">
        <f t="shared" si="1596"/>
        <v>1</v>
      </c>
      <c r="AC265" s="7">
        <f t="shared" si="23"/>
        <v>1</v>
      </c>
      <c r="AD265" s="7">
        <f t="shared" ref="AD265:AF265" si="1597">IF(AE265=1,1,RANDBETWEEN(0,1))</f>
        <v>1</v>
      </c>
      <c r="AE265" s="7">
        <f t="shared" si="1597"/>
        <v>1</v>
      </c>
      <c r="AF265" s="7">
        <f t="shared" si="1597"/>
        <v>1</v>
      </c>
      <c r="AG265" s="7">
        <f t="shared" si="25"/>
        <v>0</v>
      </c>
    </row>
    <row r="266">
      <c r="A266" s="4" t="s">
        <v>764</v>
      </c>
      <c r="B266" s="4" t="s">
        <v>765</v>
      </c>
      <c r="C266" s="4" t="s">
        <v>766</v>
      </c>
      <c r="D266" s="5">
        <v>8393.0</v>
      </c>
      <c r="E266" s="6">
        <f t="shared" si="7"/>
        <v>1064</v>
      </c>
      <c r="F266" s="7">
        <f t="shared" ref="F266:G266" si="1598">ROUND(RAND(),2)</f>
        <v>0.58</v>
      </c>
      <c r="G266" s="7">
        <f t="shared" si="1598"/>
        <v>0.07</v>
      </c>
      <c r="H266" s="7">
        <f t="shared" si="9"/>
        <v>5</v>
      </c>
      <c r="I266" s="7">
        <f t="shared" si="10"/>
        <v>19627</v>
      </c>
      <c r="J266" s="7">
        <f t="shared" si="11"/>
        <v>47336</v>
      </c>
      <c r="K266" s="7" t="str">
        <f t="shared" si="12"/>
        <v>F</v>
      </c>
      <c r="L266" s="7" t="str">
        <f t="shared" si="13"/>
        <v>Transformative change</v>
      </c>
      <c r="M266" s="7" t="str">
        <f t="shared" si="14"/>
        <v>High</v>
      </c>
      <c r="N266" s="7">
        <f t="shared" si="15"/>
        <v>3424266</v>
      </c>
      <c r="O266" s="7">
        <f t="shared" si="16"/>
        <v>338458.5894</v>
      </c>
      <c r="P266" s="7">
        <f t="shared" ref="P266:Q266" si="1599">RANDBETWEEN(0,22)</f>
        <v>6</v>
      </c>
      <c r="Q266" s="7">
        <f t="shared" si="1599"/>
        <v>4</v>
      </c>
      <c r="R266" s="7">
        <f t="shared" ref="R266:T266" si="1600">IF(S266=1,1,RANDBETWEEN(0,1))</f>
        <v>1</v>
      </c>
      <c r="S266" s="7">
        <f t="shared" si="1600"/>
        <v>1</v>
      </c>
      <c r="T266" s="7">
        <f t="shared" si="1600"/>
        <v>0</v>
      </c>
      <c r="U266" s="7">
        <f t="shared" si="19"/>
        <v>0</v>
      </c>
      <c r="V266" s="7">
        <f t="shared" ref="V266:X266" si="1601">IF(W266=1,1,RANDBETWEEN(0,1))</f>
        <v>1</v>
      </c>
      <c r="W266" s="7">
        <f t="shared" si="1601"/>
        <v>1</v>
      </c>
      <c r="X266" s="7">
        <f t="shared" si="1601"/>
        <v>1</v>
      </c>
      <c r="Y266" s="7">
        <f t="shared" si="21"/>
        <v>1</v>
      </c>
      <c r="Z266" s="7">
        <f t="shared" ref="Z266:AB266" si="1602">IF(AA266=1,1,RANDBETWEEN(0,1))</f>
        <v>1</v>
      </c>
      <c r="AA266" s="7">
        <f t="shared" si="1602"/>
        <v>1</v>
      </c>
      <c r="AB266" s="7">
        <f t="shared" si="1602"/>
        <v>0</v>
      </c>
      <c r="AC266" s="7">
        <f t="shared" si="23"/>
        <v>0</v>
      </c>
      <c r="AD266" s="7">
        <f t="shared" ref="AD266:AF266" si="1603">IF(AE266=1,1,RANDBETWEEN(0,1))</f>
        <v>1</v>
      </c>
      <c r="AE266" s="7">
        <f t="shared" si="1603"/>
        <v>1</v>
      </c>
      <c r="AF266" s="7">
        <f t="shared" si="1603"/>
        <v>0</v>
      </c>
      <c r="AG266" s="7">
        <f t="shared" si="25"/>
        <v>0</v>
      </c>
    </row>
    <row r="267">
      <c r="A267" s="4" t="s">
        <v>767</v>
      </c>
      <c r="B267" s="4" t="s">
        <v>768</v>
      </c>
      <c r="C267" s="4" t="s">
        <v>769</v>
      </c>
      <c r="D267" s="5">
        <v>65528.0</v>
      </c>
      <c r="E267" s="6">
        <f t="shared" si="7"/>
        <v>1016</v>
      </c>
      <c r="F267" s="7">
        <f t="shared" ref="F267:G267" si="1604">ROUND(RAND(),2)</f>
        <v>0.92</v>
      </c>
      <c r="G267" s="7">
        <f t="shared" si="1604"/>
        <v>0.68</v>
      </c>
      <c r="H267" s="7">
        <f t="shared" si="9"/>
        <v>4</v>
      </c>
      <c r="I267" s="7">
        <f t="shared" si="10"/>
        <v>51359</v>
      </c>
      <c r="J267" s="7">
        <f t="shared" si="11"/>
        <v>23625</v>
      </c>
      <c r="K267" s="7" t="str">
        <f t="shared" si="12"/>
        <v>A</v>
      </c>
      <c r="L267" s="7" t="str">
        <f t="shared" si="13"/>
        <v>High ambition</v>
      </c>
      <c r="M267" s="7" t="str">
        <f t="shared" si="14"/>
        <v>High</v>
      </c>
      <c r="N267" s="7">
        <f t="shared" si="15"/>
        <v>133027</v>
      </c>
      <c r="O267" s="7">
        <f t="shared" si="16"/>
        <v>87180.47356</v>
      </c>
      <c r="P267" s="7">
        <f t="shared" ref="P267:Q267" si="1605">RANDBETWEEN(0,22)</f>
        <v>5</v>
      </c>
      <c r="Q267" s="7">
        <f t="shared" si="1605"/>
        <v>17</v>
      </c>
      <c r="R267" s="7">
        <f t="shared" ref="R267:T267" si="1606">IF(S267=1,1,RANDBETWEEN(0,1))</f>
        <v>1</v>
      </c>
      <c r="S267" s="7">
        <f t="shared" si="1606"/>
        <v>1</v>
      </c>
      <c r="T267" s="7">
        <f t="shared" si="1606"/>
        <v>1</v>
      </c>
      <c r="U267" s="7">
        <f t="shared" si="19"/>
        <v>1</v>
      </c>
      <c r="V267" s="7">
        <f t="shared" ref="V267:X267" si="1607">IF(W267=1,1,RANDBETWEEN(0,1))</f>
        <v>1</v>
      </c>
      <c r="W267" s="7">
        <f t="shared" si="1607"/>
        <v>1</v>
      </c>
      <c r="X267" s="7">
        <f t="shared" si="1607"/>
        <v>1</v>
      </c>
      <c r="Y267" s="7">
        <f t="shared" si="21"/>
        <v>1</v>
      </c>
      <c r="Z267" s="7">
        <f t="shared" ref="Z267:AB267" si="1608">IF(AA267=1,1,RANDBETWEEN(0,1))</f>
        <v>1</v>
      </c>
      <c r="AA267" s="7">
        <f t="shared" si="1608"/>
        <v>1</v>
      </c>
      <c r="AB267" s="7">
        <f t="shared" si="1608"/>
        <v>1</v>
      </c>
      <c r="AC267" s="7">
        <f t="shared" si="23"/>
        <v>1</v>
      </c>
      <c r="AD267" s="7">
        <f t="shared" ref="AD267:AF267" si="1609">IF(AE267=1,1,RANDBETWEEN(0,1))</f>
        <v>1</v>
      </c>
      <c r="AE267" s="7">
        <f t="shared" si="1609"/>
        <v>1</v>
      </c>
      <c r="AF267" s="7">
        <f t="shared" si="1609"/>
        <v>0</v>
      </c>
      <c r="AG267" s="7">
        <f t="shared" si="25"/>
        <v>0</v>
      </c>
    </row>
    <row r="268">
      <c r="A268" s="4" t="s">
        <v>770</v>
      </c>
      <c r="B268" s="4" t="s">
        <v>771</v>
      </c>
      <c r="C268" s="4" t="s">
        <v>772</v>
      </c>
      <c r="D268" s="5">
        <v>6183.0</v>
      </c>
      <c r="E268" s="6">
        <f t="shared" si="7"/>
        <v>820</v>
      </c>
      <c r="F268" s="7">
        <f t="shared" ref="F268:G268" si="1610">ROUND(RAND(),2)</f>
        <v>0.82</v>
      </c>
      <c r="G268" s="7">
        <f t="shared" si="1610"/>
        <v>0.16</v>
      </c>
      <c r="H268" s="7">
        <f t="shared" si="9"/>
        <v>2</v>
      </c>
      <c r="I268" s="7">
        <f t="shared" si="10"/>
        <v>14722</v>
      </c>
      <c r="J268" s="7">
        <f t="shared" si="11"/>
        <v>4040</v>
      </c>
      <c r="K268" s="7" t="str">
        <f t="shared" si="12"/>
        <v>C</v>
      </c>
      <c r="L268" s="7" t="str">
        <f t="shared" si="13"/>
        <v>Transformative change</v>
      </c>
      <c r="M268" s="7" t="str">
        <f t="shared" si="14"/>
        <v>Medium</v>
      </c>
      <c r="N268" s="7">
        <f t="shared" si="15"/>
        <v>3424664</v>
      </c>
      <c r="O268" s="7">
        <f t="shared" si="16"/>
        <v>2840491.348</v>
      </c>
      <c r="P268" s="7">
        <f t="shared" ref="P268:Q268" si="1611">RANDBETWEEN(0,22)</f>
        <v>9</v>
      </c>
      <c r="Q268" s="7">
        <f t="shared" si="1611"/>
        <v>6</v>
      </c>
      <c r="R268" s="7">
        <f t="shared" ref="R268:T268" si="1612">IF(S268=1,1,RANDBETWEEN(0,1))</f>
        <v>1</v>
      </c>
      <c r="S268" s="7">
        <f t="shared" si="1612"/>
        <v>1</v>
      </c>
      <c r="T268" s="7">
        <f t="shared" si="1612"/>
        <v>1</v>
      </c>
      <c r="U268" s="7">
        <f t="shared" si="19"/>
        <v>1</v>
      </c>
      <c r="V268" s="7">
        <f t="shared" ref="V268:X268" si="1613">IF(W268=1,1,RANDBETWEEN(0,1))</f>
        <v>0</v>
      </c>
      <c r="W268" s="7">
        <f t="shared" si="1613"/>
        <v>0</v>
      </c>
      <c r="X268" s="7">
        <f t="shared" si="1613"/>
        <v>0</v>
      </c>
      <c r="Y268" s="7">
        <f t="shared" si="21"/>
        <v>0</v>
      </c>
      <c r="Z268" s="7">
        <f t="shared" ref="Z268:AB268" si="1614">IF(AA268=1,1,RANDBETWEEN(0,1))</f>
        <v>1</v>
      </c>
      <c r="AA268" s="7">
        <f t="shared" si="1614"/>
        <v>1</v>
      </c>
      <c r="AB268" s="7">
        <f t="shared" si="1614"/>
        <v>1</v>
      </c>
      <c r="AC268" s="7">
        <f t="shared" si="23"/>
        <v>1</v>
      </c>
      <c r="AD268" s="7">
        <f t="shared" ref="AD268:AF268" si="1615">IF(AE268=1,1,RANDBETWEEN(0,1))</f>
        <v>1</v>
      </c>
      <c r="AE268" s="7">
        <f t="shared" si="1615"/>
        <v>1</v>
      </c>
      <c r="AF268" s="7">
        <f t="shared" si="1615"/>
        <v>1</v>
      </c>
      <c r="AG268" s="7">
        <f t="shared" si="25"/>
        <v>0</v>
      </c>
    </row>
    <row r="269">
      <c r="A269" s="4" t="s">
        <v>773</v>
      </c>
      <c r="B269" s="4" t="s">
        <v>774</v>
      </c>
      <c r="C269" s="4" t="s">
        <v>775</v>
      </c>
      <c r="D269" s="5">
        <v>10830.0</v>
      </c>
      <c r="E269" s="6">
        <f t="shared" si="7"/>
        <v>1004</v>
      </c>
      <c r="F269" s="7">
        <f t="shared" ref="F269:G269" si="1616">ROUND(RAND(),2)</f>
        <v>0.66</v>
      </c>
      <c r="G269" s="7">
        <f t="shared" si="1616"/>
        <v>0.85</v>
      </c>
      <c r="H269" s="7">
        <f t="shared" si="9"/>
        <v>5</v>
      </c>
      <c r="I269" s="7">
        <f t="shared" si="10"/>
        <v>71845</v>
      </c>
      <c r="J269" s="7">
        <f t="shared" si="11"/>
        <v>1762</v>
      </c>
      <c r="K269" s="7" t="str">
        <f t="shared" si="12"/>
        <v>G</v>
      </c>
      <c r="L269" s="7" t="str">
        <f t="shared" si="13"/>
        <v>Transformative change</v>
      </c>
      <c r="M269" s="7" t="str">
        <f t="shared" si="14"/>
        <v>High</v>
      </c>
      <c r="N269" s="7">
        <f t="shared" si="15"/>
        <v>3892782</v>
      </c>
      <c r="O269" s="7">
        <f t="shared" si="16"/>
        <v>2089231.68</v>
      </c>
      <c r="P269" s="7">
        <f t="shared" ref="P269:Q269" si="1617">RANDBETWEEN(0,22)</f>
        <v>8</v>
      </c>
      <c r="Q269" s="7">
        <f t="shared" si="1617"/>
        <v>12</v>
      </c>
      <c r="R269" s="7">
        <f t="shared" ref="R269:T269" si="1618">IF(S269=1,1,RANDBETWEEN(0,1))</f>
        <v>1</v>
      </c>
      <c r="S269" s="7">
        <f t="shared" si="1618"/>
        <v>1</v>
      </c>
      <c r="T269" s="7">
        <f t="shared" si="1618"/>
        <v>1</v>
      </c>
      <c r="U269" s="7">
        <f t="shared" si="19"/>
        <v>1</v>
      </c>
      <c r="V269" s="7">
        <f t="shared" ref="V269:X269" si="1619">IF(W269=1,1,RANDBETWEEN(0,1))</f>
        <v>1</v>
      </c>
      <c r="W269" s="7">
        <f t="shared" si="1619"/>
        <v>1</v>
      </c>
      <c r="X269" s="7">
        <f t="shared" si="1619"/>
        <v>1</v>
      </c>
      <c r="Y269" s="7">
        <f t="shared" si="21"/>
        <v>0</v>
      </c>
      <c r="Z269" s="7">
        <f t="shared" ref="Z269:AB269" si="1620">IF(AA269=1,1,RANDBETWEEN(0,1))</f>
        <v>1</v>
      </c>
      <c r="AA269" s="7">
        <f t="shared" si="1620"/>
        <v>1</v>
      </c>
      <c r="AB269" s="7">
        <f t="shared" si="1620"/>
        <v>1</v>
      </c>
      <c r="AC269" s="7">
        <f t="shared" si="23"/>
        <v>1</v>
      </c>
      <c r="AD269" s="7">
        <f t="shared" ref="AD269:AF269" si="1621">IF(AE269=1,1,RANDBETWEEN(0,1))</f>
        <v>1</v>
      </c>
      <c r="AE269" s="7">
        <f t="shared" si="1621"/>
        <v>1</v>
      </c>
      <c r="AF269" s="7">
        <f t="shared" si="1621"/>
        <v>1</v>
      </c>
      <c r="AG269" s="7">
        <f t="shared" si="25"/>
        <v>1</v>
      </c>
    </row>
    <row r="270">
      <c r="A270" s="4" t="s">
        <v>42</v>
      </c>
      <c r="B270" s="4" t="s">
        <v>776</v>
      </c>
      <c r="C270" s="4" t="s">
        <v>777</v>
      </c>
      <c r="D270" s="5">
        <v>15751.0</v>
      </c>
      <c r="E270" s="6">
        <f t="shared" si="7"/>
        <v>913</v>
      </c>
      <c r="F270" s="7">
        <f t="shared" ref="F270:G270" si="1622">ROUND(RAND(),2)</f>
        <v>0.93</v>
      </c>
      <c r="G270" s="7">
        <f t="shared" si="1622"/>
        <v>0.15</v>
      </c>
      <c r="H270" s="7">
        <f t="shared" si="9"/>
        <v>5</v>
      </c>
      <c r="I270" s="7">
        <f t="shared" si="10"/>
        <v>79274</v>
      </c>
      <c r="J270" s="7">
        <f t="shared" si="11"/>
        <v>10491</v>
      </c>
      <c r="K270" s="7" t="str">
        <f t="shared" si="12"/>
        <v>C</v>
      </c>
      <c r="L270" s="7" t="str">
        <f t="shared" si="13"/>
        <v>Transformative change</v>
      </c>
      <c r="M270" s="7" t="str">
        <f t="shared" si="14"/>
        <v>Medium</v>
      </c>
      <c r="N270" s="7">
        <f t="shared" si="15"/>
        <v>1222202</v>
      </c>
      <c r="O270" s="7">
        <f t="shared" si="16"/>
        <v>720591.7933</v>
      </c>
      <c r="P270" s="7">
        <f t="shared" ref="P270:Q270" si="1623">RANDBETWEEN(0,22)</f>
        <v>6</v>
      </c>
      <c r="Q270" s="7">
        <f t="shared" si="1623"/>
        <v>3</v>
      </c>
      <c r="R270" s="7">
        <f t="shared" ref="R270:T270" si="1624">IF(S270=1,1,RANDBETWEEN(0,1))</f>
        <v>1</v>
      </c>
      <c r="S270" s="7">
        <f t="shared" si="1624"/>
        <v>1</v>
      </c>
      <c r="T270" s="7">
        <f t="shared" si="1624"/>
        <v>1</v>
      </c>
      <c r="U270" s="7">
        <f t="shared" si="19"/>
        <v>1</v>
      </c>
      <c r="V270" s="7">
        <f t="shared" ref="V270:X270" si="1625">IF(W270=1,1,RANDBETWEEN(0,1))</f>
        <v>1</v>
      </c>
      <c r="W270" s="7">
        <f t="shared" si="1625"/>
        <v>1</v>
      </c>
      <c r="X270" s="7">
        <f t="shared" si="1625"/>
        <v>1</v>
      </c>
      <c r="Y270" s="7">
        <f t="shared" si="21"/>
        <v>1</v>
      </c>
      <c r="Z270" s="7">
        <f t="shared" ref="Z270:AB270" si="1626">IF(AA270=1,1,RANDBETWEEN(0,1))</f>
        <v>1</v>
      </c>
      <c r="AA270" s="7">
        <f t="shared" si="1626"/>
        <v>1</v>
      </c>
      <c r="AB270" s="7">
        <f t="shared" si="1626"/>
        <v>1</v>
      </c>
      <c r="AC270" s="7">
        <f t="shared" si="23"/>
        <v>1</v>
      </c>
      <c r="AD270" s="7">
        <f t="shared" ref="AD270:AF270" si="1627">IF(AE270=1,1,RANDBETWEEN(0,1))</f>
        <v>1</v>
      </c>
      <c r="AE270" s="7">
        <f t="shared" si="1627"/>
        <v>1</v>
      </c>
      <c r="AF270" s="7">
        <f t="shared" si="1627"/>
        <v>1</v>
      </c>
      <c r="AG270" s="7">
        <f t="shared" si="25"/>
        <v>1</v>
      </c>
    </row>
    <row r="271">
      <c r="A271" s="4" t="s">
        <v>778</v>
      </c>
      <c r="B271" s="4" t="s">
        <v>779</v>
      </c>
      <c r="C271" s="4" t="s">
        <v>780</v>
      </c>
      <c r="D271" s="5">
        <v>58382.0</v>
      </c>
      <c r="E271" s="6">
        <f t="shared" si="7"/>
        <v>914</v>
      </c>
      <c r="F271" s="7">
        <f t="shared" ref="F271:G271" si="1628">ROUND(RAND(),2)</f>
        <v>0.61</v>
      </c>
      <c r="G271" s="7">
        <f t="shared" si="1628"/>
        <v>0.1</v>
      </c>
      <c r="H271" s="7">
        <f t="shared" si="9"/>
        <v>4</v>
      </c>
      <c r="I271" s="7">
        <f t="shared" si="10"/>
        <v>41046</v>
      </c>
      <c r="J271" s="7">
        <f t="shared" si="11"/>
        <v>9521</v>
      </c>
      <c r="K271" s="7" t="str">
        <f t="shared" si="12"/>
        <v>C</v>
      </c>
      <c r="L271" s="7" t="str">
        <f t="shared" si="13"/>
        <v>Transformative change</v>
      </c>
      <c r="M271" s="7" t="str">
        <f t="shared" si="14"/>
        <v>Low</v>
      </c>
      <c r="N271" s="7">
        <f t="shared" si="15"/>
        <v>856557</v>
      </c>
      <c r="O271" s="7">
        <f t="shared" si="16"/>
        <v>123904.2641</v>
      </c>
      <c r="P271" s="7">
        <f t="shared" ref="P271:Q271" si="1629">RANDBETWEEN(0,22)</f>
        <v>1</v>
      </c>
      <c r="Q271" s="7">
        <f t="shared" si="1629"/>
        <v>12</v>
      </c>
      <c r="R271" s="7">
        <f t="shared" ref="R271:T271" si="1630">IF(S271=1,1,RANDBETWEEN(0,1))</f>
        <v>1</v>
      </c>
      <c r="S271" s="7">
        <f t="shared" si="1630"/>
        <v>1</v>
      </c>
      <c r="T271" s="7">
        <f t="shared" si="1630"/>
        <v>1</v>
      </c>
      <c r="U271" s="7">
        <f t="shared" si="19"/>
        <v>0</v>
      </c>
      <c r="V271" s="7">
        <f t="shared" ref="V271:X271" si="1631">IF(W271=1,1,RANDBETWEEN(0,1))</f>
        <v>1</v>
      </c>
      <c r="W271" s="7">
        <f t="shared" si="1631"/>
        <v>1</v>
      </c>
      <c r="X271" s="7">
        <f t="shared" si="1631"/>
        <v>1</v>
      </c>
      <c r="Y271" s="7">
        <f t="shared" si="21"/>
        <v>1</v>
      </c>
      <c r="Z271" s="7">
        <f t="shared" ref="Z271:AB271" si="1632">IF(AA271=1,1,RANDBETWEEN(0,1))</f>
        <v>1</v>
      </c>
      <c r="AA271" s="7">
        <f t="shared" si="1632"/>
        <v>1</v>
      </c>
      <c r="AB271" s="7">
        <f t="shared" si="1632"/>
        <v>1</v>
      </c>
      <c r="AC271" s="7">
        <f t="shared" si="23"/>
        <v>0</v>
      </c>
      <c r="AD271" s="7">
        <f t="shared" ref="AD271:AF271" si="1633">IF(AE271=1,1,RANDBETWEEN(0,1))</f>
        <v>1</v>
      </c>
      <c r="AE271" s="7">
        <f t="shared" si="1633"/>
        <v>1</v>
      </c>
      <c r="AF271" s="7">
        <f t="shared" si="1633"/>
        <v>1</v>
      </c>
      <c r="AG271" s="7">
        <f t="shared" si="25"/>
        <v>1</v>
      </c>
    </row>
    <row r="272">
      <c r="A272" s="4" t="s">
        <v>781</v>
      </c>
      <c r="B272" s="4" t="s">
        <v>782</v>
      </c>
      <c r="C272" s="4" t="s">
        <v>95</v>
      </c>
      <c r="D272" s="5">
        <v>7716.0</v>
      </c>
      <c r="E272" s="6">
        <f t="shared" si="7"/>
        <v>855</v>
      </c>
      <c r="F272" s="7">
        <f t="shared" ref="F272:G272" si="1634">ROUND(RAND(),2)</f>
        <v>0.45</v>
      </c>
      <c r="G272" s="7">
        <f t="shared" si="1634"/>
        <v>0.24</v>
      </c>
      <c r="H272" s="7">
        <f t="shared" si="9"/>
        <v>5</v>
      </c>
      <c r="I272" s="7">
        <f t="shared" si="10"/>
        <v>32897</v>
      </c>
      <c r="J272" s="7">
        <f t="shared" si="11"/>
        <v>17467</v>
      </c>
      <c r="K272" s="7" t="str">
        <f t="shared" si="12"/>
        <v>B</v>
      </c>
      <c r="L272" s="7" t="str">
        <f t="shared" si="13"/>
        <v>Transformative change</v>
      </c>
      <c r="M272" s="7" t="str">
        <f t="shared" si="14"/>
        <v>High</v>
      </c>
      <c r="N272" s="7">
        <f t="shared" si="15"/>
        <v>2958494</v>
      </c>
      <c r="O272" s="7">
        <f t="shared" si="16"/>
        <v>335932.5618</v>
      </c>
      <c r="P272" s="7">
        <f t="shared" ref="P272:Q272" si="1635">RANDBETWEEN(0,22)</f>
        <v>22</v>
      </c>
      <c r="Q272" s="7">
        <f t="shared" si="1635"/>
        <v>14</v>
      </c>
      <c r="R272" s="7">
        <f t="shared" ref="R272:T272" si="1636">IF(S272=1,1,RANDBETWEEN(0,1))</f>
        <v>1</v>
      </c>
      <c r="S272" s="7">
        <f t="shared" si="1636"/>
        <v>1</v>
      </c>
      <c r="T272" s="7">
        <f t="shared" si="1636"/>
        <v>1</v>
      </c>
      <c r="U272" s="7">
        <f t="shared" si="19"/>
        <v>1</v>
      </c>
      <c r="V272" s="7">
        <f t="shared" ref="V272:X272" si="1637">IF(W272=1,1,RANDBETWEEN(0,1))</f>
        <v>1</v>
      </c>
      <c r="W272" s="7">
        <f t="shared" si="1637"/>
        <v>1</v>
      </c>
      <c r="X272" s="7">
        <f t="shared" si="1637"/>
        <v>1</v>
      </c>
      <c r="Y272" s="7">
        <f t="shared" si="21"/>
        <v>1</v>
      </c>
      <c r="Z272" s="7">
        <f t="shared" ref="Z272:AB272" si="1638">IF(AA272=1,1,RANDBETWEEN(0,1))</f>
        <v>1</v>
      </c>
      <c r="AA272" s="7">
        <f t="shared" si="1638"/>
        <v>1</v>
      </c>
      <c r="AB272" s="7">
        <f t="shared" si="1638"/>
        <v>1</v>
      </c>
      <c r="AC272" s="7">
        <f t="shared" si="23"/>
        <v>1</v>
      </c>
      <c r="AD272" s="7">
        <f t="shared" ref="AD272:AF272" si="1639">IF(AE272=1,1,RANDBETWEEN(0,1))</f>
        <v>1</v>
      </c>
      <c r="AE272" s="7">
        <f t="shared" si="1639"/>
        <v>0</v>
      </c>
      <c r="AF272" s="7">
        <f t="shared" si="1639"/>
        <v>0</v>
      </c>
      <c r="AG272" s="7">
        <f t="shared" si="25"/>
        <v>0</v>
      </c>
    </row>
    <row r="273">
      <c r="A273" s="4" t="s">
        <v>783</v>
      </c>
      <c r="B273" s="4" t="s">
        <v>784</v>
      </c>
      <c r="C273" s="4" t="s">
        <v>785</v>
      </c>
      <c r="D273" s="5">
        <v>18591.0</v>
      </c>
      <c r="E273" s="6">
        <f t="shared" si="7"/>
        <v>1019</v>
      </c>
      <c r="F273" s="7">
        <f t="shared" ref="F273:G273" si="1640">ROUND(RAND(),2)</f>
        <v>0.19</v>
      </c>
      <c r="G273" s="7">
        <f t="shared" si="1640"/>
        <v>0.63</v>
      </c>
      <c r="H273" s="7">
        <f t="shared" si="9"/>
        <v>4</v>
      </c>
      <c r="I273" s="7">
        <f t="shared" si="10"/>
        <v>71900</v>
      </c>
      <c r="J273" s="7">
        <f t="shared" si="11"/>
        <v>11301</v>
      </c>
      <c r="K273" s="7" t="str">
        <f t="shared" si="12"/>
        <v>E</v>
      </c>
      <c r="L273" s="7" t="str">
        <f t="shared" si="13"/>
        <v>Transformative change</v>
      </c>
      <c r="M273" s="7" t="str">
        <f t="shared" si="14"/>
        <v>High</v>
      </c>
      <c r="N273" s="7">
        <f t="shared" si="15"/>
        <v>77626</v>
      </c>
      <c r="O273" s="7">
        <f t="shared" si="16"/>
        <v>39524.91094</v>
      </c>
      <c r="P273" s="7">
        <f t="shared" ref="P273:Q273" si="1641">RANDBETWEEN(0,22)</f>
        <v>12</v>
      </c>
      <c r="Q273" s="7">
        <f t="shared" si="1641"/>
        <v>11</v>
      </c>
      <c r="R273" s="7">
        <f t="shared" ref="R273:T273" si="1642">IF(S273=1,1,RANDBETWEEN(0,1))</f>
        <v>1</v>
      </c>
      <c r="S273" s="7">
        <f t="shared" si="1642"/>
        <v>1</v>
      </c>
      <c r="T273" s="7">
        <f t="shared" si="1642"/>
        <v>1</v>
      </c>
      <c r="U273" s="7">
        <f t="shared" si="19"/>
        <v>1</v>
      </c>
      <c r="V273" s="7">
        <f t="shared" ref="V273:X273" si="1643">IF(W273=1,1,RANDBETWEEN(0,1))</f>
        <v>1</v>
      </c>
      <c r="W273" s="7">
        <f t="shared" si="1643"/>
        <v>1</v>
      </c>
      <c r="X273" s="7">
        <f t="shared" si="1643"/>
        <v>1</v>
      </c>
      <c r="Y273" s="7">
        <f t="shared" si="21"/>
        <v>1</v>
      </c>
      <c r="Z273" s="7">
        <f t="shared" ref="Z273:AB273" si="1644">IF(AA273=1,1,RANDBETWEEN(0,1))</f>
        <v>1</v>
      </c>
      <c r="AA273" s="7">
        <f t="shared" si="1644"/>
        <v>1</v>
      </c>
      <c r="AB273" s="7">
        <f t="shared" si="1644"/>
        <v>1</v>
      </c>
      <c r="AC273" s="7">
        <f t="shared" si="23"/>
        <v>0</v>
      </c>
      <c r="AD273" s="7">
        <f t="shared" ref="AD273:AF273" si="1645">IF(AE273=1,1,RANDBETWEEN(0,1))</f>
        <v>1</v>
      </c>
      <c r="AE273" s="7">
        <f t="shared" si="1645"/>
        <v>1</v>
      </c>
      <c r="AF273" s="7">
        <f t="shared" si="1645"/>
        <v>1</v>
      </c>
      <c r="AG273" s="7">
        <f t="shared" si="25"/>
        <v>1</v>
      </c>
    </row>
    <row r="274">
      <c r="A274" s="4" t="s">
        <v>786</v>
      </c>
      <c r="B274" s="4" t="s">
        <v>787</v>
      </c>
      <c r="C274" s="4" t="s">
        <v>788</v>
      </c>
      <c r="D274" s="5">
        <v>11990.0</v>
      </c>
      <c r="E274" s="6">
        <f t="shared" si="7"/>
        <v>1069</v>
      </c>
      <c r="F274" s="7">
        <f t="shared" ref="F274:G274" si="1646">ROUND(RAND(),2)</f>
        <v>0.81</v>
      </c>
      <c r="G274" s="7">
        <f t="shared" si="1646"/>
        <v>0.1</v>
      </c>
      <c r="H274" s="7">
        <f t="shared" si="9"/>
        <v>5</v>
      </c>
      <c r="I274" s="7">
        <f t="shared" si="10"/>
        <v>66673</v>
      </c>
      <c r="J274" s="7">
        <f t="shared" si="11"/>
        <v>14779</v>
      </c>
      <c r="K274" s="7" t="str">
        <f t="shared" si="12"/>
        <v>D</v>
      </c>
      <c r="L274" s="7" t="str">
        <f t="shared" si="13"/>
        <v>High ambition</v>
      </c>
      <c r="M274" s="7" t="str">
        <f t="shared" si="14"/>
        <v>High</v>
      </c>
      <c r="N274" s="7">
        <f t="shared" si="15"/>
        <v>2035048</v>
      </c>
      <c r="O274" s="7">
        <f t="shared" si="16"/>
        <v>1627894.254</v>
      </c>
      <c r="P274" s="7">
        <f t="shared" ref="P274:Q274" si="1647">RANDBETWEEN(0,22)</f>
        <v>9</v>
      </c>
      <c r="Q274" s="7">
        <f t="shared" si="1647"/>
        <v>20</v>
      </c>
      <c r="R274" s="7">
        <f t="shared" ref="R274:T274" si="1648">IF(S274=1,1,RANDBETWEEN(0,1))</f>
        <v>1</v>
      </c>
      <c r="S274" s="7">
        <f t="shared" si="1648"/>
        <v>1</v>
      </c>
      <c r="T274" s="7">
        <f t="shared" si="1648"/>
        <v>1</v>
      </c>
      <c r="U274" s="7">
        <f t="shared" si="19"/>
        <v>0</v>
      </c>
      <c r="V274" s="7">
        <f t="shared" ref="V274:X274" si="1649">IF(W274=1,1,RANDBETWEEN(0,1))</f>
        <v>1</v>
      </c>
      <c r="W274" s="7">
        <f t="shared" si="1649"/>
        <v>1</v>
      </c>
      <c r="X274" s="7">
        <f t="shared" si="1649"/>
        <v>1</v>
      </c>
      <c r="Y274" s="7">
        <f t="shared" si="21"/>
        <v>1</v>
      </c>
      <c r="Z274" s="7">
        <f t="shared" ref="Z274:AB274" si="1650">IF(AA274=1,1,RANDBETWEEN(0,1))</f>
        <v>1</v>
      </c>
      <c r="AA274" s="7">
        <f t="shared" si="1650"/>
        <v>1</v>
      </c>
      <c r="AB274" s="7">
        <f t="shared" si="1650"/>
        <v>1</v>
      </c>
      <c r="AC274" s="7">
        <f t="shared" si="23"/>
        <v>1</v>
      </c>
      <c r="AD274" s="7">
        <f t="shared" ref="AD274:AF274" si="1651">IF(AE274=1,1,RANDBETWEEN(0,1))</f>
        <v>1</v>
      </c>
      <c r="AE274" s="7">
        <f t="shared" si="1651"/>
        <v>1</v>
      </c>
      <c r="AF274" s="7">
        <f t="shared" si="1651"/>
        <v>1</v>
      </c>
      <c r="AG274" s="7">
        <f t="shared" si="25"/>
        <v>1</v>
      </c>
    </row>
    <row r="275">
      <c r="A275" s="4" t="s">
        <v>789</v>
      </c>
      <c r="B275" s="4" t="s">
        <v>790</v>
      </c>
      <c r="C275" s="4" t="s">
        <v>791</v>
      </c>
      <c r="D275" s="5">
        <v>16921.0</v>
      </c>
      <c r="E275" s="6">
        <f t="shared" si="7"/>
        <v>930</v>
      </c>
      <c r="F275" s="7">
        <f t="shared" ref="F275:G275" si="1652">ROUND(RAND(),2)</f>
        <v>0.5</v>
      </c>
      <c r="G275" s="7">
        <f t="shared" si="1652"/>
        <v>0.51</v>
      </c>
      <c r="H275" s="7">
        <f t="shared" si="9"/>
        <v>2</v>
      </c>
      <c r="I275" s="7">
        <f t="shared" si="10"/>
        <v>96631</v>
      </c>
      <c r="J275" s="7">
        <f t="shared" si="11"/>
        <v>95661</v>
      </c>
      <c r="K275" s="7" t="str">
        <f t="shared" si="12"/>
        <v>B</v>
      </c>
      <c r="L275" s="7" t="str">
        <f t="shared" si="13"/>
        <v>Transformative change</v>
      </c>
      <c r="M275" s="7" t="str">
        <f t="shared" si="14"/>
        <v>Medium</v>
      </c>
      <c r="N275" s="7">
        <f t="shared" si="15"/>
        <v>1606486</v>
      </c>
      <c r="O275" s="7">
        <f t="shared" si="16"/>
        <v>1244355.246</v>
      </c>
      <c r="P275" s="7">
        <f t="shared" ref="P275:Q275" si="1653">RANDBETWEEN(0,22)</f>
        <v>22</v>
      </c>
      <c r="Q275" s="7">
        <f t="shared" si="1653"/>
        <v>10</v>
      </c>
      <c r="R275" s="7">
        <f t="shared" ref="R275:T275" si="1654">IF(S275=1,1,RANDBETWEEN(0,1))</f>
        <v>1</v>
      </c>
      <c r="S275" s="7">
        <f t="shared" si="1654"/>
        <v>1</v>
      </c>
      <c r="T275" s="7">
        <f t="shared" si="1654"/>
        <v>1</v>
      </c>
      <c r="U275" s="7">
        <f t="shared" si="19"/>
        <v>1</v>
      </c>
      <c r="V275" s="7">
        <f t="shared" ref="V275:X275" si="1655">IF(W275=1,1,RANDBETWEEN(0,1))</f>
        <v>1</v>
      </c>
      <c r="W275" s="7">
        <f t="shared" si="1655"/>
        <v>1</v>
      </c>
      <c r="X275" s="7">
        <f t="shared" si="1655"/>
        <v>1</v>
      </c>
      <c r="Y275" s="7">
        <f t="shared" si="21"/>
        <v>0</v>
      </c>
      <c r="Z275" s="7">
        <f t="shared" ref="Z275:AB275" si="1656">IF(AA275=1,1,RANDBETWEEN(0,1))</f>
        <v>1</v>
      </c>
      <c r="AA275" s="7">
        <f t="shared" si="1656"/>
        <v>1</v>
      </c>
      <c r="AB275" s="7">
        <f t="shared" si="1656"/>
        <v>1</v>
      </c>
      <c r="AC275" s="7">
        <f t="shared" si="23"/>
        <v>0</v>
      </c>
      <c r="AD275" s="7">
        <f t="shared" ref="AD275:AF275" si="1657">IF(AE275=1,1,RANDBETWEEN(0,1))</f>
        <v>1</v>
      </c>
      <c r="AE275" s="7">
        <f t="shared" si="1657"/>
        <v>1</v>
      </c>
      <c r="AF275" s="7">
        <f t="shared" si="1657"/>
        <v>1</v>
      </c>
      <c r="AG275" s="7">
        <f t="shared" si="25"/>
        <v>1</v>
      </c>
    </row>
    <row r="276">
      <c r="A276" s="4" t="s">
        <v>792</v>
      </c>
      <c r="B276" s="4" t="s">
        <v>793</v>
      </c>
      <c r="C276" s="4" t="s">
        <v>794</v>
      </c>
      <c r="D276" s="5">
        <v>15639.0</v>
      </c>
      <c r="E276" s="6">
        <f t="shared" si="7"/>
        <v>938</v>
      </c>
      <c r="F276" s="7">
        <f t="shared" ref="F276:G276" si="1658">ROUND(RAND(),2)</f>
        <v>0.07</v>
      </c>
      <c r="G276" s="7">
        <f t="shared" si="1658"/>
        <v>0.91</v>
      </c>
      <c r="H276" s="7">
        <f t="shared" si="9"/>
        <v>5</v>
      </c>
      <c r="I276" s="7">
        <f t="shared" si="10"/>
        <v>52481</v>
      </c>
      <c r="J276" s="7">
        <f t="shared" si="11"/>
        <v>15767</v>
      </c>
      <c r="K276" s="7" t="str">
        <f t="shared" si="12"/>
        <v>B</v>
      </c>
      <c r="L276" s="7" t="str">
        <f t="shared" si="13"/>
        <v>Transformative change</v>
      </c>
      <c r="M276" s="7" t="str">
        <f t="shared" si="14"/>
        <v>Medium</v>
      </c>
      <c r="N276" s="7">
        <f t="shared" si="15"/>
        <v>2720775</v>
      </c>
      <c r="O276" s="7">
        <f t="shared" si="16"/>
        <v>790738.4085</v>
      </c>
      <c r="P276" s="7">
        <f t="shared" ref="P276:Q276" si="1659">RANDBETWEEN(0,22)</f>
        <v>2</v>
      </c>
      <c r="Q276" s="7">
        <f t="shared" si="1659"/>
        <v>14</v>
      </c>
      <c r="R276" s="7">
        <f t="shared" ref="R276:T276" si="1660">IF(S276=1,1,RANDBETWEEN(0,1))</f>
        <v>0</v>
      </c>
      <c r="S276" s="7">
        <f t="shared" si="1660"/>
        <v>0</v>
      </c>
      <c r="T276" s="7">
        <f t="shared" si="1660"/>
        <v>0</v>
      </c>
      <c r="U276" s="7">
        <f t="shared" si="19"/>
        <v>0</v>
      </c>
      <c r="V276" s="7">
        <f t="shared" ref="V276:X276" si="1661">IF(W276=1,1,RANDBETWEEN(0,1))</f>
        <v>0</v>
      </c>
      <c r="W276" s="7">
        <f t="shared" si="1661"/>
        <v>0</v>
      </c>
      <c r="X276" s="7">
        <f t="shared" si="1661"/>
        <v>0</v>
      </c>
      <c r="Y276" s="7">
        <f t="shared" si="21"/>
        <v>0</v>
      </c>
      <c r="Z276" s="7">
        <f t="shared" ref="Z276:AB276" si="1662">IF(AA276=1,1,RANDBETWEEN(0,1))</f>
        <v>1</v>
      </c>
      <c r="AA276" s="7">
        <f t="shared" si="1662"/>
        <v>1</v>
      </c>
      <c r="AB276" s="7">
        <f t="shared" si="1662"/>
        <v>1</v>
      </c>
      <c r="AC276" s="7">
        <f t="shared" si="23"/>
        <v>1</v>
      </c>
      <c r="AD276" s="7">
        <f t="shared" ref="AD276:AF276" si="1663">IF(AE276=1,1,RANDBETWEEN(0,1))</f>
        <v>1</v>
      </c>
      <c r="AE276" s="7">
        <f t="shared" si="1663"/>
        <v>1</v>
      </c>
      <c r="AF276" s="7">
        <f t="shared" si="1663"/>
        <v>1</v>
      </c>
      <c r="AG276" s="7">
        <f t="shared" si="25"/>
        <v>1</v>
      </c>
    </row>
    <row r="277">
      <c r="A277" s="4" t="s">
        <v>795</v>
      </c>
      <c r="B277" s="4" t="s">
        <v>796</v>
      </c>
      <c r="C277" s="4" t="s">
        <v>95</v>
      </c>
      <c r="D277" s="5">
        <v>16162.0</v>
      </c>
      <c r="E277" s="6">
        <f t="shared" si="7"/>
        <v>1067</v>
      </c>
      <c r="F277" s="7">
        <f t="shared" ref="F277:G277" si="1664">ROUND(RAND(),2)</f>
        <v>0.56</v>
      </c>
      <c r="G277" s="7">
        <f t="shared" si="1664"/>
        <v>0.5</v>
      </c>
      <c r="H277" s="7">
        <f t="shared" si="9"/>
        <v>1</v>
      </c>
      <c r="I277" s="7">
        <f t="shared" si="10"/>
        <v>77485</v>
      </c>
      <c r="J277" s="7">
        <f t="shared" si="11"/>
        <v>36735</v>
      </c>
      <c r="K277" s="7" t="str">
        <f t="shared" si="12"/>
        <v>G</v>
      </c>
      <c r="L277" s="7" t="str">
        <f t="shared" si="13"/>
        <v>Transformative change</v>
      </c>
      <c r="M277" s="7" t="str">
        <f t="shared" si="14"/>
        <v>Medium</v>
      </c>
      <c r="N277" s="7">
        <f t="shared" si="15"/>
        <v>2814983</v>
      </c>
      <c r="O277" s="7">
        <f t="shared" si="16"/>
        <v>1088867.695</v>
      </c>
      <c r="P277" s="7">
        <f t="shared" ref="P277:Q277" si="1665">RANDBETWEEN(0,22)</f>
        <v>19</v>
      </c>
      <c r="Q277" s="7">
        <f t="shared" si="1665"/>
        <v>11</v>
      </c>
      <c r="R277" s="7">
        <f t="shared" ref="R277:T277" si="1666">IF(S277=1,1,RANDBETWEEN(0,1))</f>
        <v>1</v>
      </c>
      <c r="S277" s="7">
        <f t="shared" si="1666"/>
        <v>1</v>
      </c>
      <c r="T277" s="7">
        <f t="shared" si="1666"/>
        <v>1</v>
      </c>
      <c r="U277" s="7">
        <f t="shared" si="19"/>
        <v>1</v>
      </c>
      <c r="V277" s="7">
        <f t="shared" ref="V277:X277" si="1667">IF(W277=1,1,RANDBETWEEN(0,1))</f>
        <v>1</v>
      </c>
      <c r="W277" s="7">
        <f t="shared" si="1667"/>
        <v>1</v>
      </c>
      <c r="X277" s="7">
        <f t="shared" si="1667"/>
        <v>0</v>
      </c>
      <c r="Y277" s="7">
        <f t="shared" si="21"/>
        <v>0</v>
      </c>
      <c r="Z277" s="7">
        <f t="shared" ref="Z277:AB277" si="1668">IF(AA277=1,1,RANDBETWEEN(0,1))</f>
        <v>1</v>
      </c>
      <c r="AA277" s="7">
        <f t="shared" si="1668"/>
        <v>1</v>
      </c>
      <c r="AB277" s="7">
        <f t="shared" si="1668"/>
        <v>1</v>
      </c>
      <c r="AC277" s="7">
        <f t="shared" si="23"/>
        <v>1</v>
      </c>
      <c r="AD277" s="7">
        <f t="shared" ref="AD277:AF277" si="1669">IF(AE277=1,1,RANDBETWEEN(0,1))</f>
        <v>1</v>
      </c>
      <c r="AE277" s="7">
        <f t="shared" si="1669"/>
        <v>1</v>
      </c>
      <c r="AF277" s="7">
        <f t="shared" si="1669"/>
        <v>0</v>
      </c>
      <c r="AG277" s="7">
        <f t="shared" si="25"/>
        <v>0</v>
      </c>
    </row>
    <row r="278">
      <c r="A278" s="4" t="s">
        <v>797</v>
      </c>
      <c r="B278" s="4" t="s">
        <v>798</v>
      </c>
      <c r="C278" s="4" t="s">
        <v>799</v>
      </c>
      <c r="D278" s="5">
        <v>18228.0</v>
      </c>
      <c r="E278" s="6">
        <f t="shared" si="7"/>
        <v>929</v>
      </c>
      <c r="F278" s="7">
        <f t="shared" ref="F278:G278" si="1670">ROUND(RAND(),2)</f>
        <v>0.82</v>
      </c>
      <c r="G278" s="7">
        <f t="shared" si="1670"/>
        <v>0.02</v>
      </c>
      <c r="H278" s="7">
        <f t="shared" si="9"/>
        <v>5</v>
      </c>
      <c r="I278" s="7">
        <f t="shared" si="10"/>
        <v>18798</v>
      </c>
      <c r="J278" s="7">
        <f t="shared" si="11"/>
        <v>21304</v>
      </c>
      <c r="K278" s="7" t="str">
        <f t="shared" si="12"/>
        <v>F</v>
      </c>
      <c r="L278" s="7" t="str">
        <f t="shared" si="13"/>
        <v>Transformative change</v>
      </c>
      <c r="M278" s="7" t="str">
        <f t="shared" si="14"/>
        <v>Low</v>
      </c>
      <c r="N278" s="7">
        <f t="shared" si="15"/>
        <v>914580</v>
      </c>
      <c r="O278" s="7">
        <f t="shared" si="16"/>
        <v>483172.4131</v>
      </c>
      <c r="P278" s="7">
        <f t="shared" ref="P278:Q278" si="1671">RANDBETWEEN(0,22)</f>
        <v>9</v>
      </c>
      <c r="Q278" s="7">
        <f t="shared" si="1671"/>
        <v>1</v>
      </c>
      <c r="R278" s="7">
        <f t="shared" ref="R278:T278" si="1672">IF(S278=1,1,RANDBETWEEN(0,1))</f>
        <v>1</v>
      </c>
      <c r="S278" s="7">
        <f t="shared" si="1672"/>
        <v>1</v>
      </c>
      <c r="T278" s="7">
        <f t="shared" si="1672"/>
        <v>1</v>
      </c>
      <c r="U278" s="7">
        <f t="shared" si="19"/>
        <v>0</v>
      </c>
      <c r="V278" s="7">
        <f t="shared" ref="V278:X278" si="1673">IF(W278=1,1,RANDBETWEEN(0,1))</f>
        <v>1</v>
      </c>
      <c r="W278" s="7">
        <f t="shared" si="1673"/>
        <v>1</v>
      </c>
      <c r="X278" s="7">
        <f t="shared" si="1673"/>
        <v>1</v>
      </c>
      <c r="Y278" s="7">
        <f t="shared" si="21"/>
        <v>1</v>
      </c>
      <c r="Z278" s="7">
        <f t="shared" ref="Z278:AB278" si="1674">IF(AA278=1,1,RANDBETWEEN(0,1))</f>
        <v>1</v>
      </c>
      <c r="AA278" s="7">
        <f t="shared" si="1674"/>
        <v>1</v>
      </c>
      <c r="AB278" s="7">
        <f t="shared" si="1674"/>
        <v>1</v>
      </c>
      <c r="AC278" s="7">
        <f t="shared" si="23"/>
        <v>1</v>
      </c>
      <c r="AD278" s="7">
        <f t="shared" ref="AD278:AF278" si="1675">IF(AE278=1,1,RANDBETWEEN(0,1))</f>
        <v>1</v>
      </c>
      <c r="AE278" s="7">
        <f t="shared" si="1675"/>
        <v>1</v>
      </c>
      <c r="AF278" s="7">
        <f t="shared" si="1675"/>
        <v>0</v>
      </c>
      <c r="AG278" s="7">
        <f t="shared" si="25"/>
        <v>0</v>
      </c>
    </row>
    <row r="279">
      <c r="A279" s="4" t="s">
        <v>800</v>
      </c>
      <c r="B279" s="4" t="s">
        <v>801</v>
      </c>
      <c r="C279" s="4" t="s">
        <v>802</v>
      </c>
      <c r="D279" s="5">
        <v>19517.0</v>
      </c>
      <c r="E279" s="6">
        <f t="shared" si="7"/>
        <v>845</v>
      </c>
      <c r="F279" s="7">
        <f t="shared" ref="F279:G279" si="1676">ROUND(RAND(),2)</f>
        <v>0.84</v>
      </c>
      <c r="G279" s="7">
        <f t="shared" si="1676"/>
        <v>0.17</v>
      </c>
      <c r="H279" s="7">
        <f t="shared" si="9"/>
        <v>2</v>
      </c>
      <c r="I279" s="7">
        <f t="shared" si="10"/>
        <v>76472</v>
      </c>
      <c r="J279" s="7">
        <f t="shared" si="11"/>
        <v>64433</v>
      </c>
      <c r="K279" s="7" t="str">
        <f t="shared" si="12"/>
        <v>A</v>
      </c>
      <c r="L279" s="7" t="str">
        <f t="shared" si="13"/>
        <v>High ambition</v>
      </c>
      <c r="M279" s="7" t="str">
        <f t="shared" si="14"/>
        <v>High</v>
      </c>
      <c r="N279" s="7">
        <f t="shared" si="15"/>
        <v>3734009</v>
      </c>
      <c r="O279" s="7">
        <f t="shared" si="16"/>
        <v>3027347.626</v>
      </c>
      <c r="P279" s="7">
        <f t="shared" ref="P279:Q279" si="1677">RANDBETWEEN(0,22)</f>
        <v>6</v>
      </c>
      <c r="Q279" s="7">
        <f t="shared" si="1677"/>
        <v>13</v>
      </c>
      <c r="R279" s="7">
        <f t="shared" ref="R279:T279" si="1678">IF(S279=1,1,RANDBETWEEN(0,1))</f>
        <v>1</v>
      </c>
      <c r="S279" s="7">
        <f t="shared" si="1678"/>
        <v>0</v>
      </c>
      <c r="T279" s="7">
        <f t="shared" si="1678"/>
        <v>0</v>
      </c>
      <c r="U279" s="7">
        <f t="shared" si="19"/>
        <v>0</v>
      </c>
      <c r="V279" s="7">
        <f t="shared" ref="V279:X279" si="1679">IF(W279=1,1,RANDBETWEEN(0,1))</f>
        <v>1</v>
      </c>
      <c r="W279" s="7">
        <f t="shared" si="1679"/>
        <v>1</v>
      </c>
      <c r="X279" s="7">
        <f t="shared" si="1679"/>
        <v>1</v>
      </c>
      <c r="Y279" s="7">
        <f t="shared" si="21"/>
        <v>1</v>
      </c>
      <c r="Z279" s="7">
        <f t="shared" ref="Z279:AB279" si="1680">IF(AA279=1,1,RANDBETWEEN(0,1))</f>
        <v>1</v>
      </c>
      <c r="AA279" s="7">
        <f t="shared" si="1680"/>
        <v>1</v>
      </c>
      <c r="AB279" s="7">
        <f t="shared" si="1680"/>
        <v>1</v>
      </c>
      <c r="AC279" s="7">
        <f t="shared" si="23"/>
        <v>1</v>
      </c>
      <c r="AD279" s="7">
        <f t="shared" ref="AD279:AF279" si="1681">IF(AE279=1,1,RANDBETWEEN(0,1))</f>
        <v>1</v>
      </c>
      <c r="AE279" s="7">
        <f t="shared" si="1681"/>
        <v>1</v>
      </c>
      <c r="AF279" s="7">
        <f t="shared" si="1681"/>
        <v>1</v>
      </c>
      <c r="AG279" s="7">
        <f t="shared" si="25"/>
        <v>1</v>
      </c>
    </row>
    <row r="280">
      <c r="A280" s="4" t="s">
        <v>803</v>
      </c>
      <c r="B280" s="4" t="s">
        <v>804</v>
      </c>
      <c r="C280" s="4" t="s">
        <v>805</v>
      </c>
      <c r="D280" s="5">
        <v>11738.0</v>
      </c>
      <c r="E280" s="6">
        <f t="shared" si="7"/>
        <v>857</v>
      </c>
      <c r="F280" s="7">
        <f t="shared" ref="F280:G280" si="1682">ROUND(RAND(),2)</f>
        <v>0.41</v>
      </c>
      <c r="G280" s="7">
        <f t="shared" si="1682"/>
        <v>0.46</v>
      </c>
      <c r="H280" s="7">
        <f t="shared" si="9"/>
        <v>2</v>
      </c>
      <c r="I280" s="7">
        <f t="shared" si="10"/>
        <v>61566</v>
      </c>
      <c r="J280" s="7">
        <f t="shared" si="11"/>
        <v>30421</v>
      </c>
      <c r="K280" s="7" t="str">
        <f t="shared" si="12"/>
        <v>E</v>
      </c>
      <c r="L280" s="7" t="str">
        <f t="shared" si="13"/>
        <v>Transformative change</v>
      </c>
      <c r="M280" s="7" t="str">
        <f t="shared" si="14"/>
        <v>Medium</v>
      </c>
      <c r="N280" s="7">
        <f t="shared" si="15"/>
        <v>2747926</v>
      </c>
      <c r="O280" s="7">
        <f t="shared" si="16"/>
        <v>677395.443</v>
      </c>
      <c r="P280" s="7">
        <f t="shared" ref="P280:Q280" si="1683">RANDBETWEEN(0,22)</f>
        <v>2</v>
      </c>
      <c r="Q280" s="7">
        <f t="shared" si="1683"/>
        <v>16</v>
      </c>
      <c r="R280" s="7">
        <f t="shared" ref="R280:T280" si="1684">IF(S280=1,1,RANDBETWEEN(0,1))</f>
        <v>1</v>
      </c>
      <c r="S280" s="7">
        <f t="shared" si="1684"/>
        <v>1</v>
      </c>
      <c r="T280" s="7">
        <f t="shared" si="1684"/>
        <v>1</v>
      </c>
      <c r="U280" s="7">
        <f t="shared" si="19"/>
        <v>1</v>
      </c>
      <c r="V280" s="7">
        <f t="shared" ref="V280:X280" si="1685">IF(W280=1,1,RANDBETWEEN(0,1))</f>
        <v>1</v>
      </c>
      <c r="W280" s="7">
        <f t="shared" si="1685"/>
        <v>1</v>
      </c>
      <c r="X280" s="7">
        <f t="shared" si="1685"/>
        <v>1</v>
      </c>
      <c r="Y280" s="7">
        <f t="shared" si="21"/>
        <v>1</v>
      </c>
      <c r="Z280" s="7">
        <f t="shared" ref="Z280:AB280" si="1686">IF(AA280=1,1,RANDBETWEEN(0,1))</f>
        <v>1</v>
      </c>
      <c r="AA280" s="7">
        <f t="shared" si="1686"/>
        <v>1</v>
      </c>
      <c r="AB280" s="7">
        <f t="shared" si="1686"/>
        <v>0</v>
      </c>
      <c r="AC280" s="7">
        <f t="shared" si="23"/>
        <v>0</v>
      </c>
      <c r="AD280" s="7">
        <f t="shared" ref="AD280:AF280" si="1687">IF(AE280=1,1,RANDBETWEEN(0,1))</f>
        <v>1</v>
      </c>
      <c r="AE280" s="7">
        <f t="shared" si="1687"/>
        <v>1</v>
      </c>
      <c r="AF280" s="7">
        <f t="shared" si="1687"/>
        <v>1</v>
      </c>
      <c r="AG280" s="7">
        <f t="shared" si="25"/>
        <v>0</v>
      </c>
    </row>
    <row r="281">
      <c r="A281" s="4" t="s">
        <v>806</v>
      </c>
      <c r="B281" s="4" t="s">
        <v>807</v>
      </c>
      <c r="C281" s="4" t="s">
        <v>259</v>
      </c>
      <c r="D281" s="5">
        <v>11866.0</v>
      </c>
      <c r="E281" s="6">
        <f t="shared" si="7"/>
        <v>1028</v>
      </c>
      <c r="F281" s="7">
        <f t="shared" ref="F281:G281" si="1688">ROUND(RAND(),2)</f>
        <v>0.45</v>
      </c>
      <c r="G281" s="7">
        <f t="shared" si="1688"/>
        <v>0.37</v>
      </c>
      <c r="H281" s="7">
        <f t="shared" si="9"/>
        <v>5</v>
      </c>
      <c r="I281" s="7">
        <f t="shared" si="10"/>
        <v>98521</v>
      </c>
      <c r="J281" s="7">
        <f t="shared" si="11"/>
        <v>68905</v>
      </c>
      <c r="K281" s="7" t="str">
        <f t="shared" si="12"/>
        <v>E</v>
      </c>
      <c r="L281" s="7" t="str">
        <f t="shared" si="13"/>
        <v>Transformative change</v>
      </c>
      <c r="M281" s="7" t="str">
        <f t="shared" si="14"/>
        <v>Low</v>
      </c>
      <c r="N281" s="7">
        <f t="shared" si="15"/>
        <v>3516237</v>
      </c>
      <c r="O281" s="7">
        <f t="shared" si="16"/>
        <v>381264.9607</v>
      </c>
      <c r="P281" s="7">
        <f t="shared" ref="P281:Q281" si="1689">RANDBETWEEN(0,22)</f>
        <v>9</v>
      </c>
      <c r="Q281" s="7">
        <f t="shared" si="1689"/>
        <v>20</v>
      </c>
      <c r="R281" s="7">
        <f t="shared" ref="R281:T281" si="1690">IF(S281=1,1,RANDBETWEEN(0,1))</f>
        <v>0</v>
      </c>
      <c r="S281" s="7">
        <f t="shared" si="1690"/>
        <v>0</v>
      </c>
      <c r="T281" s="7">
        <f t="shared" si="1690"/>
        <v>0</v>
      </c>
      <c r="U281" s="7">
        <f t="shared" si="19"/>
        <v>0</v>
      </c>
      <c r="V281" s="7">
        <f t="shared" ref="V281:X281" si="1691">IF(W281=1,1,RANDBETWEEN(0,1))</f>
        <v>1</v>
      </c>
      <c r="W281" s="7">
        <f t="shared" si="1691"/>
        <v>1</v>
      </c>
      <c r="X281" s="7">
        <f t="shared" si="1691"/>
        <v>1</v>
      </c>
      <c r="Y281" s="7">
        <f t="shared" si="21"/>
        <v>1</v>
      </c>
      <c r="Z281" s="7">
        <f t="shared" ref="Z281:AB281" si="1692">IF(AA281=1,1,RANDBETWEEN(0,1))</f>
        <v>1</v>
      </c>
      <c r="AA281" s="7">
        <f t="shared" si="1692"/>
        <v>1</v>
      </c>
      <c r="AB281" s="7">
        <f t="shared" si="1692"/>
        <v>1</v>
      </c>
      <c r="AC281" s="7">
        <f t="shared" si="23"/>
        <v>1</v>
      </c>
      <c r="AD281" s="7">
        <f t="shared" ref="AD281:AF281" si="1693">IF(AE281=1,1,RANDBETWEEN(0,1))</f>
        <v>1</v>
      </c>
      <c r="AE281" s="7">
        <f t="shared" si="1693"/>
        <v>1</v>
      </c>
      <c r="AF281" s="7">
        <f t="shared" si="1693"/>
        <v>1</v>
      </c>
      <c r="AG281" s="7">
        <f t="shared" si="25"/>
        <v>1</v>
      </c>
    </row>
    <row r="282">
      <c r="A282" s="4" t="s">
        <v>808</v>
      </c>
      <c r="B282" s="4" t="s">
        <v>809</v>
      </c>
      <c r="C282" s="4" t="s">
        <v>810</v>
      </c>
      <c r="D282" s="5">
        <v>8573.0</v>
      </c>
      <c r="E282" s="6">
        <f t="shared" si="7"/>
        <v>888</v>
      </c>
      <c r="F282" s="7">
        <f t="shared" ref="F282:G282" si="1694">ROUND(RAND(),2)</f>
        <v>0.03</v>
      </c>
      <c r="G282" s="7">
        <f t="shared" si="1694"/>
        <v>0.75</v>
      </c>
      <c r="H282" s="7">
        <f t="shared" si="9"/>
        <v>3</v>
      </c>
      <c r="I282" s="7">
        <f t="shared" si="10"/>
        <v>40216</v>
      </c>
      <c r="J282" s="7">
        <f t="shared" si="11"/>
        <v>37716</v>
      </c>
      <c r="K282" s="7" t="str">
        <f t="shared" si="12"/>
        <v>E</v>
      </c>
      <c r="L282" s="7" t="str">
        <f t="shared" si="13"/>
        <v>Transformative change</v>
      </c>
      <c r="M282" s="7" t="str">
        <f t="shared" si="14"/>
        <v>Low</v>
      </c>
      <c r="N282" s="7">
        <f t="shared" si="15"/>
        <v>3397356</v>
      </c>
      <c r="O282" s="7">
        <f t="shared" si="16"/>
        <v>436650.1422</v>
      </c>
      <c r="P282" s="7">
        <f t="shared" ref="P282:Q282" si="1695">RANDBETWEEN(0,22)</f>
        <v>12</v>
      </c>
      <c r="Q282" s="7">
        <f t="shared" si="1695"/>
        <v>8</v>
      </c>
      <c r="R282" s="7">
        <f t="shared" ref="R282:T282" si="1696">IF(S282=1,1,RANDBETWEEN(0,1))</f>
        <v>1</v>
      </c>
      <c r="S282" s="7">
        <f t="shared" si="1696"/>
        <v>1</v>
      </c>
      <c r="T282" s="7">
        <f t="shared" si="1696"/>
        <v>1</v>
      </c>
      <c r="U282" s="7">
        <f t="shared" si="19"/>
        <v>1</v>
      </c>
      <c r="V282" s="7">
        <f t="shared" ref="V282:X282" si="1697">IF(W282=1,1,RANDBETWEEN(0,1))</f>
        <v>1</v>
      </c>
      <c r="W282" s="7">
        <f t="shared" si="1697"/>
        <v>0</v>
      </c>
      <c r="X282" s="7">
        <f t="shared" si="1697"/>
        <v>0</v>
      </c>
      <c r="Y282" s="7">
        <f t="shared" si="21"/>
        <v>0</v>
      </c>
      <c r="Z282" s="7">
        <f t="shared" ref="Z282:AB282" si="1698">IF(AA282=1,1,RANDBETWEEN(0,1))</f>
        <v>1</v>
      </c>
      <c r="AA282" s="7">
        <f t="shared" si="1698"/>
        <v>1</v>
      </c>
      <c r="AB282" s="7">
        <f t="shared" si="1698"/>
        <v>1</v>
      </c>
      <c r="AC282" s="7">
        <f t="shared" si="23"/>
        <v>0</v>
      </c>
      <c r="AD282" s="7">
        <f t="shared" ref="AD282:AF282" si="1699">IF(AE282=1,1,RANDBETWEEN(0,1))</f>
        <v>1</v>
      </c>
      <c r="AE282" s="7">
        <f t="shared" si="1699"/>
        <v>1</v>
      </c>
      <c r="AF282" s="7">
        <f t="shared" si="1699"/>
        <v>1</v>
      </c>
      <c r="AG282" s="7">
        <f t="shared" si="25"/>
        <v>1</v>
      </c>
    </row>
    <row r="283">
      <c r="A283" s="4" t="s">
        <v>811</v>
      </c>
      <c r="B283" s="4" t="s">
        <v>812</v>
      </c>
      <c r="C283" s="4" t="s">
        <v>813</v>
      </c>
      <c r="D283" s="5">
        <v>16760.0</v>
      </c>
      <c r="E283" s="6">
        <f t="shared" si="7"/>
        <v>1050</v>
      </c>
      <c r="F283" s="7">
        <f t="shared" ref="F283:G283" si="1700">ROUND(RAND(),2)</f>
        <v>0.25</v>
      </c>
      <c r="G283" s="7">
        <f t="shared" si="1700"/>
        <v>0.96</v>
      </c>
      <c r="H283" s="7">
        <f t="shared" si="9"/>
        <v>1</v>
      </c>
      <c r="I283" s="7">
        <f t="shared" si="10"/>
        <v>21135</v>
      </c>
      <c r="J283" s="7">
        <f t="shared" si="11"/>
        <v>56256</v>
      </c>
      <c r="K283" s="7" t="str">
        <f t="shared" si="12"/>
        <v>A</v>
      </c>
      <c r="L283" s="7" t="str">
        <f t="shared" si="13"/>
        <v>Transformative change</v>
      </c>
      <c r="M283" s="7" t="str">
        <f t="shared" si="14"/>
        <v>High</v>
      </c>
      <c r="N283" s="7">
        <f t="shared" si="15"/>
        <v>1093473</v>
      </c>
      <c r="O283" s="7">
        <f t="shared" si="16"/>
        <v>400821.0796</v>
      </c>
      <c r="P283" s="7">
        <f t="shared" ref="P283:Q283" si="1701">RANDBETWEEN(0,22)</f>
        <v>8</v>
      </c>
      <c r="Q283" s="7">
        <f t="shared" si="1701"/>
        <v>2</v>
      </c>
      <c r="R283" s="7">
        <f t="shared" ref="R283:T283" si="1702">IF(S283=1,1,RANDBETWEEN(0,1))</f>
        <v>1</v>
      </c>
      <c r="S283" s="7">
        <f t="shared" si="1702"/>
        <v>1</v>
      </c>
      <c r="T283" s="7">
        <f t="shared" si="1702"/>
        <v>1</v>
      </c>
      <c r="U283" s="7">
        <f t="shared" si="19"/>
        <v>1</v>
      </c>
      <c r="V283" s="7">
        <f t="shared" ref="V283:X283" si="1703">IF(W283=1,1,RANDBETWEEN(0,1))</f>
        <v>1</v>
      </c>
      <c r="W283" s="7">
        <f t="shared" si="1703"/>
        <v>1</v>
      </c>
      <c r="X283" s="7">
        <f t="shared" si="1703"/>
        <v>1</v>
      </c>
      <c r="Y283" s="7">
        <f t="shared" si="21"/>
        <v>0</v>
      </c>
      <c r="Z283" s="7">
        <f t="shared" ref="Z283:AB283" si="1704">IF(AA283=1,1,RANDBETWEEN(0,1))</f>
        <v>1</v>
      </c>
      <c r="AA283" s="7">
        <f t="shared" si="1704"/>
        <v>1</v>
      </c>
      <c r="AB283" s="7">
        <f t="shared" si="1704"/>
        <v>1</v>
      </c>
      <c r="AC283" s="7">
        <f t="shared" si="23"/>
        <v>1</v>
      </c>
      <c r="AD283" s="7">
        <f t="shared" ref="AD283:AF283" si="1705">IF(AE283=1,1,RANDBETWEEN(0,1))</f>
        <v>1</v>
      </c>
      <c r="AE283" s="7">
        <f t="shared" si="1705"/>
        <v>1</v>
      </c>
      <c r="AF283" s="7">
        <f t="shared" si="1705"/>
        <v>0</v>
      </c>
      <c r="AG283" s="7">
        <f t="shared" si="25"/>
        <v>0</v>
      </c>
    </row>
    <row r="284">
      <c r="A284" s="4" t="s">
        <v>814</v>
      </c>
      <c r="B284" s="4" t="s">
        <v>815</v>
      </c>
      <c r="C284" s="4" t="s">
        <v>816</v>
      </c>
      <c r="D284" s="5">
        <v>252534.0</v>
      </c>
      <c r="E284" s="6">
        <f t="shared" si="7"/>
        <v>908.4</v>
      </c>
      <c r="F284" s="7">
        <f t="shared" ref="F284:G284" si="1706">ROUND(RAND(),2)</f>
        <v>0.97</v>
      </c>
      <c r="G284" s="7">
        <f t="shared" si="1706"/>
        <v>0.13</v>
      </c>
      <c r="H284" s="7">
        <f t="shared" si="9"/>
        <v>5</v>
      </c>
      <c r="I284" s="7">
        <f t="shared" si="10"/>
        <v>42008</v>
      </c>
      <c r="J284" s="7">
        <f t="shared" si="11"/>
        <v>12537</v>
      </c>
      <c r="K284" s="7" t="str">
        <f t="shared" si="12"/>
        <v>C</v>
      </c>
      <c r="L284" s="7" t="str">
        <f t="shared" si="13"/>
        <v>Transformative change</v>
      </c>
      <c r="M284" s="7" t="str">
        <f t="shared" si="14"/>
        <v>Medium</v>
      </c>
      <c r="N284" s="7">
        <f t="shared" si="15"/>
        <v>2564954</v>
      </c>
      <c r="O284" s="7">
        <f t="shared" si="16"/>
        <v>187060.0136</v>
      </c>
      <c r="P284" s="7">
        <f t="shared" ref="P284:Q284" si="1707">RANDBETWEEN(0,22)</f>
        <v>12</v>
      </c>
      <c r="Q284" s="7">
        <f t="shared" si="1707"/>
        <v>15</v>
      </c>
      <c r="R284" s="7">
        <f t="shared" ref="R284:T284" si="1708">IF(S284=1,1,RANDBETWEEN(0,1))</f>
        <v>1</v>
      </c>
      <c r="S284" s="7">
        <f t="shared" si="1708"/>
        <v>1</v>
      </c>
      <c r="T284" s="7">
        <f t="shared" si="1708"/>
        <v>1</v>
      </c>
      <c r="U284" s="7">
        <f t="shared" si="19"/>
        <v>1</v>
      </c>
      <c r="V284" s="7">
        <f t="shared" ref="V284:X284" si="1709">IF(W284=1,1,RANDBETWEEN(0,1))</f>
        <v>1</v>
      </c>
      <c r="W284" s="7">
        <f t="shared" si="1709"/>
        <v>1</v>
      </c>
      <c r="X284" s="7">
        <f t="shared" si="1709"/>
        <v>0</v>
      </c>
      <c r="Y284" s="7">
        <f t="shared" si="21"/>
        <v>0</v>
      </c>
      <c r="Z284" s="7">
        <f t="shared" ref="Z284:AB284" si="1710">IF(AA284=1,1,RANDBETWEEN(0,1))</f>
        <v>1</v>
      </c>
      <c r="AA284" s="7">
        <f t="shared" si="1710"/>
        <v>1</v>
      </c>
      <c r="AB284" s="7">
        <f t="shared" si="1710"/>
        <v>1</v>
      </c>
      <c r="AC284" s="7">
        <f t="shared" si="23"/>
        <v>0</v>
      </c>
      <c r="AD284" s="7">
        <f t="shared" ref="AD284:AF284" si="1711">IF(AE284=1,1,RANDBETWEEN(0,1))</f>
        <v>1</v>
      </c>
      <c r="AE284" s="7">
        <f t="shared" si="1711"/>
        <v>1</v>
      </c>
      <c r="AF284" s="7">
        <f t="shared" si="1711"/>
        <v>1</v>
      </c>
      <c r="AG284" s="7">
        <f t="shared" si="25"/>
        <v>0</v>
      </c>
    </row>
    <row r="285">
      <c r="A285" s="4" t="s">
        <v>817</v>
      </c>
      <c r="B285" s="4" t="s">
        <v>818</v>
      </c>
      <c r="C285" s="4" t="s">
        <v>819</v>
      </c>
      <c r="D285" s="5">
        <v>322262.0</v>
      </c>
      <c r="E285" s="6">
        <f t="shared" si="7"/>
        <v>925</v>
      </c>
      <c r="F285" s="7">
        <f t="shared" ref="F285:G285" si="1712">ROUND(RAND(),2)</f>
        <v>0.62</v>
      </c>
      <c r="G285" s="7">
        <f t="shared" si="1712"/>
        <v>0.89</v>
      </c>
      <c r="H285" s="7">
        <f t="shared" si="9"/>
        <v>5</v>
      </c>
      <c r="I285" s="7">
        <f t="shared" si="10"/>
        <v>6195</v>
      </c>
      <c r="J285" s="7">
        <f t="shared" si="11"/>
        <v>39324</v>
      </c>
      <c r="K285" s="7" t="str">
        <f t="shared" si="12"/>
        <v>F</v>
      </c>
      <c r="L285" s="7" t="str">
        <f t="shared" si="13"/>
        <v>Transformative change</v>
      </c>
      <c r="M285" s="7" t="str">
        <f t="shared" si="14"/>
        <v>Low</v>
      </c>
      <c r="N285" s="7">
        <f t="shared" si="15"/>
        <v>1710233</v>
      </c>
      <c r="O285" s="7">
        <f t="shared" si="16"/>
        <v>468551.412</v>
      </c>
      <c r="P285" s="7">
        <f t="shared" ref="P285:Q285" si="1713">RANDBETWEEN(0,22)</f>
        <v>15</v>
      </c>
      <c r="Q285" s="7">
        <f t="shared" si="1713"/>
        <v>18</v>
      </c>
      <c r="R285" s="7">
        <f t="shared" ref="R285:T285" si="1714">IF(S285=1,1,RANDBETWEEN(0,1))</f>
        <v>1</v>
      </c>
      <c r="S285" s="7">
        <f t="shared" si="1714"/>
        <v>1</v>
      </c>
      <c r="T285" s="7">
        <f t="shared" si="1714"/>
        <v>1</v>
      </c>
      <c r="U285" s="7">
        <f t="shared" si="19"/>
        <v>1</v>
      </c>
      <c r="V285" s="7">
        <f t="shared" ref="V285:X285" si="1715">IF(W285=1,1,RANDBETWEEN(0,1))</f>
        <v>1</v>
      </c>
      <c r="W285" s="7">
        <f t="shared" si="1715"/>
        <v>1</v>
      </c>
      <c r="X285" s="7">
        <f t="shared" si="1715"/>
        <v>1</v>
      </c>
      <c r="Y285" s="7">
        <f t="shared" si="21"/>
        <v>1</v>
      </c>
      <c r="Z285" s="7">
        <f t="shared" ref="Z285:AB285" si="1716">IF(AA285=1,1,RANDBETWEEN(0,1))</f>
        <v>1</v>
      </c>
      <c r="AA285" s="7">
        <f t="shared" si="1716"/>
        <v>1</v>
      </c>
      <c r="AB285" s="7">
        <f t="shared" si="1716"/>
        <v>1</v>
      </c>
      <c r="AC285" s="7">
        <f t="shared" si="23"/>
        <v>0</v>
      </c>
      <c r="AD285" s="7">
        <f t="shared" ref="AD285:AF285" si="1717">IF(AE285=1,1,RANDBETWEEN(0,1))</f>
        <v>1</v>
      </c>
      <c r="AE285" s="7">
        <f t="shared" si="1717"/>
        <v>1</v>
      </c>
      <c r="AF285" s="7">
        <f t="shared" si="1717"/>
        <v>0</v>
      </c>
      <c r="AG285" s="7">
        <f t="shared" si="25"/>
        <v>0</v>
      </c>
    </row>
    <row r="286">
      <c r="A286" s="4" t="s">
        <v>820</v>
      </c>
      <c r="B286" s="4" t="s">
        <v>821</v>
      </c>
      <c r="C286" s="4" t="s">
        <v>822</v>
      </c>
      <c r="D286" s="5">
        <v>9680.0</v>
      </c>
      <c r="E286" s="6">
        <f t="shared" si="7"/>
        <v>821</v>
      </c>
      <c r="F286" s="7">
        <f t="shared" ref="F286:G286" si="1718">ROUND(RAND(),2)</f>
        <v>0.23</v>
      </c>
      <c r="G286" s="7">
        <f t="shared" si="1718"/>
        <v>0.36</v>
      </c>
      <c r="H286" s="7">
        <f t="shared" si="9"/>
        <v>3</v>
      </c>
      <c r="I286" s="7">
        <f t="shared" si="10"/>
        <v>2162</v>
      </c>
      <c r="J286" s="7">
        <f t="shared" si="11"/>
        <v>74485</v>
      </c>
      <c r="K286" s="7" t="str">
        <f t="shared" si="12"/>
        <v>B</v>
      </c>
      <c r="L286" s="7" t="str">
        <f t="shared" si="13"/>
        <v>Transformative change</v>
      </c>
      <c r="M286" s="7" t="str">
        <f t="shared" si="14"/>
        <v>Medium</v>
      </c>
      <c r="N286" s="7">
        <f t="shared" si="15"/>
        <v>1773327</v>
      </c>
      <c r="O286" s="7">
        <f t="shared" si="16"/>
        <v>1285237.889</v>
      </c>
      <c r="P286" s="7">
        <f t="shared" ref="P286:Q286" si="1719">RANDBETWEEN(0,22)</f>
        <v>3</v>
      </c>
      <c r="Q286" s="7">
        <f t="shared" si="1719"/>
        <v>8</v>
      </c>
      <c r="R286" s="7">
        <f t="shared" ref="R286:T286" si="1720">IF(S286=1,1,RANDBETWEEN(0,1))</f>
        <v>1</v>
      </c>
      <c r="S286" s="7">
        <f t="shared" si="1720"/>
        <v>1</v>
      </c>
      <c r="T286" s="7">
        <f t="shared" si="1720"/>
        <v>1</v>
      </c>
      <c r="U286" s="7">
        <f t="shared" si="19"/>
        <v>0</v>
      </c>
      <c r="V286" s="7">
        <f t="shared" ref="V286:X286" si="1721">IF(W286=1,1,RANDBETWEEN(0,1))</f>
        <v>1</v>
      </c>
      <c r="W286" s="7">
        <f t="shared" si="1721"/>
        <v>1</v>
      </c>
      <c r="X286" s="7">
        <f t="shared" si="1721"/>
        <v>1</v>
      </c>
      <c r="Y286" s="7">
        <f t="shared" si="21"/>
        <v>1</v>
      </c>
      <c r="Z286" s="7">
        <f t="shared" ref="Z286:AB286" si="1722">IF(AA286=1,1,RANDBETWEEN(0,1))</f>
        <v>1</v>
      </c>
      <c r="AA286" s="7">
        <f t="shared" si="1722"/>
        <v>1</v>
      </c>
      <c r="AB286" s="7">
        <f t="shared" si="1722"/>
        <v>1</v>
      </c>
      <c r="AC286" s="7">
        <f t="shared" si="23"/>
        <v>0</v>
      </c>
      <c r="AD286" s="7">
        <f t="shared" ref="AD286:AF286" si="1723">IF(AE286=1,1,RANDBETWEEN(0,1))</f>
        <v>1</v>
      </c>
      <c r="AE286" s="7">
        <f t="shared" si="1723"/>
        <v>1</v>
      </c>
      <c r="AF286" s="7">
        <f t="shared" si="1723"/>
        <v>1</v>
      </c>
      <c r="AG286" s="7">
        <f t="shared" si="25"/>
        <v>1</v>
      </c>
    </row>
    <row r="287">
      <c r="A287" s="4" t="s">
        <v>823</v>
      </c>
      <c r="B287" s="4" t="s">
        <v>824</v>
      </c>
      <c r="C287" s="4" t="s">
        <v>825</v>
      </c>
      <c r="D287" s="5">
        <v>15052.0</v>
      </c>
      <c r="E287" s="6">
        <f t="shared" si="7"/>
        <v>1056</v>
      </c>
      <c r="F287" s="7">
        <f t="shared" ref="F287:G287" si="1724">ROUND(RAND(),2)</f>
        <v>0.89</v>
      </c>
      <c r="G287" s="7">
        <f t="shared" si="1724"/>
        <v>0.53</v>
      </c>
      <c r="H287" s="7">
        <f t="shared" si="9"/>
        <v>2</v>
      </c>
      <c r="I287" s="7">
        <f t="shared" si="10"/>
        <v>88835</v>
      </c>
      <c r="J287" s="7">
        <f t="shared" si="11"/>
        <v>85783</v>
      </c>
      <c r="K287" s="7" t="str">
        <f t="shared" si="12"/>
        <v>D</v>
      </c>
      <c r="L287" s="7" t="str">
        <f t="shared" si="13"/>
        <v>Transformative change</v>
      </c>
      <c r="M287" s="7" t="str">
        <f t="shared" si="14"/>
        <v>Low</v>
      </c>
      <c r="N287" s="7">
        <f t="shared" si="15"/>
        <v>3832053</v>
      </c>
      <c r="O287" s="7">
        <f t="shared" si="16"/>
        <v>1470875.752</v>
      </c>
      <c r="P287" s="7">
        <f t="shared" ref="P287:Q287" si="1725">RANDBETWEEN(0,22)</f>
        <v>16</v>
      </c>
      <c r="Q287" s="7">
        <f t="shared" si="1725"/>
        <v>6</v>
      </c>
      <c r="R287" s="7">
        <f t="shared" ref="R287:T287" si="1726">IF(S287=1,1,RANDBETWEEN(0,1))</f>
        <v>1</v>
      </c>
      <c r="S287" s="7">
        <f t="shared" si="1726"/>
        <v>1</v>
      </c>
      <c r="T287" s="7">
        <f t="shared" si="1726"/>
        <v>0</v>
      </c>
      <c r="U287" s="7">
        <f t="shared" si="19"/>
        <v>0</v>
      </c>
      <c r="V287" s="7">
        <f t="shared" ref="V287:X287" si="1727">IF(W287=1,1,RANDBETWEEN(0,1))</f>
        <v>1</v>
      </c>
      <c r="W287" s="7">
        <f t="shared" si="1727"/>
        <v>1</v>
      </c>
      <c r="X287" s="7">
        <f t="shared" si="1727"/>
        <v>1</v>
      </c>
      <c r="Y287" s="7">
        <f t="shared" si="21"/>
        <v>1</v>
      </c>
      <c r="Z287" s="7">
        <f t="shared" ref="Z287:AB287" si="1728">IF(AA287=1,1,RANDBETWEEN(0,1))</f>
        <v>1</v>
      </c>
      <c r="AA287" s="7">
        <f t="shared" si="1728"/>
        <v>1</v>
      </c>
      <c r="AB287" s="7">
        <f t="shared" si="1728"/>
        <v>1</v>
      </c>
      <c r="AC287" s="7">
        <f t="shared" si="23"/>
        <v>0</v>
      </c>
      <c r="AD287" s="7">
        <f t="shared" ref="AD287:AF287" si="1729">IF(AE287=1,1,RANDBETWEEN(0,1))</f>
        <v>1</v>
      </c>
      <c r="AE287" s="7">
        <f t="shared" si="1729"/>
        <v>1</v>
      </c>
      <c r="AF287" s="7">
        <f t="shared" si="1729"/>
        <v>1</v>
      </c>
      <c r="AG287" s="7">
        <f t="shared" si="25"/>
        <v>1</v>
      </c>
    </row>
    <row r="288">
      <c r="A288" s="4" t="s">
        <v>826</v>
      </c>
      <c r="B288" s="4" t="s">
        <v>827</v>
      </c>
      <c r="C288" s="4" t="s">
        <v>828</v>
      </c>
      <c r="D288" s="5">
        <v>10573.0</v>
      </c>
      <c r="E288" s="6">
        <f t="shared" si="7"/>
        <v>1100</v>
      </c>
      <c r="F288" s="7">
        <f t="shared" ref="F288:G288" si="1730">ROUND(RAND(),2)</f>
        <v>0.94</v>
      </c>
      <c r="G288" s="7">
        <f t="shared" si="1730"/>
        <v>0.12</v>
      </c>
      <c r="H288" s="7">
        <f t="shared" si="9"/>
        <v>3</v>
      </c>
      <c r="I288" s="7">
        <f t="shared" si="10"/>
        <v>18152</v>
      </c>
      <c r="J288" s="7">
        <f t="shared" si="11"/>
        <v>11047</v>
      </c>
      <c r="K288" s="7" t="str">
        <f t="shared" si="12"/>
        <v>E</v>
      </c>
      <c r="L288" s="7" t="str">
        <f t="shared" si="13"/>
        <v>Transformative change</v>
      </c>
      <c r="M288" s="7" t="str">
        <f t="shared" si="14"/>
        <v>High</v>
      </c>
      <c r="N288" s="7">
        <f t="shared" si="15"/>
        <v>899293</v>
      </c>
      <c r="O288" s="7">
        <f t="shared" si="16"/>
        <v>75842.88347</v>
      </c>
      <c r="P288" s="7">
        <f t="shared" ref="P288:Q288" si="1731">RANDBETWEEN(0,22)</f>
        <v>19</v>
      </c>
      <c r="Q288" s="7">
        <f t="shared" si="1731"/>
        <v>13</v>
      </c>
      <c r="R288" s="7">
        <f t="shared" ref="R288:T288" si="1732">IF(S288=1,1,RANDBETWEEN(0,1))</f>
        <v>1</v>
      </c>
      <c r="S288" s="7">
        <f t="shared" si="1732"/>
        <v>1</v>
      </c>
      <c r="T288" s="7">
        <f t="shared" si="1732"/>
        <v>1</v>
      </c>
      <c r="U288" s="7">
        <f t="shared" si="19"/>
        <v>1</v>
      </c>
      <c r="V288" s="7">
        <f t="shared" ref="V288:X288" si="1733">IF(W288=1,1,RANDBETWEEN(0,1))</f>
        <v>1</v>
      </c>
      <c r="W288" s="7">
        <f t="shared" si="1733"/>
        <v>0</v>
      </c>
      <c r="X288" s="7">
        <f t="shared" si="1733"/>
        <v>0</v>
      </c>
      <c r="Y288" s="7">
        <f t="shared" si="21"/>
        <v>0</v>
      </c>
      <c r="Z288" s="7">
        <f t="shared" ref="Z288:AB288" si="1734">IF(AA288=1,1,RANDBETWEEN(0,1))</f>
        <v>1</v>
      </c>
      <c r="AA288" s="7">
        <f t="shared" si="1734"/>
        <v>1</v>
      </c>
      <c r="AB288" s="7">
        <f t="shared" si="1734"/>
        <v>1</v>
      </c>
      <c r="AC288" s="7">
        <f t="shared" si="23"/>
        <v>0</v>
      </c>
      <c r="AD288" s="7">
        <f t="shared" ref="AD288:AF288" si="1735">IF(AE288=1,1,RANDBETWEEN(0,1))</f>
        <v>1</v>
      </c>
      <c r="AE288" s="7">
        <f t="shared" si="1735"/>
        <v>1</v>
      </c>
      <c r="AF288" s="7">
        <f t="shared" si="1735"/>
        <v>1</v>
      </c>
      <c r="AG288" s="7">
        <f t="shared" si="25"/>
        <v>1</v>
      </c>
    </row>
    <row r="289">
      <c r="A289" s="4" t="s">
        <v>829</v>
      </c>
      <c r="B289" s="4" t="s">
        <v>830</v>
      </c>
      <c r="C289" s="4" t="s">
        <v>95</v>
      </c>
      <c r="D289" s="5">
        <v>58999.0</v>
      </c>
      <c r="E289" s="6">
        <f t="shared" si="7"/>
        <v>339.07</v>
      </c>
      <c r="F289" s="7">
        <f t="shared" ref="F289:G289" si="1736">ROUND(RAND(),2)</f>
        <v>0.79</v>
      </c>
      <c r="G289" s="7">
        <f t="shared" si="1736"/>
        <v>0.23</v>
      </c>
      <c r="H289" s="7">
        <f t="shared" si="9"/>
        <v>5</v>
      </c>
      <c r="I289" s="7">
        <f t="shared" si="10"/>
        <v>93585</v>
      </c>
      <c r="J289" s="7">
        <f t="shared" si="11"/>
        <v>61738</v>
      </c>
      <c r="K289" s="7" t="str">
        <f t="shared" si="12"/>
        <v>G</v>
      </c>
      <c r="L289" s="7" t="str">
        <f t="shared" si="13"/>
        <v>Transformative change</v>
      </c>
      <c r="M289" s="7" t="str">
        <f t="shared" si="14"/>
        <v>Low</v>
      </c>
      <c r="N289" s="7">
        <f t="shared" si="15"/>
        <v>2861921</v>
      </c>
      <c r="O289" s="7">
        <f t="shared" si="16"/>
        <v>693242.3411</v>
      </c>
      <c r="P289" s="7">
        <f t="shared" ref="P289:Q289" si="1737">RANDBETWEEN(0,22)</f>
        <v>14</v>
      </c>
      <c r="Q289" s="7">
        <f t="shared" si="1737"/>
        <v>21</v>
      </c>
      <c r="R289" s="7">
        <f t="shared" ref="R289:T289" si="1738">IF(S289=1,1,RANDBETWEEN(0,1))</f>
        <v>1</v>
      </c>
      <c r="S289" s="7">
        <f t="shared" si="1738"/>
        <v>1</v>
      </c>
      <c r="T289" s="7">
        <f t="shared" si="1738"/>
        <v>1</v>
      </c>
      <c r="U289" s="7">
        <f t="shared" si="19"/>
        <v>0</v>
      </c>
      <c r="V289" s="7">
        <f t="shared" ref="V289:X289" si="1739">IF(W289=1,1,RANDBETWEEN(0,1))</f>
        <v>1</v>
      </c>
      <c r="W289" s="7">
        <f t="shared" si="1739"/>
        <v>1</v>
      </c>
      <c r="X289" s="7">
        <f t="shared" si="1739"/>
        <v>1</v>
      </c>
      <c r="Y289" s="7">
        <f t="shared" si="21"/>
        <v>1</v>
      </c>
      <c r="Z289" s="7">
        <f t="shared" ref="Z289:AB289" si="1740">IF(AA289=1,1,RANDBETWEEN(0,1))</f>
        <v>1</v>
      </c>
      <c r="AA289" s="7">
        <f t="shared" si="1740"/>
        <v>1</v>
      </c>
      <c r="AB289" s="7">
        <f t="shared" si="1740"/>
        <v>1</v>
      </c>
      <c r="AC289" s="7">
        <f t="shared" si="23"/>
        <v>1</v>
      </c>
      <c r="AD289" s="7">
        <f t="shared" ref="AD289:AF289" si="1741">IF(AE289=1,1,RANDBETWEEN(0,1))</f>
        <v>1</v>
      </c>
      <c r="AE289" s="7">
        <f t="shared" si="1741"/>
        <v>1</v>
      </c>
      <c r="AF289" s="7">
        <f t="shared" si="1741"/>
        <v>1</v>
      </c>
      <c r="AG289" s="7">
        <f t="shared" si="25"/>
        <v>0</v>
      </c>
    </row>
    <row r="290">
      <c r="A290" s="4" t="s">
        <v>561</v>
      </c>
      <c r="B290" s="4" t="s">
        <v>831</v>
      </c>
      <c r="C290" s="4" t="s">
        <v>95</v>
      </c>
      <c r="D290" s="5">
        <v>42796.0</v>
      </c>
      <c r="E290" s="6">
        <f t="shared" si="7"/>
        <v>826</v>
      </c>
      <c r="F290" s="7">
        <f t="shared" ref="F290:G290" si="1742">ROUND(RAND(),2)</f>
        <v>0.18</v>
      </c>
      <c r="G290" s="7">
        <f t="shared" si="1742"/>
        <v>0.2</v>
      </c>
      <c r="H290" s="7">
        <f t="shared" si="9"/>
        <v>3</v>
      </c>
      <c r="I290" s="7">
        <f t="shared" si="10"/>
        <v>71724</v>
      </c>
      <c r="J290" s="7">
        <f t="shared" si="11"/>
        <v>23864</v>
      </c>
      <c r="K290" s="7" t="str">
        <f t="shared" si="12"/>
        <v>B</v>
      </c>
      <c r="L290" s="7" t="str">
        <f t="shared" si="13"/>
        <v>Transformative change</v>
      </c>
      <c r="M290" s="7" t="str">
        <f t="shared" si="14"/>
        <v>Medium</v>
      </c>
      <c r="N290" s="7">
        <f t="shared" si="15"/>
        <v>2107444</v>
      </c>
      <c r="O290" s="7">
        <f t="shared" si="16"/>
        <v>1278513.985</v>
      </c>
      <c r="P290" s="7">
        <f t="shared" ref="P290:Q290" si="1743">RANDBETWEEN(0,22)</f>
        <v>17</v>
      </c>
      <c r="Q290" s="7">
        <f t="shared" si="1743"/>
        <v>15</v>
      </c>
      <c r="R290" s="7">
        <f t="shared" ref="R290:T290" si="1744">IF(S290=1,1,RANDBETWEEN(0,1))</f>
        <v>1</v>
      </c>
      <c r="S290" s="7">
        <f t="shared" si="1744"/>
        <v>1</v>
      </c>
      <c r="T290" s="7">
        <f t="shared" si="1744"/>
        <v>1</v>
      </c>
      <c r="U290" s="7">
        <f t="shared" si="19"/>
        <v>0</v>
      </c>
      <c r="V290" s="7">
        <f t="shared" ref="V290:X290" si="1745">IF(W290=1,1,RANDBETWEEN(0,1))</f>
        <v>1</v>
      </c>
      <c r="W290" s="7">
        <f t="shared" si="1745"/>
        <v>1</v>
      </c>
      <c r="X290" s="7">
        <f t="shared" si="1745"/>
        <v>1</v>
      </c>
      <c r="Y290" s="7">
        <f t="shared" si="21"/>
        <v>0</v>
      </c>
      <c r="Z290" s="7">
        <f t="shared" ref="Z290:AB290" si="1746">IF(AA290=1,1,RANDBETWEEN(0,1))</f>
        <v>1</v>
      </c>
      <c r="AA290" s="7">
        <f t="shared" si="1746"/>
        <v>1</v>
      </c>
      <c r="AB290" s="7">
        <f t="shared" si="1746"/>
        <v>1</v>
      </c>
      <c r="AC290" s="7">
        <f t="shared" si="23"/>
        <v>1</v>
      </c>
      <c r="AD290" s="7">
        <f t="shared" ref="AD290:AF290" si="1747">IF(AE290=1,1,RANDBETWEEN(0,1))</f>
        <v>1</v>
      </c>
      <c r="AE290" s="7">
        <f t="shared" si="1747"/>
        <v>1</v>
      </c>
      <c r="AF290" s="7">
        <f t="shared" si="1747"/>
        <v>1</v>
      </c>
      <c r="AG290" s="7">
        <f t="shared" si="25"/>
        <v>1</v>
      </c>
    </row>
    <row r="291">
      <c r="A291" s="4" t="s">
        <v>832</v>
      </c>
      <c r="B291" s="4" t="s">
        <v>833</v>
      </c>
      <c r="C291" s="4" t="s">
        <v>95</v>
      </c>
      <c r="D291" s="5">
        <v>10548.0</v>
      </c>
      <c r="E291" s="6">
        <f t="shared" si="7"/>
        <v>930</v>
      </c>
      <c r="F291" s="7">
        <f t="shared" ref="F291:G291" si="1748">ROUND(RAND(),2)</f>
        <v>0.54</v>
      </c>
      <c r="G291" s="7">
        <f t="shared" si="1748"/>
        <v>0.3</v>
      </c>
      <c r="H291" s="7">
        <f t="shared" si="9"/>
        <v>3</v>
      </c>
      <c r="I291" s="7">
        <f t="shared" si="10"/>
        <v>69207</v>
      </c>
      <c r="J291" s="7">
        <f t="shared" si="11"/>
        <v>47112</v>
      </c>
      <c r="K291" s="7" t="str">
        <f t="shared" si="12"/>
        <v>G</v>
      </c>
      <c r="L291" s="7" t="str">
        <f t="shared" si="13"/>
        <v>Transformative change</v>
      </c>
      <c r="M291" s="7" t="str">
        <f t="shared" si="14"/>
        <v>High</v>
      </c>
      <c r="N291" s="7">
        <f t="shared" si="15"/>
        <v>2570481</v>
      </c>
      <c r="O291" s="7">
        <f t="shared" si="16"/>
        <v>1617998.055</v>
      </c>
      <c r="P291" s="7">
        <f t="shared" ref="P291:Q291" si="1749">RANDBETWEEN(0,22)</f>
        <v>7</v>
      </c>
      <c r="Q291" s="7">
        <f t="shared" si="1749"/>
        <v>17</v>
      </c>
      <c r="R291" s="7">
        <f t="shared" ref="R291:T291" si="1750">IF(S291=1,1,RANDBETWEEN(0,1))</f>
        <v>1</v>
      </c>
      <c r="S291" s="7">
        <f t="shared" si="1750"/>
        <v>1</v>
      </c>
      <c r="T291" s="7">
        <f t="shared" si="1750"/>
        <v>0</v>
      </c>
      <c r="U291" s="7">
        <f t="shared" si="19"/>
        <v>0</v>
      </c>
      <c r="V291" s="7">
        <f t="shared" ref="V291:X291" si="1751">IF(W291=1,1,RANDBETWEEN(0,1))</f>
        <v>1</v>
      </c>
      <c r="W291" s="7">
        <f t="shared" si="1751"/>
        <v>1</v>
      </c>
      <c r="X291" s="7">
        <f t="shared" si="1751"/>
        <v>1</v>
      </c>
      <c r="Y291" s="7">
        <f t="shared" si="21"/>
        <v>1</v>
      </c>
      <c r="Z291" s="7">
        <f t="shared" ref="Z291:AB291" si="1752">IF(AA291=1,1,RANDBETWEEN(0,1))</f>
        <v>0</v>
      </c>
      <c r="AA291" s="7">
        <f t="shared" si="1752"/>
        <v>0</v>
      </c>
      <c r="AB291" s="7">
        <f t="shared" si="1752"/>
        <v>0</v>
      </c>
      <c r="AC291" s="7">
        <f t="shared" si="23"/>
        <v>0</v>
      </c>
      <c r="AD291" s="7">
        <f t="shared" ref="AD291:AF291" si="1753">IF(AE291=1,1,RANDBETWEEN(0,1))</f>
        <v>1</v>
      </c>
      <c r="AE291" s="7">
        <f t="shared" si="1753"/>
        <v>1</v>
      </c>
      <c r="AF291" s="7">
        <f t="shared" si="1753"/>
        <v>0</v>
      </c>
      <c r="AG291" s="7">
        <f t="shared" si="25"/>
        <v>0</v>
      </c>
    </row>
    <row r="292">
      <c r="A292" s="4" t="s">
        <v>834</v>
      </c>
      <c r="B292" s="4" t="s">
        <v>835</v>
      </c>
      <c r="C292" s="4" t="s">
        <v>836</v>
      </c>
      <c r="D292" s="5">
        <v>12565.0</v>
      </c>
      <c r="E292" s="6">
        <f t="shared" si="7"/>
        <v>997</v>
      </c>
      <c r="F292" s="7">
        <f t="shared" ref="F292:G292" si="1754">ROUND(RAND(),2)</f>
        <v>0.32</v>
      </c>
      <c r="G292" s="7">
        <f t="shared" si="1754"/>
        <v>0.92</v>
      </c>
      <c r="H292" s="7">
        <f t="shared" si="9"/>
        <v>2</v>
      </c>
      <c r="I292" s="7">
        <f t="shared" si="10"/>
        <v>60788</v>
      </c>
      <c r="J292" s="7">
        <f t="shared" si="11"/>
        <v>15718</v>
      </c>
      <c r="K292" s="7" t="str">
        <f t="shared" si="12"/>
        <v>G</v>
      </c>
      <c r="L292" s="7" t="str">
        <f t="shared" si="13"/>
        <v>Transformative change</v>
      </c>
      <c r="M292" s="7" t="str">
        <f t="shared" si="14"/>
        <v>Low</v>
      </c>
      <c r="N292" s="7">
        <f t="shared" si="15"/>
        <v>761708</v>
      </c>
      <c r="O292" s="7">
        <f t="shared" si="16"/>
        <v>361920.2857</v>
      </c>
      <c r="P292" s="7">
        <f t="shared" ref="P292:Q292" si="1755">RANDBETWEEN(0,22)</f>
        <v>20</v>
      </c>
      <c r="Q292" s="7">
        <f t="shared" si="1755"/>
        <v>7</v>
      </c>
      <c r="R292" s="7">
        <f t="shared" ref="R292:T292" si="1756">IF(S292=1,1,RANDBETWEEN(0,1))</f>
        <v>1</v>
      </c>
      <c r="S292" s="7">
        <f t="shared" si="1756"/>
        <v>1</v>
      </c>
      <c r="T292" s="7">
        <f t="shared" si="1756"/>
        <v>1</v>
      </c>
      <c r="U292" s="7">
        <f t="shared" si="19"/>
        <v>0</v>
      </c>
      <c r="V292" s="7">
        <f t="shared" ref="V292:X292" si="1757">IF(W292=1,1,RANDBETWEEN(0,1))</f>
        <v>1</v>
      </c>
      <c r="W292" s="7">
        <f t="shared" si="1757"/>
        <v>1</v>
      </c>
      <c r="X292" s="7">
        <f t="shared" si="1757"/>
        <v>1</v>
      </c>
      <c r="Y292" s="7">
        <f t="shared" si="21"/>
        <v>1</v>
      </c>
      <c r="Z292" s="7">
        <f t="shared" ref="Z292:AB292" si="1758">IF(AA292=1,1,RANDBETWEEN(0,1))</f>
        <v>1</v>
      </c>
      <c r="AA292" s="7">
        <f t="shared" si="1758"/>
        <v>1</v>
      </c>
      <c r="AB292" s="7">
        <f t="shared" si="1758"/>
        <v>1</v>
      </c>
      <c r="AC292" s="7">
        <f t="shared" si="23"/>
        <v>0</v>
      </c>
      <c r="AD292" s="7">
        <f t="shared" ref="AD292:AF292" si="1759">IF(AE292=1,1,RANDBETWEEN(0,1))</f>
        <v>1</v>
      </c>
      <c r="AE292" s="7">
        <f t="shared" si="1759"/>
        <v>1</v>
      </c>
      <c r="AF292" s="7">
        <f t="shared" si="1759"/>
        <v>1</v>
      </c>
      <c r="AG292" s="7">
        <f t="shared" si="25"/>
        <v>1</v>
      </c>
    </row>
    <row r="293">
      <c r="A293" s="4" t="s">
        <v>837</v>
      </c>
      <c r="B293" s="4" t="s">
        <v>838</v>
      </c>
      <c r="C293" s="4" t="s">
        <v>839</v>
      </c>
      <c r="D293" s="5">
        <v>16137.0</v>
      </c>
      <c r="E293" s="6">
        <f t="shared" si="7"/>
        <v>895</v>
      </c>
      <c r="F293" s="7">
        <f t="shared" ref="F293:G293" si="1760">ROUND(RAND(),2)</f>
        <v>0.66</v>
      </c>
      <c r="G293" s="7">
        <f t="shared" si="1760"/>
        <v>0.74</v>
      </c>
      <c r="H293" s="7">
        <f t="shared" si="9"/>
        <v>2</v>
      </c>
      <c r="I293" s="7">
        <f t="shared" si="10"/>
        <v>97173</v>
      </c>
      <c r="J293" s="7">
        <f t="shared" si="11"/>
        <v>90935</v>
      </c>
      <c r="K293" s="7" t="str">
        <f t="shared" si="12"/>
        <v>D</v>
      </c>
      <c r="L293" s="7" t="str">
        <f t="shared" si="13"/>
        <v>Transformative change</v>
      </c>
      <c r="M293" s="7" t="str">
        <f t="shared" si="14"/>
        <v>Medium</v>
      </c>
      <c r="N293" s="7">
        <f t="shared" si="15"/>
        <v>2068488</v>
      </c>
      <c r="O293" s="7">
        <f t="shared" si="16"/>
        <v>1083937.766</v>
      </c>
      <c r="P293" s="7">
        <f t="shared" ref="P293:Q293" si="1761">RANDBETWEEN(0,22)</f>
        <v>13</v>
      </c>
      <c r="Q293" s="7">
        <f t="shared" si="1761"/>
        <v>13</v>
      </c>
      <c r="R293" s="7">
        <f t="shared" ref="R293:T293" si="1762">IF(S293=1,1,RANDBETWEEN(0,1))</f>
        <v>1</v>
      </c>
      <c r="S293" s="7">
        <f t="shared" si="1762"/>
        <v>1</v>
      </c>
      <c r="T293" s="7">
        <f t="shared" si="1762"/>
        <v>1</v>
      </c>
      <c r="U293" s="7">
        <f t="shared" si="19"/>
        <v>1</v>
      </c>
      <c r="V293" s="7">
        <f t="shared" ref="V293:X293" si="1763">IF(W293=1,1,RANDBETWEEN(0,1))</f>
        <v>1</v>
      </c>
      <c r="W293" s="7">
        <f t="shared" si="1763"/>
        <v>1</v>
      </c>
      <c r="X293" s="7">
        <f t="shared" si="1763"/>
        <v>1</v>
      </c>
      <c r="Y293" s="7">
        <f t="shared" si="21"/>
        <v>1</v>
      </c>
      <c r="Z293" s="7">
        <f t="shared" ref="Z293:AB293" si="1764">IF(AA293=1,1,RANDBETWEEN(0,1))</f>
        <v>1</v>
      </c>
      <c r="AA293" s="7">
        <f t="shared" si="1764"/>
        <v>1</v>
      </c>
      <c r="AB293" s="7">
        <f t="shared" si="1764"/>
        <v>0</v>
      </c>
      <c r="AC293" s="7">
        <f t="shared" si="23"/>
        <v>0</v>
      </c>
      <c r="AD293" s="7">
        <f t="shared" ref="AD293:AF293" si="1765">IF(AE293=1,1,RANDBETWEEN(0,1))</f>
        <v>1</v>
      </c>
      <c r="AE293" s="7">
        <f t="shared" si="1765"/>
        <v>1</v>
      </c>
      <c r="AF293" s="7">
        <f t="shared" si="1765"/>
        <v>1</v>
      </c>
      <c r="AG293" s="7">
        <f t="shared" si="25"/>
        <v>1</v>
      </c>
    </row>
    <row r="294">
      <c r="A294" s="4" t="s">
        <v>840</v>
      </c>
      <c r="B294" s="4" t="s">
        <v>841</v>
      </c>
      <c r="C294" s="4" t="s">
        <v>842</v>
      </c>
      <c r="D294" s="5">
        <v>149925.0</v>
      </c>
      <c r="E294" s="6">
        <f t="shared" si="7"/>
        <v>985</v>
      </c>
      <c r="F294" s="7">
        <f t="shared" ref="F294:G294" si="1766">ROUND(RAND(),2)</f>
        <v>0.36</v>
      </c>
      <c r="G294" s="7">
        <f t="shared" si="1766"/>
        <v>0.44</v>
      </c>
      <c r="H294" s="7">
        <f t="shared" si="9"/>
        <v>2</v>
      </c>
      <c r="I294" s="7">
        <f t="shared" si="10"/>
        <v>77040</v>
      </c>
      <c r="J294" s="7">
        <f t="shared" si="11"/>
        <v>4318</v>
      </c>
      <c r="K294" s="7" t="str">
        <f t="shared" si="12"/>
        <v>G</v>
      </c>
      <c r="L294" s="7" t="str">
        <f t="shared" si="13"/>
        <v>High ambition</v>
      </c>
      <c r="M294" s="7" t="str">
        <f t="shared" si="14"/>
        <v>Low</v>
      </c>
      <c r="N294" s="7">
        <f t="shared" si="15"/>
        <v>2691257</v>
      </c>
      <c r="O294" s="7">
        <f t="shared" si="16"/>
        <v>2669931.394</v>
      </c>
      <c r="P294" s="7">
        <f t="shared" ref="P294:Q294" si="1767">RANDBETWEEN(0,22)</f>
        <v>1</v>
      </c>
      <c r="Q294" s="7">
        <f t="shared" si="1767"/>
        <v>6</v>
      </c>
      <c r="R294" s="7">
        <f t="shared" ref="R294:T294" si="1768">IF(S294=1,1,RANDBETWEEN(0,1))</f>
        <v>1</v>
      </c>
      <c r="S294" s="7">
        <f t="shared" si="1768"/>
        <v>1</v>
      </c>
      <c r="T294" s="7">
        <f t="shared" si="1768"/>
        <v>1</v>
      </c>
      <c r="U294" s="7">
        <f t="shared" si="19"/>
        <v>1</v>
      </c>
      <c r="V294" s="7">
        <f t="shared" ref="V294:X294" si="1769">IF(W294=1,1,RANDBETWEEN(0,1))</f>
        <v>1</v>
      </c>
      <c r="W294" s="7">
        <f t="shared" si="1769"/>
        <v>1</v>
      </c>
      <c r="X294" s="7">
        <f t="shared" si="1769"/>
        <v>1</v>
      </c>
      <c r="Y294" s="7">
        <f t="shared" si="21"/>
        <v>0</v>
      </c>
      <c r="Z294" s="7">
        <f t="shared" ref="Z294:AB294" si="1770">IF(AA294=1,1,RANDBETWEEN(0,1))</f>
        <v>1</v>
      </c>
      <c r="AA294" s="7">
        <f t="shared" si="1770"/>
        <v>0</v>
      </c>
      <c r="AB294" s="7">
        <f t="shared" si="1770"/>
        <v>0</v>
      </c>
      <c r="AC294" s="7">
        <f t="shared" si="23"/>
        <v>0</v>
      </c>
      <c r="AD294" s="7">
        <f t="shared" ref="AD294:AF294" si="1771">IF(AE294=1,1,RANDBETWEEN(0,1))</f>
        <v>1</v>
      </c>
      <c r="AE294" s="7">
        <f t="shared" si="1771"/>
        <v>1</v>
      </c>
      <c r="AF294" s="7">
        <f t="shared" si="1771"/>
        <v>1</v>
      </c>
      <c r="AG294" s="7">
        <f t="shared" si="25"/>
        <v>1</v>
      </c>
    </row>
    <row r="295">
      <c r="A295" s="4" t="s">
        <v>843</v>
      </c>
      <c r="B295" s="4" t="s">
        <v>844</v>
      </c>
      <c r="C295" s="4" t="s">
        <v>845</v>
      </c>
      <c r="D295" s="5">
        <v>16405.0</v>
      </c>
      <c r="E295" s="6">
        <f t="shared" si="7"/>
        <v>904</v>
      </c>
      <c r="F295" s="7">
        <f t="shared" ref="F295:G295" si="1772">ROUND(RAND(),2)</f>
        <v>0.41</v>
      </c>
      <c r="G295" s="7">
        <f t="shared" si="1772"/>
        <v>0.29</v>
      </c>
      <c r="H295" s="7">
        <f t="shared" si="9"/>
        <v>1</v>
      </c>
      <c r="I295" s="7">
        <f t="shared" si="10"/>
        <v>30421</v>
      </c>
      <c r="J295" s="7">
        <f t="shared" si="11"/>
        <v>21686</v>
      </c>
      <c r="K295" s="7" t="str">
        <f t="shared" si="12"/>
        <v>B</v>
      </c>
      <c r="L295" s="7" t="str">
        <f t="shared" si="13"/>
        <v>Transformative change</v>
      </c>
      <c r="M295" s="7" t="str">
        <f t="shared" si="14"/>
        <v>Medium</v>
      </c>
      <c r="N295" s="7">
        <f t="shared" si="15"/>
        <v>2306487</v>
      </c>
      <c r="O295" s="7">
        <f t="shared" si="16"/>
        <v>1394832.957</v>
      </c>
      <c r="P295" s="7">
        <f t="shared" ref="P295:Q295" si="1773">RANDBETWEEN(0,22)</f>
        <v>14</v>
      </c>
      <c r="Q295" s="7">
        <f t="shared" si="1773"/>
        <v>4</v>
      </c>
      <c r="R295" s="7">
        <f t="shared" ref="R295:T295" si="1774">IF(S295=1,1,RANDBETWEEN(0,1))</f>
        <v>1</v>
      </c>
      <c r="S295" s="7">
        <f t="shared" si="1774"/>
        <v>1</v>
      </c>
      <c r="T295" s="7">
        <f t="shared" si="1774"/>
        <v>1</v>
      </c>
      <c r="U295" s="7">
        <f t="shared" si="19"/>
        <v>1</v>
      </c>
      <c r="V295" s="7">
        <f t="shared" ref="V295:X295" si="1775">IF(W295=1,1,RANDBETWEEN(0,1))</f>
        <v>1</v>
      </c>
      <c r="W295" s="7">
        <f t="shared" si="1775"/>
        <v>1</v>
      </c>
      <c r="X295" s="7">
        <f t="shared" si="1775"/>
        <v>1</v>
      </c>
      <c r="Y295" s="7">
        <f t="shared" si="21"/>
        <v>1</v>
      </c>
      <c r="Z295" s="7">
        <f t="shared" ref="Z295:AB295" si="1776">IF(AA295=1,1,RANDBETWEEN(0,1))</f>
        <v>1</v>
      </c>
      <c r="AA295" s="7">
        <f t="shared" si="1776"/>
        <v>1</v>
      </c>
      <c r="AB295" s="7">
        <f t="shared" si="1776"/>
        <v>0</v>
      </c>
      <c r="AC295" s="7">
        <f t="shared" si="23"/>
        <v>0</v>
      </c>
      <c r="AD295" s="7">
        <f t="shared" ref="AD295:AF295" si="1777">IF(AE295=1,1,RANDBETWEEN(0,1))</f>
        <v>1</v>
      </c>
      <c r="AE295" s="7">
        <f t="shared" si="1777"/>
        <v>1</v>
      </c>
      <c r="AF295" s="7">
        <f t="shared" si="1777"/>
        <v>0</v>
      </c>
      <c r="AG295" s="7">
        <f t="shared" si="25"/>
        <v>0</v>
      </c>
    </row>
    <row r="296">
      <c r="A296" s="4" t="s">
        <v>846</v>
      </c>
      <c r="B296" s="4" t="s">
        <v>847</v>
      </c>
      <c r="C296" s="4" t="s">
        <v>848</v>
      </c>
      <c r="D296" s="5">
        <v>5506.0</v>
      </c>
      <c r="E296" s="6">
        <f t="shared" si="7"/>
        <v>888</v>
      </c>
      <c r="F296" s="7">
        <f t="shared" ref="F296:G296" si="1778">ROUND(RAND(),2)</f>
        <v>0.97</v>
      </c>
      <c r="G296" s="7">
        <f t="shared" si="1778"/>
        <v>0.2</v>
      </c>
      <c r="H296" s="7">
        <f t="shared" si="9"/>
        <v>1</v>
      </c>
      <c r="I296" s="7">
        <f t="shared" si="10"/>
        <v>83101</v>
      </c>
      <c r="J296" s="7">
        <f t="shared" si="11"/>
        <v>6485</v>
      </c>
      <c r="K296" s="7" t="str">
        <f t="shared" si="12"/>
        <v>D</v>
      </c>
      <c r="L296" s="7" t="str">
        <f t="shared" si="13"/>
        <v>Transformative change</v>
      </c>
      <c r="M296" s="7" t="str">
        <f t="shared" si="14"/>
        <v>Medium</v>
      </c>
      <c r="N296" s="7">
        <f t="shared" si="15"/>
        <v>3109885</v>
      </c>
      <c r="O296" s="7">
        <f t="shared" si="16"/>
        <v>1149582.674</v>
      </c>
      <c r="P296" s="7">
        <f t="shared" ref="P296:Q296" si="1779">RANDBETWEEN(0,22)</f>
        <v>0</v>
      </c>
      <c r="Q296" s="7">
        <f t="shared" si="1779"/>
        <v>15</v>
      </c>
      <c r="R296" s="7">
        <f t="shared" ref="R296:T296" si="1780">IF(S296=1,1,RANDBETWEEN(0,1))</f>
        <v>1</v>
      </c>
      <c r="S296" s="7">
        <f t="shared" si="1780"/>
        <v>1</v>
      </c>
      <c r="T296" s="7">
        <f t="shared" si="1780"/>
        <v>0</v>
      </c>
      <c r="U296" s="7">
        <f t="shared" si="19"/>
        <v>0</v>
      </c>
      <c r="V296" s="7">
        <f t="shared" ref="V296:X296" si="1781">IF(W296=1,1,RANDBETWEEN(0,1))</f>
        <v>0</v>
      </c>
      <c r="W296" s="7">
        <f t="shared" si="1781"/>
        <v>0</v>
      </c>
      <c r="X296" s="7">
        <f t="shared" si="1781"/>
        <v>0</v>
      </c>
      <c r="Y296" s="7">
        <f t="shared" si="21"/>
        <v>0</v>
      </c>
      <c r="Z296" s="7">
        <f t="shared" ref="Z296:AB296" si="1782">IF(AA296=1,1,RANDBETWEEN(0,1))</f>
        <v>1</v>
      </c>
      <c r="AA296" s="7">
        <f t="shared" si="1782"/>
        <v>1</v>
      </c>
      <c r="AB296" s="7">
        <f t="shared" si="1782"/>
        <v>1</v>
      </c>
      <c r="AC296" s="7">
        <f t="shared" si="23"/>
        <v>1</v>
      </c>
      <c r="AD296" s="7">
        <f t="shared" ref="AD296:AF296" si="1783">IF(AE296=1,1,RANDBETWEEN(0,1))</f>
        <v>0</v>
      </c>
      <c r="AE296" s="7">
        <f t="shared" si="1783"/>
        <v>0</v>
      </c>
      <c r="AF296" s="7">
        <f t="shared" si="1783"/>
        <v>0</v>
      </c>
      <c r="AG296" s="7">
        <f t="shared" si="25"/>
        <v>0</v>
      </c>
    </row>
    <row r="297">
      <c r="A297" s="4" t="s">
        <v>849</v>
      </c>
      <c r="B297" s="4" t="s">
        <v>850</v>
      </c>
      <c r="C297" s="4" t="s">
        <v>95</v>
      </c>
      <c r="D297" s="5">
        <v>19985.0</v>
      </c>
      <c r="E297" s="6">
        <f t="shared" si="7"/>
        <v>928</v>
      </c>
      <c r="F297" s="7">
        <f t="shared" ref="F297:G297" si="1784">ROUND(RAND(),2)</f>
        <v>0.17</v>
      </c>
      <c r="G297" s="7">
        <f t="shared" si="1784"/>
        <v>0.4</v>
      </c>
      <c r="H297" s="7">
        <f t="shared" si="9"/>
        <v>2</v>
      </c>
      <c r="I297" s="7">
        <f t="shared" si="10"/>
        <v>54498</v>
      </c>
      <c r="J297" s="7">
        <f t="shared" si="11"/>
        <v>20534</v>
      </c>
      <c r="K297" s="7" t="str">
        <f t="shared" si="12"/>
        <v>G</v>
      </c>
      <c r="L297" s="7" t="str">
        <f t="shared" si="13"/>
        <v>Transformative change</v>
      </c>
      <c r="M297" s="7" t="str">
        <f t="shared" si="14"/>
        <v>High</v>
      </c>
      <c r="N297" s="7">
        <f t="shared" si="15"/>
        <v>1508986</v>
      </c>
      <c r="O297" s="7">
        <f t="shared" si="16"/>
        <v>422631.9321</v>
      </c>
      <c r="P297" s="7">
        <f t="shared" ref="P297:Q297" si="1785">RANDBETWEEN(0,22)</f>
        <v>8</v>
      </c>
      <c r="Q297" s="7">
        <f t="shared" si="1785"/>
        <v>19</v>
      </c>
      <c r="R297" s="7">
        <f t="shared" ref="R297:T297" si="1786">IF(S297=1,1,RANDBETWEEN(0,1))</f>
        <v>1</v>
      </c>
      <c r="S297" s="7">
        <f t="shared" si="1786"/>
        <v>1</v>
      </c>
      <c r="T297" s="7">
        <f t="shared" si="1786"/>
        <v>1</v>
      </c>
      <c r="U297" s="7">
        <f t="shared" si="19"/>
        <v>0</v>
      </c>
      <c r="V297" s="7">
        <f t="shared" ref="V297:X297" si="1787">IF(W297=1,1,RANDBETWEEN(0,1))</f>
        <v>1</v>
      </c>
      <c r="W297" s="7">
        <f t="shared" si="1787"/>
        <v>1</v>
      </c>
      <c r="X297" s="7">
        <f t="shared" si="1787"/>
        <v>1</v>
      </c>
      <c r="Y297" s="7">
        <f t="shared" si="21"/>
        <v>0</v>
      </c>
      <c r="Z297" s="7">
        <f t="shared" ref="Z297:AB297" si="1788">IF(AA297=1,1,RANDBETWEEN(0,1))</f>
        <v>1</v>
      </c>
      <c r="AA297" s="7">
        <f t="shared" si="1788"/>
        <v>1</v>
      </c>
      <c r="AB297" s="7">
        <f t="shared" si="1788"/>
        <v>1</v>
      </c>
      <c r="AC297" s="7">
        <f t="shared" si="23"/>
        <v>1</v>
      </c>
      <c r="AD297" s="7">
        <f t="shared" ref="AD297:AF297" si="1789">IF(AE297=1,1,RANDBETWEEN(0,1))</f>
        <v>0</v>
      </c>
      <c r="AE297" s="7">
        <f t="shared" si="1789"/>
        <v>0</v>
      </c>
      <c r="AF297" s="7">
        <f t="shared" si="1789"/>
        <v>0</v>
      </c>
      <c r="AG297" s="7">
        <f t="shared" si="25"/>
        <v>0</v>
      </c>
    </row>
    <row r="298">
      <c r="A298" s="4" t="s">
        <v>851</v>
      </c>
      <c r="B298" s="4" t="s">
        <v>852</v>
      </c>
      <c r="C298" s="4" t="s">
        <v>853</v>
      </c>
      <c r="D298" s="5">
        <v>52856.0</v>
      </c>
      <c r="E298" s="6">
        <f t="shared" si="7"/>
        <v>939</v>
      </c>
      <c r="F298" s="7">
        <f t="shared" ref="F298:G298" si="1790">ROUND(RAND(),2)</f>
        <v>0.48</v>
      </c>
      <c r="G298" s="7">
        <f t="shared" si="1790"/>
        <v>0.42</v>
      </c>
      <c r="H298" s="7">
        <f t="shared" si="9"/>
        <v>5</v>
      </c>
      <c r="I298" s="7">
        <f t="shared" si="10"/>
        <v>22910</v>
      </c>
      <c r="J298" s="7">
        <f t="shared" si="11"/>
        <v>10419</v>
      </c>
      <c r="K298" s="7" t="str">
        <f t="shared" si="12"/>
        <v>A</v>
      </c>
      <c r="L298" s="7" t="str">
        <f t="shared" si="13"/>
        <v>Transformative change</v>
      </c>
      <c r="M298" s="7" t="str">
        <f t="shared" si="14"/>
        <v>Low</v>
      </c>
      <c r="N298" s="7">
        <f t="shared" si="15"/>
        <v>3751658</v>
      </c>
      <c r="O298" s="7">
        <f t="shared" si="16"/>
        <v>1329531.597</v>
      </c>
      <c r="P298" s="7">
        <f t="shared" ref="P298:Q298" si="1791">RANDBETWEEN(0,22)</f>
        <v>6</v>
      </c>
      <c r="Q298" s="7">
        <f t="shared" si="1791"/>
        <v>20</v>
      </c>
      <c r="R298" s="7">
        <f t="shared" ref="R298:T298" si="1792">IF(S298=1,1,RANDBETWEEN(0,1))</f>
        <v>1</v>
      </c>
      <c r="S298" s="7">
        <f t="shared" si="1792"/>
        <v>1</v>
      </c>
      <c r="T298" s="7">
        <f t="shared" si="1792"/>
        <v>1</v>
      </c>
      <c r="U298" s="7">
        <f t="shared" si="19"/>
        <v>1</v>
      </c>
      <c r="V298" s="7">
        <f t="shared" ref="V298:X298" si="1793">IF(W298=1,1,RANDBETWEEN(0,1))</f>
        <v>1</v>
      </c>
      <c r="W298" s="7">
        <f t="shared" si="1793"/>
        <v>1</v>
      </c>
      <c r="X298" s="7">
        <f t="shared" si="1793"/>
        <v>1</v>
      </c>
      <c r="Y298" s="7">
        <f t="shared" si="21"/>
        <v>1</v>
      </c>
      <c r="Z298" s="7">
        <f t="shared" ref="Z298:AB298" si="1794">IF(AA298=1,1,RANDBETWEEN(0,1))</f>
        <v>1</v>
      </c>
      <c r="AA298" s="7">
        <f t="shared" si="1794"/>
        <v>1</v>
      </c>
      <c r="AB298" s="7">
        <f t="shared" si="1794"/>
        <v>1</v>
      </c>
      <c r="AC298" s="7">
        <f t="shared" si="23"/>
        <v>0</v>
      </c>
      <c r="AD298" s="7">
        <f t="shared" ref="AD298:AF298" si="1795">IF(AE298=1,1,RANDBETWEEN(0,1))</f>
        <v>1</v>
      </c>
      <c r="AE298" s="7">
        <f t="shared" si="1795"/>
        <v>1</v>
      </c>
      <c r="AF298" s="7">
        <f t="shared" si="1795"/>
        <v>1</v>
      </c>
      <c r="AG298" s="7">
        <f t="shared" si="25"/>
        <v>1</v>
      </c>
    </row>
    <row r="299">
      <c r="A299" s="4" t="s">
        <v>854</v>
      </c>
      <c r="B299" s="4" t="s">
        <v>855</v>
      </c>
      <c r="C299" s="4" t="s">
        <v>259</v>
      </c>
      <c r="D299" s="5">
        <v>5433.0</v>
      </c>
      <c r="E299" s="6">
        <f t="shared" si="7"/>
        <v>916</v>
      </c>
      <c r="F299" s="7">
        <f t="shared" ref="F299:G299" si="1796">ROUND(RAND(),2)</f>
        <v>0.97</v>
      </c>
      <c r="G299" s="7">
        <f t="shared" si="1796"/>
        <v>0.51</v>
      </c>
      <c r="H299" s="7">
        <f t="shared" si="9"/>
        <v>3</v>
      </c>
      <c r="I299" s="7">
        <f t="shared" si="10"/>
        <v>30854</v>
      </c>
      <c r="J299" s="7">
        <f t="shared" si="11"/>
        <v>58154</v>
      </c>
      <c r="K299" s="7" t="str">
        <f t="shared" si="12"/>
        <v>C</v>
      </c>
      <c r="L299" s="7" t="str">
        <f t="shared" si="13"/>
        <v>High ambition</v>
      </c>
      <c r="M299" s="7" t="str">
        <f t="shared" si="14"/>
        <v>High</v>
      </c>
      <c r="N299" s="7">
        <f t="shared" si="15"/>
        <v>2896986</v>
      </c>
      <c r="O299" s="7">
        <f t="shared" si="16"/>
        <v>202901.17</v>
      </c>
      <c r="P299" s="7">
        <f t="shared" ref="P299:Q299" si="1797">RANDBETWEEN(0,22)</f>
        <v>20</v>
      </c>
      <c r="Q299" s="7">
        <f t="shared" si="1797"/>
        <v>5</v>
      </c>
      <c r="R299" s="7">
        <f t="shared" ref="R299:T299" si="1798">IF(S299=1,1,RANDBETWEEN(0,1))</f>
        <v>1</v>
      </c>
      <c r="S299" s="7">
        <f t="shared" si="1798"/>
        <v>0</v>
      </c>
      <c r="T299" s="7">
        <f t="shared" si="1798"/>
        <v>0</v>
      </c>
      <c r="U299" s="7">
        <f t="shared" si="19"/>
        <v>0</v>
      </c>
      <c r="V299" s="7">
        <f t="shared" ref="V299:X299" si="1799">IF(W299=1,1,RANDBETWEEN(0,1))</f>
        <v>1</v>
      </c>
      <c r="W299" s="7">
        <f t="shared" si="1799"/>
        <v>1</v>
      </c>
      <c r="X299" s="7">
        <f t="shared" si="1799"/>
        <v>1</v>
      </c>
      <c r="Y299" s="7">
        <f t="shared" si="21"/>
        <v>1</v>
      </c>
      <c r="Z299" s="7">
        <f t="shared" ref="Z299:AB299" si="1800">IF(AA299=1,1,RANDBETWEEN(0,1))</f>
        <v>1</v>
      </c>
      <c r="AA299" s="7">
        <f t="shared" si="1800"/>
        <v>1</v>
      </c>
      <c r="AB299" s="7">
        <f t="shared" si="1800"/>
        <v>1</v>
      </c>
      <c r="AC299" s="7">
        <f t="shared" si="23"/>
        <v>1</v>
      </c>
      <c r="AD299" s="7">
        <f t="shared" ref="AD299:AF299" si="1801">IF(AE299=1,1,RANDBETWEEN(0,1))</f>
        <v>1</v>
      </c>
      <c r="AE299" s="7">
        <f t="shared" si="1801"/>
        <v>1</v>
      </c>
      <c r="AF299" s="7">
        <f t="shared" si="1801"/>
        <v>1</v>
      </c>
      <c r="AG299" s="7">
        <f t="shared" si="25"/>
        <v>1</v>
      </c>
    </row>
    <row r="300">
      <c r="A300" s="4" t="s">
        <v>856</v>
      </c>
      <c r="B300" s="4" t="s">
        <v>857</v>
      </c>
      <c r="C300" s="4" t="s">
        <v>858</v>
      </c>
      <c r="D300" s="5">
        <v>7539.0</v>
      </c>
      <c r="E300" s="6">
        <f t="shared" si="7"/>
        <v>869</v>
      </c>
      <c r="F300" s="7">
        <f t="shared" ref="F300:G300" si="1802">ROUND(RAND(),2)</f>
        <v>0.8</v>
      </c>
      <c r="G300" s="7">
        <f t="shared" si="1802"/>
        <v>0.04</v>
      </c>
      <c r="H300" s="7">
        <f t="shared" si="9"/>
        <v>5</v>
      </c>
      <c r="I300" s="7">
        <f t="shared" si="10"/>
        <v>73656</v>
      </c>
      <c r="J300" s="7">
        <f t="shared" si="11"/>
        <v>45650</v>
      </c>
      <c r="K300" s="7" t="str">
        <f t="shared" si="12"/>
        <v>F</v>
      </c>
      <c r="L300" s="7" t="str">
        <f t="shared" si="13"/>
        <v>Transformative change</v>
      </c>
      <c r="M300" s="7" t="str">
        <f t="shared" si="14"/>
        <v>Low</v>
      </c>
      <c r="N300" s="7">
        <f t="shared" si="15"/>
        <v>1884361</v>
      </c>
      <c r="O300" s="7">
        <f t="shared" si="16"/>
        <v>175733.044</v>
      </c>
      <c r="P300" s="7">
        <f t="shared" ref="P300:Q300" si="1803">RANDBETWEEN(0,22)</f>
        <v>12</v>
      </c>
      <c r="Q300" s="7">
        <f t="shared" si="1803"/>
        <v>6</v>
      </c>
      <c r="R300" s="7">
        <f t="shared" ref="R300:T300" si="1804">IF(S300=1,1,RANDBETWEEN(0,1))</f>
        <v>1</v>
      </c>
      <c r="S300" s="7">
        <f t="shared" si="1804"/>
        <v>1</v>
      </c>
      <c r="T300" s="7">
        <f t="shared" si="1804"/>
        <v>1</v>
      </c>
      <c r="U300" s="7">
        <f t="shared" si="19"/>
        <v>0</v>
      </c>
      <c r="V300" s="7">
        <f t="shared" ref="V300:X300" si="1805">IF(W300=1,1,RANDBETWEEN(0,1))</f>
        <v>1</v>
      </c>
      <c r="W300" s="7">
        <f t="shared" si="1805"/>
        <v>1</v>
      </c>
      <c r="X300" s="7">
        <f t="shared" si="1805"/>
        <v>1</v>
      </c>
      <c r="Y300" s="7">
        <f t="shared" si="21"/>
        <v>1</v>
      </c>
      <c r="Z300" s="7">
        <f t="shared" ref="Z300:AB300" si="1806">IF(AA300=1,1,RANDBETWEEN(0,1))</f>
        <v>1</v>
      </c>
      <c r="AA300" s="7">
        <f t="shared" si="1806"/>
        <v>1</v>
      </c>
      <c r="AB300" s="7">
        <f t="shared" si="1806"/>
        <v>1</v>
      </c>
      <c r="AC300" s="7">
        <f t="shared" si="23"/>
        <v>0</v>
      </c>
      <c r="AD300" s="7">
        <f t="shared" ref="AD300:AF300" si="1807">IF(AE300=1,1,RANDBETWEEN(0,1))</f>
        <v>1</v>
      </c>
      <c r="AE300" s="7">
        <f t="shared" si="1807"/>
        <v>1</v>
      </c>
      <c r="AF300" s="7">
        <f t="shared" si="1807"/>
        <v>1</v>
      </c>
      <c r="AG300" s="7">
        <f t="shared" si="25"/>
        <v>0</v>
      </c>
    </row>
    <row r="301">
      <c r="A301" s="4" t="s">
        <v>859</v>
      </c>
      <c r="B301" s="4" t="s">
        <v>860</v>
      </c>
      <c r="C301" s="4" t="s">
        <v>861</v>
      </c>
      <c r="D301" s="5">
        <v>335638.0</v>
      </c>
      <c r="E301" s="6">
        <f t="shared" si="7"/>
        <v>987.17</v>
      </c>
      <c r="F301" s="7">
        <f t="shared" ref="F301:G301" si="1808">ROUND(RAND(),2)</f>
        <v>0.5</v>
      </c>
      <c r="G301" s="7">
        <f t="shared" si="1808"/>
        <v>0.63</v>
      </c>
      <c r="H301" s="7">
        <f t="shared" si="9"/>
        <v>1</v>
      </c>
      <c r="I301" s="7">
        <f t="shared" si="10"/>
        <v>30450</v>
      </c>
      <c r="J301" s="7">
        <f t="shared" si="11"/>
        <v>355</v>
      </c>
      <c r="K301" s="7" t="str">
        <f t="shared" si="12"/>
        <v>F</v>
      </c>
      <c r="L301" s="7" t="str">
        <f t="shared" si="13"/>
        <v>High ambition</v>
      </c>
      <c r="M301" s="7" t="str">
        <f t="shared" si="14"/>
        <v>Medium</v>
      </c>
      <c r="N301" s="7">
        <f t="shared" si="15"/>
        <v>1514541</v>
      </c>
      <c r="O301" s="7">
        <f t="shared" si="16"/>
        <v>1309519.379</v>
      </c>
      <c r="P301" s="7">
        <f t="shared" ref="P301:Q301" si="1809">RANDBETWEEN(0,22)</f>
        <v>9</v>
      </c>
      <c r="Q301" s="7">
        <f t="shared" si="1809"/>
        <v>19</v>
      </c>
      <c r="R301" s="7">
        <f t="shared" ref="R301:T301" si="1810">IF(S301=1,1,RANDBETWEEN(0,1))</f>
        <v>1</v>
      </c>
      <c r="S301" s="7">
        <f t="shared" si="1810"/>
        <v>1</v>
      </c>
      <c r="T301" s="7">
        <f t="shared" si="1810"/>
        <v>0</v>
      </c>
      <c r="U301" s="7">
        <f t="shared" si="19"/>
        <v>0</v>
      </c>
      <c r="V301" s="7">
        <f t="shared" ref="V301:X301" si="1811">IF(W301=1,1,RANDBETWEEN(0,1))</f>
        <v>1</v>
      </c>
      <c r="W301" s="7">
        <f t="shared" si="1811"/>
        <v>1</v>
      </c>
      <c r="X301" s="7">
        <f t="shared" si="1811"/>
        <v>0</v>
      </c>
      <c r="Y301" s="7">
        <f t="shared" si="21"/>
        <v>0</v>
      </c>
      <c r="Z301" s="7">
        <f t="shared" ref="Z301:AB301" si="1812">IF(AA301=1,1,RANDBETWEEN(0,1))</f>
        <v>1</v>
      </c>
      <c r="AA301" s="7">
        <f t="shared" si="1812"/>
        <v>1</v>
      </c>
      <c r="AB301" s="7">
        <f t="shared" si="1812"/>
        <v>1</v>
      </c>
      <c r="AC301" s="7">
        <f t="shared" si="23"/>
        <v>1</v>
      </c>
      <c r="AD301" s="7">
        <f t="shared" ref="AD301:AF301" si="1813">IF(AE301=1,1,RANDBETWEEN(0,1))</f>
        <v>1</v>
      </c>
      <c r="AE301" s="7">
        <f t="shared" si="1813"/>
        <v>1</v>
      </c>
      <c r="AF301" s="7">
        <f t="shared" si="1813"/>
        <v>1</v>
      </c>
      <c r="AG301" s="7">
        <f t="shared" si="25"/>
        <v>0</v>
      </c>
    </row>
    <row r="302">
      <c r="A302" s="4" t="s">
        <v>862</v>
      </c>
      <c r="B302" s="4" t="s">
        <v>863</v>
      </c>
      <c r="C302" s="4" t="s">
        <v>864</v>
      </c>
      <c r="D302" s="5">
        <v>8074.0</v>
      </c>
      <c r="E302" s="6">
        <f t="shared" si="7"/>
        <v>803</v>
      </c>
      <c r="F302" s="7">
        <f t="shared" ref="F302:G302" si="1814">ROUND(RAND(),2)</f>
        <v>0.96</v>
      </c>
      <c r="G302" s="7">
        <f t="shared" si="1814"/>
        <v>0.13</v>
      </c>
      <c r="H302" s="7">
        <f t="shared" si="9"/>
        <v>2</v>
      </c>
      <c r="I302" s="7">
        <f t="shared" si="10"/>
        <v>65278</v>
      </c>
      <c r="J302" s="7">
        <f t="shared" si="11"/>
        <v>20584</v>
      </c>
      <c r="K302" s="7" t="str">
        <f t="shared" si="12"/>
        <v>C</v>
      </c>
      <c r="L302" s="7" t="str">
        <f t="shared" si="13"/>
        <v>Transformative change</v>
      </c>
      <c r="M302" s="7" t="str">
        <f t="shared" si="14"/>
        <v>High</v>
      </c>
      <c r="N302" s="7">
        <f t="shared" si="15"/>
        <v>2256177</v>
      </c>
      <c r="O302" s="7">
        <f t="shared" si="16"/>
        <v>666617.3767</v>
      </c>
      <c r="P302" s="7">
        <f t="shared" ref="P302:Q302" si="1815">RANDBETWEEN(0,22)</f>
        <v>14</v>
      </c>
      <c r="Q302" s="7">
        <f t="shared" si="1815"/>
        <v>7</v>
      </c>
      <c r="R302" s="7">
        <f t="shared" ref="R302:T302" si="1816">IF(S302=1,1,RANDBETWEEN(0,1))</f>
        <v>1</v>
      </c>
      <c r="S302" s="7">
        <f t="shared" si="1816"/>
        <v>1</v>
      </c>
      <c r="T302" s="7">
        <f t="shared" si="1816"/>
        <v>1</v>
      </c>
      <c r="U302" s="7">
        <f t="shared" si="19"/>
        <v>1</v>
      </c>
      <c r="V302" s="7">
        <f t="shared" ref="V302:X302" si="1817">IF(W302=1,1,RANDBETWEEN(0,1))</f>
        <v>1</v>
      </c>
      <c r="W302" s="7">
        <f t="shared" si="1817"/>
        <v>1</v>
      </c>
      <c r="X302" s="7">
        <f t="shared" si="1817"/>
        <v>1</v>
      </c>
      <c r="Y302" s="7">
        <f t="shared" si="21"/>
        <v>1</v>
      </c>
      <c r="Z302" s="7">
        <f t="shared" ref="Z302:AB302" si="1818">IF(AA302=1,1,RANDBETWEEN(0,1))</f>
        <v>1</v>
      </c>
      <c r="AA302" s="7">
        <f t="shared" si="1818"/>
        <v>0</v>
      </c>
      <c r="AB302" s="7">
        <f t="shared" si="1818"/>
        <v>0</v>
      </c>
      <c r="AC302" s="7">
        <f t="shared" si="23"/>
        <v>0</v>
      </c>
      <c r="AD302" s="7">
        <f t="shared" ref="AD302:AF302" si="1819">IF(AE302=1,1,RANDBETWEEN(0,1))</f>
        <v>1</v>
      </c>
      <c r="AE302" s="7">
        <f t="shared" si="1819"/>
        <v>1</v>
      </c>
      <c r="AF302" s="7">
        <f t="shared" si="1819"/>
        <v>1</v>
      </c>
      <c r="AG302" s="7">
        <f t="shared" si="25"/>
        <v>1</v>
      </c>
    </row>
    <row r="303">
      <c r="A303" s="4" t="s">
        <v>865</v>
      </c>
      <c r="B303" s="4" t="s">
        <v>866</v>
      </c>
      <c r="C303" s="4" t="s">
        <v>95</v>
      </c>
      <c r="D303" s="5">
        <v>11487.0</v>
      </c>
      <c r="E303" s="6">
        <f t="shared" si="7"/>
        <v>1018</v>
      </c>
      <c r="F303" s="7">
        <f t="shared" ref="F303:G303" si="1820">ROUND(RAND(),2)</f>
        <v>0.31</v>
      </c>
      <c r="G303" s="7">
        <f t="shared" si="1820"/>
        <v>0.61</v>
      </c>
      <c r="H303" s="7">
        <f t="shared" si="9"/>
        <v>4</v>
      </c>
      <c r="I303" s="7">
        <f t="shared" si="10"/>
        <v>31449</v>
      </c>
      <c r="J303" s="7">
        <f t="shared" si="11"/>
        <v>9830</v>
      </c>
      <c r="K303" s="7" t="str">
        <f t="shared" si="12"/>
        <v>C</v>
      </c>
      <c r="L303" s="7" t="str">
        <f t="shared" si="13"/>
        <v>Transformative change</v>
      </c>
      <c r="M303" s="7" t="str">
        <f t="shared" si="14"/>
        <v>Low</v>
      </c>
      <c r="N303" s="7">
        <f t="shared" si="15"/>
        <v>1391818</v>
      </c>
      <c r="O303" s="7">
        <f t="shared" si="16"/>
        <v>652590.6187</v>
      </c>
      <c r="P303" s="7">
        <f t="shared" ref="P303:Q303" si="1821">RANDBETWEEN(0,22)</f>
        <v>14</v>
      </c>
      <c r="Q303" s="7">
        <f t="shared" si="1821"/>
        <v>0</v>
      </c>
      <c r="R303" s="7">
        <f t="shared" ref="R303:T303" si="1822">IF(S303=1,1,RANDBETWEEN(0,1))</f>
        <v>1</v>
      </c>
      <c r="S303" s="7">
        <f t="shared" si="1822"/>
        <v>1</v>
      </c>
      <c r="T303" s="7">
        <f t="shared" si="1822"/>
        <v>1</v>
      </c>
      <c r="U303" s="7">
        <f t="shared" si="19"/>
        <v>1</v>
      </c>
      <c r="V303" s="7">
        <f t="shared" ref="V303:X303" si="1823">IF(W303=1,1,RANDBETWEEN(0,1))</f>
        <v>1</v>
      </c>
      <c r="W303" s="7">
        <f t="shared" si="1823"/>
        <v>0</v>
      </c>
      <c r="X303" s="7">
        <f t="shared" si="1823"/>
        <v>0</v>
      </c>
      <c r="Y303" s="7">
        <f t="shared" si="21"/>
        <v>0</v>
      </c>
      <c r="Z303" s="7">
        <f t="shared" ref="Z303:AB303" si="1824">IF(AA303=1,1,RANDBETWEEN(0,1))</f>
        <v>1</v>
      </c>
      <c r="AA303" s="7">
        <f t="shared" si="1824"/>
        <v>1</v>
      </c>
      <c r="AB303" s="7">
        <f t="shared" si="1824"/>
        <v>1</v>
      </c>
      <c r="AC303" s="7">
        <f t="shared" si="23"/>
        <v>0</v>
      </c>
      <c r="AD303" s="7">
        <f t="shared" ref="AD303:AF303" si="1825">IF(AE303=1,1,RANDBETWEEN(0,1))</f>
        <v>1</v>
      </c>
      <c r="AE303" s="7">
        <f t="shared" si="1825"/>
        <v>1</v>
      </c>
      <c r="AF303" s="7">
        <f t="shared" si="1825"/>
        <v>1</v>
      </c>
      <c r="AG303" s="7">
        <f t="shared" si="25"/>
        <v>1</v>
      </c>
    </row>
    <row r="304">
      <c r="A304" s="4" t="s">
        <v>867</v>
      </c>
      <c r="B304" s="4" t="s">
        <v>868</v>
      </c>
      <c r="C304" s="4" t="s">
        <v>869</v>
      </c>
      <c r="D304" s="5">
        <v>16900.0</v>
      </c>
      <c r="E304" s="6">
        <f t="shared" si="7"/>
        <v>996</v>
      </c>
      <c r="F304" s="7">
        <f t="shared" ref="F304:G304" si="1826">ROUND(RAND(),2)</f>
        <v>0.25</v>
      </c>
      <c r="G304" s="7">
        <f t="shared" si="1826"/>
        <v>0.12</v>
      </c>
      <c r="H304" s="7">
        <f t="shared" si="9"/>
        <v>3</v>
      </c>
      <c r="I304" s="7">
        <f t="shared" si="10"/>
        <v>12972</v>
      </c>
      <c r="J304" s="7">
        <f t="shared" si="11"/>
        <v>2669</v>
      </c>
      <c r="K304" s="7" t="str">
        <f t="shared" si="12"/>
        <v>D</v>
      </c>
      <c r="L304" s="7" t="str">
        <f t="shared" si="13"/>
        <v>Transformative change</v>
      </c>
      <c r="M304" s="7" t="str">
        <f t="shared" si="14"/>
        <v>Low</v>
      </c>
      <c r="N304" s="7">
        <f t="shared" si="15"/>
        <v>2184280</v>
      </c>
      <c r="O304" s="7">
        <f t="shared" si="16"/>
        <v>429047.1359</v>
      </c>
      <c r="P304" s="7">
        <f t="shared" ref="P304:Q304" si="1827">RANDBETWEEN(0,22)</f>
        <v>15</v>
      </c>
      <c r="Q304" s="7">
        <f t="shared" si="1827"/>
        <v>16</v>
      </c>
      <c r="R304" s="7">
        <f t="shared" ref="R304:T304" si="1828">IF(S304=1,1,RANDBETWEEN(0,1))</f>
        <v>1</v>
      </c>
      <c r="S304" s="7">
        <f t="shared" si="1828"/>
        <v>1</v>
      </c>
      <c r="T304" s="7">
        <f t="shared" si="1828"/>
        <v>1</v>
      </c>
      <c r="U304" s="7">
        <f t="shared" si="19"/>
        <v>0</v>
      </c>
      <c r="V304" s="7">
        <f t="shared" ref="V304:X304" si="1829">IF(W304=1,1,RANDBETWEEN(0,1))</f>
        <v>1</v>
      </c>
      <c r="W304" s="7">
        <f t="shared" si="1829"/>
        <v>1</v>
      </c>
      <c r="X304" s="7">
        <f t="shared" si="1829"/>
        <v>1</v>
      </c>
      <c r="Y304" s="7">
        <f t="shared" si="21"/>
        <v>1</v>
      </c>
      <c r="Z304" s="7">
        <f t="shared" ref="Z304:AB304" si="1830">IF(AA304=1,1,RANDBETWEEN(0,1))</f>
        <v>1</v>
      </c>
      <c r="AA304" s="7">
        <f t="shared" si="1830"/>
        <v>1</v>
      </c>
      <c r="AB304" s="7">
        <f t="shared" si="1830"/>
        <v>1</v>
      </c>
      <c r="AC304" s="7">
        <f t="shared" si="23"/>
        <v>1</v>
      </c>
      <c r="AD304" s="7">
        <f t="shared" ref="AD304:AF304" si="1831">IF(AE304=1,1,RANDBETWEEN(0,1))</f>
        <v>1</v>
      </c>
      <c r="AE304" s="7">
        <f t="shared" si="1831"/>
        <v>1</v>
      </c>
      <c r="AF304" s="7">
        <f t="shared" si="1831"/>
        <v>1</v>
      </c>
      <c r="AG304" s="7">
        <f t="shared" si="25"/>
        <v>1</v>
      </c>
    </row>
    <row r="305">
      <c r="A305" s="4" t="s">
        <v>870</v>
      </c>
      <c r="B305" s="4" t="s">
        <v>871</v>
      </c>
      <c r="C305" s="4" t="s">
        <v>872</v>
      </c>
      <c r="D305" s="5">
        <v>15728.0</v>
      </c>
      <c r="E305" s="6">
        <f t="shared" si="7"/>
        <v>827</v>
      </c>
      <c r="F305" s="7">
        <f t="shared" ref="F305:G305" si="1832">ROUND(RAND(),2)</f>
        <v>0.98</v>
      </c>
      <c r="G305" s="7">
        <f t="shared" si="1832"/>
        <v>0.58</v>
      </c>
      <c r="H305" s="7">
        <f t="shared" si="9"/>
        <v>4</v>
      </c>
      <c r="I305" s="7">
        <f t="shared" si="10"/>
        <v>5381</v>
      </c>
      <c r="J305" s="7">
        <f t="shared" si="11"/>
        <v>72976</v>
      </c>
      <c r="K305" s="7" t="str">
        <f t="shared" si="12"/>
        <v>D</v>
      </c>
      <c r="L305" s="7" t="str">
        <f t="shared" si="13"/>
        <v>Transformative change</v>
      </c>
      <c r="M305" s="7" t="str">
        <f t="shared" si="14"/>
        <v>Low</v>
      </c>
      <c r="N305" s="7">
        <f t="shared" si="15"/>
        <v>3883150</v>
      </c>
      <c r="O305" s="7">
        <f t="shared" si="16"/>
        <v>1059614.536</v>
      </c>
      <c r="P305" s="7">
        <f t="shared" ref="P305:Q305" si="1833">RANDBETWEEN(0,22)</f>
        <v>6</v>
      </c>
      <c r="Q305" s="7">
        <f t="shared" si="1833"/>
        <v>5</v>
      </c>
      <c r="R305" s="7">
        <f t="shared" ref="R305:T305" si="1834">IF(S305=1,1,RANDBETWEEN(0,1))</f>
        <v>1</v>
      </c>
      <c r="S305" s="7">
        <f t="shared" si="1834"/>
        <v>1</v>
      </c>
      <c r="T305" s="7">
        <f t="shared" si="1834"/>
        <v>1</v>
      </c>
      <c r="U305" s="7">
        <f t="shared" si="19"/>
        <v>0</v>
      </c>
      <c r="V305" s="7">
        <f t="shared" ref="V305:X305" si="1835">IF(W305=1,1,RANDBETWEEN(0,1))</f>
        <v>1</v>
      </c>
      <c r="W305" s="7">
        <f t="shared" si="1835"/>
        <v>1</v>
      </c>
      <c r="X305" s="7">
        <f t="shared" si="1835"/>
        <v>1</v>
      </c>
      <c r="Y305" s="7">
        <f t="shared" si="21"/>
        <v>1</v>
      </c>
      <c r="Z305" s="7">
        <f t="shared" ref="Z305:AB305" si="1836">IF(AA305=1,1,RANDBETWEEN(0,1))</f>
        <v>1</v>
      </c>
      <c r="AA305" s="7">
        <f t="shared" si="1836"/>
        <v>1</v>
      </c>
      <c r="AB305" s="7">
        <f t="shared" si="1836"/>
        <v>0</v>
      </c>
      <c r="AC305" s="7">
        <f t="shared" si="23"/>
        <v>0</v>
      </c>
      <c r="AD305" s="7">
        <f t="shared" ref="AD305:AF305" si="1837">IF(AE305=1,1,RANDBETWEEN(0,1))</f>
        <v>1</v>
      </c>
      <c r="AE305" s="7">
        <f t="shared" si="1837"/>
        <v>1</v>
      </c>
      <c r="AF305" s="7">
        <f t="shared" si="1837"/>
        <v>1</v>
      </c>
      <c r="AG305" s="7">
        <f t="shared" si="25"/>
        <v>0</v>
      </c>
    </row>
    <row r="306">
      <c r="A306" s="4" t="s">
        <v>873</v>
      </c>
      <c r="B306" s="4" t="s">
        <v>874</v>
      </c>
      <c r="C306" s="4" t="s">
        <v>875</v>
      </c>
      <c r="D306" s="5">
        <v>5691.0</v>
      </c>
      <c r="E306" s="6">
        <f t="shared" si="7"/>
        <v>860</v>
      </c>
      <c r="F306" s="7">
        <f t="shared" ref="F306:G306" si="1838">ROUND(RAND(),2)</f>
        <v>0.77</v>
      </c>
      <c r="G306" s="7">
        <f t="shared" si="1838"/>
        <v>0.23</v>
      </c>
      <c r="H306" s="7">
        <f t="shared" si="9"/>
        <v>5</v>
      </c>
      <c r="I306" s="7">
        <f t="shared" si="10"/>
        <v>46330</v>
      </c>
      <c r="J306" s="7">
        <f t="shared" si="11"/>
        <v>22768</v>
      </c>
      <c r="K306" s="7" t="str">
        <f t="shared" si="12"/>
        <v>G</v>
      </c>
      <c r="L306" s="7" t="str">
        <f t="shared" si="13"/>
        <v>Transformative change</v>
      </c>
      <c r="M306" s="7" t="str">
        <f t="shared" si="14"/>
        <v>High</v>
      </c>
      <c r="N306" s="7">
        <f t="shared" si="15"/>
        <v>1939806</v>
      </c>
      <c r="O306" s="7">
        <f t="shared" si="16"/>
        <v>772444.8284</v>
      </c>
      <c r="P306" s="7">
        <f t="shared" ref="P306:Q306" si="1839">RANDBETWEEN(0,22)</f>
        <v>17</v>
      </c>
      <c r="Q306" s="7">
        <f t="shared" si="1839"/>
        <v>7</v>
      </c>
      <c r="R306" s="7">
        <f t="shared" ref="R306:T306" si="1840">IF(S306=1,1,RANDBETWEEN(0,1))</f>
        <v>1</v>
      </c>
      <c r="S306" s="7">
        <f t="shared" si="1840"/>
        <v>1</v>
      </c>
      <c r="T306" s="7">
        <f t="shared" si="1840"/>
        <v>1</v>
      </c>
      <c r="U306" s="7">
        <f t="shared" si="19"/>
        <v>1</v>
      </c>
      <c r="V306" s="7">
        <f t="shared" ref="V306:X306" si="1841">IF(W306=1,1,RANDBETWEEN(0,1))</f>
        <v>1</v>
      </c>
      <c r="W306" s="7">
        <f t="shared" si="1841"/>
        <v>1</v>
      </c>
      <c r="X306" s="7">
        <f t="shared" si="1841"/>
        <v>0</v>
      </c>
      <c r="Y306" s="7">
        <f t="shared" si="21"/>
        <v>0</v>
      </c>
      <c r="Z306" s="7">
        <f t="shared" ref="Z306:AB306" si="1842">IF(AA306=1,1,RANDBETWEEN(0,1))</f>
        <v>1</v>
      </c>
      <c r="AA306" s="7">
        <f t="shared" si="1842"/>
        <v>1</v>
      </c>
      <c r="AB306" s="7">
        <f t="shared" si="1842"/>
        <v>1</v>
      </c>
      <c r="AC306" s="7">
        <f t="shared" si="23"/>
        <v>0</v>
      </c>
      <c r="AD306" s="7">
        <f t="shared" ref="AD306:AF306" si="1843">IF(AE306=1,1,RANDBETWEEN(0,1))</f>
        <v>1</v>
      </c>
      <c r="AE306" s="7">
        <f t="shared" si="1843"/>
        <v>1</v>
      </c>
      <c r="AF306" s="7">
        <f t="shared" si="1843"/>
        <v>1</v>
      </c>
      <c r="AG306" s="7">
        <f t="shared" si="25"/>
        <v>1</v>
      </c>
    </row>
    <row r="307">
      <c r="A307" s="4" t="s">
        <v>876</v>
      </c>
      <c r="B307" s="4" t="s">
        <v>877</v>
      </c>
      <c r="C307" s="4" t="s">
        <v>878</v>
      </c>
      <c r="D307" s="5">
        <v>10794.0</v>
      </c>
      <c r="E307" s="6">
        <f t="shared" si="7"/>
        <v>873</v>
      </c>
      <c r="F307" s="7">
        <f t="shared" ref="F307:G307" si="1844">ROUND(RAND(),2)</f>
        <v>0.36</v>
      </c>
      <c r="G307" s="7">
        <f t="shared" si="1844"/>
        <v>0.99</v>
      </c>
      <c r="H307" s="7">
        <f t="shared" si="9"/>
        <v>3</v>
      </c>
      <c r="I307" s="7">
        <f t="shared" si="10"/>
        <v>15737</v>
      </c>
      <c r="J307" s="7">
        <f t="shared" si="11"/>
        <v>12790</v>
      </c>
      <c r="K307" s="7" t="str">
        <f t="shared" si="12"/>
        <v>B</v>
      </c>
      <c r="L307" s="7" t="str">
        <f t="shared" si="13"/>
        <v>Transformative change</v>
      </c>
      <c r="M307" s="7" t="str">
        <f t="shared" si="14"/>
        <v>High</v>
      </c>
      <c r="N307" s="7">
        <f t="shared" si="15"/>
        <v>1067681</v>
      </c>
      <c r="O307" s="7">
        <f t="shared" si="16"/>
        <v>65051.98373</v>
      </c>
      <c r="P307" s="7">
        <f t="shared" ref="P307:Q307" si="1845">RANDBETWEEN(0,22)</f>
        <v>3</v>
      </c>
      <c r="Q307" s="7">
        <f t="shared" si="1845"/>
        <v>12</v>
      </c>
      <c r="R307" s="7">
        <f t="shared" ref="R307:T307" si="1846">IF(S307=1,1,RANDBETWEEN(0,1))</f>
        <v>1</v>
      </c>
      <c r="S307" s="7">
        <f t="shared" si="1846"/>
        <v>1</v>
      </c>
      <c r="T307" s="7">
        <f t="shared" si="1846"/>
        <v>1</v>
      </c>
      <c r="U307" s="7">
        <f t="shared" si="19"/>
        <v>1</v>
      </c>
      <c r="V307" s="7">
        <f t="shared" ref="V307:X307" si="1847">IF(W307=1,1,RANDBETWEEN(0,1))</f>
        <v>1</v>
      </c>
      <c r="W307" s="7">
        <f t="shared" si="1847"/>
        <v>0</v>
      </c>
      <c r="X307" s="7">
        <f t="shared" si="1847"/>
        <v>0</v>
      </c>
      <c r="Y307" s="7">
        <f t="shared" si="21"/>
        <v>0</v>
      </c>
      <c r="Z307" s="7">
        <f t="shared" ref="Z307:AB307" si="1848">IF(AA307=1,1,RANDBETWEEN(0,1))</f>
        <v>1</v>
      </c>
      <c r="AA307" s="7">
        <f t="shared" si="1848"/>
        <v>1</v>
      </c>
      <c r="AB307" s="7">
        <f t="shared" si="1848"/>
        <v>1</v>
      </c>
      <c r="AC307" s="7">
        <f t="shared" si="23"/>
        <v>0</v>
      </c>
      <c r="AD307" s="7">
        <f t="shared" ref="AD307:AF307" si="1849">IF(AE307=1,1,RANDBETWEEN(0,1))</f>
        <v>1</v>
      </c>
      <c r="AE307" s="7">
        <f t="shared" si="1849"/>
        <v>0</v>
      </c>
      <c r="AF307" s="7">
        <f t="shared" si="1849"/>
        <v>0</v>
      </c>
      <c r="AG307" s="7">
        <f t="shared" si="25"/>
        <v>0</v>
      </c>
    </row>
    <row r="308">
      <c r="A308" s="4" t="s">
        <v>879</v>
      </c>
      <c r="B308" s="4" t="s">
        <v>880</v>
      </c>
      <c r="C308" s="4" t="s">
        <v>881</v>
      </c>
      <c r="D308" s="5">
        <v>19393.0</v>
      </c>
      <c r="E308" s="6">
        <f t="shared" si="7"/>
        <v>996</v>
      </c>
      <c r="F308" s="7">
        <f t="shared" ref="F308:G308" si="1850">ROUND(RAND(),2)</f>
        <v>0.77</v>
      </c>
      <c r="G308" s="7">
        <f t="shared" si="1850"/>
        <v>0.19</v>
      </c>
      <c r="H308" s="7">
        <f t="shared" si="9"/>
        <v>2</v>
      </c>
      <c r="I308" s="7">
        <f t="shared" si="10"/>
        <v>30196</v>
      </c>
      <c r="J308" s="7">
        <f t="shared" si="11"/>
        <v>2441</v>
      </c>
      <c r="K308" s="7" t="str">
        <f t="shared" si="12"/>
        <v>C</v>
      </c>
      <c r="L308" s="7" t="str">
        <f t="shared" si="13"/>
        <v>Transformative change</v>
      </c>
      <c r="M308" s="7" t="str">
        <f t="shared" si="14"/>
        <v>High</v>
      </c>
      <c r="N308" s="7">
        <f t="shared" si="15"/>
        <v>1764815</v>
      </c>
      <c r="O308" s="7">
        <f t="shared" si="16"/>
        <v>397110.5717</v>
      </c>
      <c r="P308" s="7">
        <f t="shared" ref="P308:Q308" si="1851">RANDBETWEEN(0,22)</f>
        <v>16</v>
      </c>
      <c r="Q308" s="7">
        <f t="shared" si="1851"/>
        <v>14</v>
      </c>
      <c r="R308" s="7">
        <f t="shared" ref="R308:T308" si="1852">IF(S308=1,1,RANDBETWEEN(0,1))</f>
        <v>1</v>
      </c>
      <c r="S308" s="7">
        <f t="shared" si="1852"/>
        <v>1</v>
      </c>
      <c r="T308" s="7">
        <f t="shared" si="1852"/>
        <v>1</v>
      </c>
      <c r="U308" s="7">
        <f t="shared" si="19"/>
        <v>1</v>
      </c>
      <c r="V308" s="7">
        <f t="shared" ref="V308:X308" si="1853">IF(W308=1,1,RANDBETWEEN(0,1))</f>
        <v>0</v>
      </c>
      <c r="W308" s="7">
        <f t="shared" si="1853"/>
        <v>0</v>
      </c>
      <c r="X308" s="7">
        <f t="shared" si="1853"/>
        <v>0</v>
      </c>
      <c r="Y308" s="7">
        <f t="shared" si="21"/>
        <v>0</v>
      </c>
      <c r="Z308" s="7">
        <f t="shared" ref="Z308:AB308" si="1854">IF(AA308=1,1,RANDBETWEEN(0,1))</f>
        <v>1</v>
      </c>
      <c r="AA308" s="7">
        <f t="shared" si="1854"/>
        <v>1</v>
      </c>
      <c r="AB308" s="7">
        <f t="shared" si="1854"/>
        <v>0</v>
      </c>
      <c r="AC308" s="7">
        <f t="shared" si="23"/>
        <v>0</v>
      </c>
      <c r="AD308" s="7">
        <f t="shared" ref="AD308:AF308" si="1855">IF(AE308=1,1,RANDBETWEEN(0,1))</f>
        <v>1</v>
      </c>
      <c r="AE308" s="7">
        <f t="shared" si="1855"/>
        <v>1</v>
      </c>
      <c r="AF308" s="7">
        <f t="shared" si="1855"/>
        <v>0</v>
      </c>
      <c r="AG308" s="7">
        <f t="shared" si="25"/>
        <v>0</v>
      </c>
    </row>
    <row r="309">
      <c r="A309" s="4" t="s">
        <v>882</v>
      </c>
      <c r="B309" s="4" t="s">
        <v>883</v>
      </c>
      <c r="C309" s="4" t="s">
        <v>884</v>
      </c>
      <c r="D309" s="5">
        <v>8652.0</v>
      </c>
      <c r="E309" s="6">
        <f t="shared" si="7"/>
        <v>816</v>
      </c>
      <c r="F309" s="7">
        <f t="shared" ref="F309:G309" si="1856">ROUND(RAND(),2)</f>
        <v>0.48</v>
      </c>
      <c r="G309" s="7">
        <f t="shared" si="1856"/>
        <v>0.98</v>
      </c>
      <c r="H309" s="7">
        <f t="shared" si="9"/>
        <v>2</v>
      </c>
      <c r="I309" s="7">
        <f t="shared" si="10"/>
        <v>88735</v>
      </c>
      <c r="J309" s="7">
        <f t="shared" si="11"/>
        <v>9266</v>
      </c>
      <c r="K309" s="7" t="str">
        <f t="shared" si="12"/>
        <v>E</v>
      </c>
      <c r="L309" s="7" t="str">
        <f t="shared" si="13"/>
        <v>High ambition</v>
      </c>
      <c r="M309" s="7" t="str">
        <f t="shared" si="14"/>
        <v>High</v>
      </c>
      <c r="N309" s="7">
        <f t="shared" si="15"/>
        <v>975962</v>
      </c>
      <c r="O309" s="7">
        <f t="shared" si="16"/>
        <v>196653.7362</v>
      </c>
      <c r="P309" s="7">
        <f t="shared" ref="P309:Q309" si="1857">RANDBETWEEN(0,22)</f>
        <v>21</v>
      </c>
      <c r="Q309" s="7">
        <f t="shared" si="1857"/>
        <v>5</v>
      </c>
      <c r="R309" s="7">
        <f t="shared" ref="R309:T309" si="1858">IF(S309=1,1,RANDBETWEEN(0,1))</f>
        <v>1</v>
      </c>
      <c r="S309" s="7">
        <f t="shared" si="1858"/>
        <v>1</v>
      </c>
      <c r="T309" s="7">
        <f t="shared" si="1858"/>
        <v>1</v>
      </c>
      <c r="U309" s="7">
        <f t="shared" si="19"/>
        <v>0</v>
      </c>
      <c r="V309" s="7">
        <f t="shared" ref="V309:X309" si="1859">IF(W309=1,1,RANDBETWEEN(0,1))</f>
        <v>1</v>
      </c>
      <c r="W309" s="7">
        <f t="shared" si="1859"/>
        <v>1</v>
      </c>
      <c r="X309" s="7">
        <f t="shared" si="1859"/>
        <v>1</v>
      </c>
      <c r="Y309" s="7">
        <f t="shared" si="21"/>
        <v>1</v>
      </c>
      <c r="Z309" s="7">
        <f t="shared" ref="Z309:AB309" si="1860">IF(AA309=1,1,RANDBETWEEN(0,1))</f>
        <v>0</v>
      </c>
      <c r="AA309" s="7">
        <f t="shared" si="1860"/>
        <v>0</v>
      </c>
      <c r="AB309" s="7">
        <f t="shared" si="1860"/>
        <v>0</v>
      </c>
      <c r="AC309" s="7">
        <f t="shared" si="23"/>
        <v>0</v>
      </c>
      <c r="AD309" s="7">
        <f t="shared" ref="AD309:AF309" si="1861">IF(AE309=1,1,RANDBETWEEN(0,1))</f>
        <v>1</v>
      </c>
      <c r="AE309" s="7">
        <f t="shared" si="1861"/>
        <v>1</v>
      </c>
      <c r="AF309" s="7">
        <f t="shared" si="1861"/>
        <v>1</v>
      </c>
      <c r="AG309" s="7">
        <f t="shared" si="25"/>
        <v>1</v>
      </c>
    </row>
    <row r="310">
      <c r="A310" s="4" t="s">
        <v>885</v>
      </c>
      <c r="B310" s="4" t="s">
        <v>886</v>
      </c>
      <c r="C310" s="4" t="s">
        <v>887</v>
      </c>
      <c r="D310" s="5">
        <v>14336.0</v>
      </c>
      <c r="E310" s="6">
        <f t="shared" si="7"/>
        <v>896</v>
      </c>
      <c r="F310" s="7">
        <f t="shared" ref="F310:G310" si="1862">ROUND(RAND(),2)</f>
        <v>0.79</v>
      </c>
      <c r="G310" s="7">
        <f t="shared" si="1862"/>
        <v>0.64</v>
      </c>
      <c r="H310" s="7">
        <f t="shared" si="9"/>
        <v>3</v>
      </c>
      <c r="I310" s="7">
        <f t="shared" si="10"/>
        <v>37000</v>
      </c>
      <c r="J310" s="7">
        <f t="shared" si="11"/>
        <v>28165</v>
      </c>
      <c r="K310" s="7" t="str">
        <f t="shared" si="12"/>
        <v>D</v>
      </c>
      <c r="L310" s="7" t="str">
        <f t="shared" si="13"/>
        <v>Transformative change</v>
      </c>
      <c r="M310" s="7" t="str">
        <f t="shared" si="14"/>
        <v>High</v>
      </c>
      <c r="N310" s="7">
        <f t="shared" si="15"/>
        <v>3034359</v>
      </c>
      <c r="O310" s="7">
        <f t="shared" si="16"/>
        <v>2755226.853</v>
      </c>
      <c r="P310" s="7">
        <f t="shared" ref="P310:Q310" si="1863">RANDBETWEEN(0,22)</f>
        <v>12</v>
      </c>
      <c r="Q310" s="7">
        <f t="shared" si="1863"/>
        <v>17</v>
      </c>
      <c r="R310" s="7">
        <f t="shared" ref="R310:T310" si="1864">IF(S310=1,1,RANDBETWEEN(0,1))</f>
        <v>1</v>
      </c>
      <c r="S310" s="7">
        <f t="shared" si="1864"/>
        <v>1</v>
      </c>
      <c r="T310" s="7">
        <f t="shared" si="1864"/>
        <v>0</v>
      </c>
      <c r="U310" s="7">
        <f t="shared" si="19"/>
        <v>0</v>
      </c>
      <c r="V310" s="7">
        <f t="shared" ref="V310:X310" si="1865">IF(W310=1,1,RANDBETWEEN(0,1))</f>
        <v>1</v>
      </c>
      <c r="W310" s="7">
        <f t="shared" si="1865"/>
        <v>1</v>
      </c>
      <c r="X310" s="7">
        <f t="shared" si="1865"/>
        <v>1</v>
      </c>
      <c r="Y310" s="7">
        <f t="shared" si="21"/>
        <v>0</v>
      </c>
      <c r="Z310" s="7">
        <f t="shared" ref="Z310:AB310" si="1866">IF(AA310=1,1,RANDBETWEEN(0,1))</f>
        <v>1</v>
      </c>
      <c r="AA310" s="7">
        <f t="shared" si="1866"/>
        <v>0</v>
      </c>
      <c r="AB310" s="7">
        <f t="shared" si="1866"/>
        <v>0</v>
      </c>
      <c r="AC310" s="7">
        <f t="shared" si="23"/>
        <v>0</v>
      </c>
      <c r="AD310" s="7">
        <f t="shared" ref="AD310:AF310" si="1867">IF(AE310=1,1,RANDBETWEEN(0,1))</f>
        <v>1</v>
      </c>
      <c r="AE310" s="7">
        <f t="shared" si="1867"/>
        <v>1</v>
      </c>
      <c r="AF310" s="7">
        <f t="shared" si="1867"/>
        <v>0</v>
      </c>
      <c r="AG310" s="7">
        <f t="shared" si="25"/>
        <v>0</v>
      </c>
    </row>
    <row r="311">
      <c r="A311" s="4" t="s">
        <v>888</v>
      </c>
      <c r="B311" s="4" t="s">
        <v>889</v>
      </c>
      <c r="C311" s="4" t="s">
        <v>890</v>
      </c>
      <c r="D311" s="5">
        <v>17548.0</v>
      </c>
      <c r="E311" s="6">
        <f t="shared" si="7"/>
        <v>1053</v>
      </c>
      <c r="F311" s="7">
        <f t="shared" ref="F311:G311" si="1868">ROUND(RAND(),2)</f>
        <v>0.92</v>
      </c>
      <c r="G311" s="7">
        <f t="shared" si="1868"/>
        <v>0.9</v>
      </c>
      <c r="H311" s="7">
        <f t="shared" si="9"/>
        <v>5</v>
      </c>
      <c r="I311" s="7">
        <f t="shared" si="10"/>
        <v>15518</v>
      </c>
      <c r="J311" s="7">
        <f t="shared" si="11"/>
        <v>53571</v>
      </c>
      <c r="K311" s="7" t="str">
        <f t="shared" si="12"/>
        <v>C</v>
      </c>
      <c r="L311" s="7" t="str">
        <f t="shared" si="13"/>
        <v>High ambition</v>
      </c>
      <c r="M311" s="7" t="str">
        <f t="shared" si="14"/>
        <v>Medium</v>
      </c>
      <c r="N311" s="7">
        <f t="shared" si="15"/>
        <v>1495471</v>
      </c>
      <c r="O311" s="7">
        <f t="shared" si="16"/>
        <v>549573.4709</v>
      </c>
      <c r="P311" s="7">
        <f t="shared" ref="P311:Q311" si="1869">RANDBETWEEN(0,22)</f>
        <v>12</v>
      </c>
      <c r="Q311" s="7">
        <f t="shared" si="1869"/>
        <v>17</v>
      </c>
      <c r="R311" s="7">
        <f t="shared" ref="R311:T311" si="1870">IF(S311=1,1,RANDBETWEEN(0,1))</f>
        <v>1</v>
      </c>
      <c r="S311" s="7">
        <f t="shared" si="1870"/>
        <v>1</v>
      </c>
      <c r="T311" s="7">
        <f t="shared" si="1870"/>
        <v>1</v>
      </c>
      <c r="U311" s="7">
        <f t="shared" si="19"/>
        <v>1</v>
      </c>
      <c r="V311" s="7">
        <f t="shared" ref="V311:X311" si="1871">IF(W311=1,1,RANDBETWEEN(0,1))</f>
        <v>1</v>
      </c>
      <c r="W311" s="7">
        <f t="shared" si="1871"/>
        <v>1</v>
      </c>
      <c r="X311" s="7">
        <f t="shared" si="1871"/>
        <v>1</v>
      </c>
      <c r="Y311" s="7">
        <f t="shared" si="21"/>
        <v>1</v>
      </c>
      <c r="Z311" s="7">
        <f t="shared" ref="Z311:AB311" si="1872">IF(AA311=1,1,RANDBETWEEN(0,1))</f>
        <v>1</v>
      </c>
      <c r="AA311" s="7">
        <f t="shared" si="1872"/>
        <v>1</v>
      </c>
      <c r="AB311" s="7">
        <f t="shared" si="1872"/>
        <v>1</v>
      </c>
      <c r="AC311" s="7">
        <f t="shared" si="23"/>
        <v>0</v>
      </c>
      <c r="AD311" s="7">
        <f t="shared" ref="AD311:AF311" si="1873">IF(AE311=1,1,RANDBETWEEN(0,1))</f>
        <v>1</v>
      </c>
      <c r="AE311" s="7">
        <f t="shared" si="1873"/>
        <v>1</v>
      </c>
      <c r="AF311" s="7">
        <f t="shared" si="1873"/>
        <v>0</v>
      </c>
      <c r="AG311" s="7">
        <f t="shared" si="25"/>
        <v>0</v>
      </c>
    </row>
    <row r="312">
      <c r="A312" s="4" t="s">
        <v>891</v>
      </c>
      <c r="B312" s="4" t="s">
        <v>892</v>
      </c>
      <c r="C312" s="4" t="s">
        <v>893</v>
      </c>
      <c r="D312" s="5">
        <v>8946.0</v>
      </c>
      <c r="E312" s="6">
        <f t="shared" si="7"/>
        <v>1019</v>
      </c>
      <c r="F312" s="7">
        <f t="shared" ref="F312:G312" si="1874">ROUND(RAND(),2)</f>
        <v>0.91</v>
      </c>
      <c r="G312" s="7">
        <f t="shared" si="1874"/>
        <v>0.95</v>
      </c>
      <c r="H312" s="7">
        <f t="shared" si="9"/>
        <v>4</v>
      </c>
      <c r="I312" s="7">
        <f t="shared" si="10"/>
        <v>76769</v>
      </c>
      <c r="J312" s="7">
        <f t="shared" si="11"/>
        <v>66684</v>
      </c>
      <c r="K312" s="7" t="str">
        <f t="shared" si="12"/>
        <v>G</v>
      </c>
      <c r="L312" s="7" t="str">
        <f t="shared" si="13"/>
        <v>Transformative change</v>
      </c>
      <c r="M312" s="7" t="str">
        <f t="shared" si="14"/>
        <v>Low</v>
      </c>
      <c r="N312" s="7">
        <f t="shared" si="15"/>
        <v>2314910</v>
      </c>
      <c r="O312" s="7">
        <f t="shared" si="16"/>
        <v>661379.2541</v>
      </c>
      <c r="P312" s="7">
        <f t="shared" ref="P312:Q312" si="1875">RANDBETWEEN(0,22)</f>
        <v>12</v>
      </c>
      <c r="Q312" s="7">
        <f t="shared" si="1875"/>
        <v>9</v>
      </c>
      <c r="R312" s="7">
        <f t="shared" ref="R312:T312" si="1876">IF(S312=1,1,RANDBETWEEN(0,1))</f>
        <v>1</v>
      </c>
      <c r="S312" s="7">
        <f t="shared" si="1876"/>
        <v>1</v>
      </c>
      <c r="T312" s="7">
        <f t="shared" si="1876"/>
        <v>1</v>
      </c>
      <c r="U312" s="7">
        <f t="shared" si="19"/>
        <v>1</v>
      </c>
      <c r="V312" s="7">
        <f t="shared" ref="V312:X312" si="1877">IF(W312=1,1,RANDBETWEEN(0,1))</f>
        <v>1</v>
      </c>
      <c r="W312" s="7">
        <f t="shared" si="1877"/>
        <v>1</v>
      </c>
      <c r="X312" s="7">
        <f t="shared" si="1877"/>
        <v>0</v>
      </c>
      <c r="Y312" s="7">
        <f t="shared" si="21"/>
        <v>0</v>
      </c>
      <c r="Z312" s="7">
        <f t="shared" ref="Z312:AB312" si="1878">IF(AA312=1,1,RANDBETWEEN(0,1))</f>
        <v>1</v>
      </c>
      <c r="AA312" s="7">
        <f t="shared" si="1878"/>
        <v>0</v>
      </c>
      <c r="AB312" s="7">
        <f t="shared" si="1878"/>
        <v>0</v>
      </c>
      <c r="AC312" s="7">
        <f t="shared" si="23"/>
        <v>0</v>
      </c>
      <c r="AD312" s="7">
        <f t="shared" ref="AD312:AF312" si="1879">IF(AE312=1,1,RANDBETWEEN(0,1))</f>
        <v>1</v>
      </c>
      <c r="AE312" s="7">
        <f t="shared" si="1879"/>
        <v>1</v>
      </c>
      <c r="AF312" s="7">
        <f t="shared" si="1879"/>
        <v>1</v>
      </c>
      <c r="AG312" s="7">
        <f t="shared" si="25"/>
        <v>1</v>
      </c>
    </row>
    <row r="313">
      <c r="A313" s="4" t="s">
        <v>894</v>
      </c>
      <c r="B313" s="4" t="s">
        <v>895</v>
      </c>
      <c r="C313" s="4" t="s">
        <v>896</v>
      </c>
      <c r="D313" s="5">
        <v>48467.0</v>
      </c>
      <c r="E313" s="6">
        <f t="shared" si="7"/>
        <v>1051</v>
      </c>
      <c r="F313" s="7">
        <f t="shared" ref="F313:G313" si="1880">ROUND(RAND(),2)</f>
        <v>0.75</v>
      </c>
      <c r="G313" s="7">
        <f t="shared" si="1880"/>
        <v>0.64</v>
      </c>
      <c r="H313" s="7">
        <f t="shared" si="9"/>
        <v>1</v>
      </c>
      <c r="I313" s="7">
        <f t="shared" si="10"/>
        <v>83375</v>
      </c>
      <c r="J313" s="7">
        <f t="shared" si="11"/>
        <v>82293</v>
      </c>
      <c r="K313" s="7" t="str">
        <f t="shared" si="12"/>
        <v>G</v>
      </c>
      <c r="L313" s="7" t="str">
        <f t="shared" si="13"/>
        <v>Transformative change</v>
      </c>
      <c r="M313" s="7" t="str">
        <f t="shared" si="14"/>
        <v>Medium</v>
      </c>
      <c r="N313" s="7">
        <f t="shared" si="15"/>
        <v>307125</v>
      </c>
      <c r="O313" s="7">
        <f t="shared" si="16"/>
        <v>63838.39225</v>
      </c>
      <c r="P313" s="7">
        <f t="shared" ref="P313:Q313" si="1881">RANDBETWEEN(0,22)</f>
        <v>17</v>
      </c>
      <c r="Q313" s="7">
        <f t="shared" si="1881"/>
        <v>8</v>
      </c>
      <c r="R313" s="7">
        <f t="shared" ref="R313:T313" si="1882">IF(S313=1,1,RANDBETWEEN(0,1))</f>
        <v>1</v>
      </c>
      <c r="S313" s="7">
        <f t="shared" si="1882"/>
        <v>1</v>
      </c>
      <c r="T313" s="7">
        <f t="shared" si="1882"/>
        <v>1</v>
      </c>
      <c r="U313" s="7">
        <f t="shared" si="19"/>
        <v>1</v>
      </c>
      <c r="V313" s="7">
        <f t="shared" ref="V313:X313" si="1883">IF(W313=1,1,RANDBETWEEN(0,1))</f>
        <v>1</v>
      </c>
      <c r="W313" s="7">
        <f t="shared" si="1883"/>
        <v>1</v>
      </c>
      <c r="X313" s="7">
        <f t="shared" si="1883"/>
        <v>1</v>
      </c>
      <c r="Y313" s="7">
        <f t="shared" si="21"/>
        <v>1</v>
      </c>
      <c r="Z313" s="7">
        <f t="shared" ref="Z313:AB313" si="1884">IF(AA313=1,1,RANDBETWEEN(0,1))</f>
        <v>1</v>
      </c>
      <c r="AA313" s="7">
        <f t="shared" si="1884"/>
        <v>1</v>
      </c>
      <c r="AB313" s="7">
        <f t="shared" si="1884"/>
        <v>1</v>
      </c>
      <c r="AC313" s="7">
        <f t="shared" si="23"/>
        <v>0</v>
      </c>
      <c r="AD313" s="7">
        <f t="shared" ref="AD313:AF313" si="1885">IF(AE313=1,1,RANDBETWEEN(0,1))</f>
        <v>1</v>
      </c>
      <c r="AE313" s="7">
        <f t="shared" si="1885"/>
        <v>1</v>
      </c>
      <c r="AF313" s="7">
        <f t="shared" si="1885"/>
        <v>0</v>
      </c>
      <c r="AG313" s="7">
        <f t="shared" si="25"/>
        <v>0</v>
      </c>
    </row>
    <row r="314">
      <c r="A314" s="4" t="s">
        <v>897</v>
      </c>
      <c r="B314" s="4" t="s">
        <v>898</v>
      </c>
      <c r="C314" s="4" t="s">
        <v>899</v>
      </c>
      <c r="D314" s="5">
        <v>7293.0</v>
      </c>
      <c r="E314" s="6">
        <f t="shared" si="7"/>
        <v>956</v>
      </c>
      <c r="F314" s="7">
        <f t="shared" ref="F314:G314" si="1886">ROUND(RAND(),2)</f>
        <v>0.05</v>
      </c>
      <c r="G314" s="7">
        <f t="shared" si="1886"/>
        <v>0.47</v>
      </c>
      <c r="H314" s="7">
        <f t="shared" si="9"/>
        <v>5</v>
      </c>
      <c r="I314" s="7">
        <f t="shared" si="10"/>
        <v>29994</v>
      </c>
      <c r="J314" s="7">
        <f t="shared" si="11"/>
        <v>3415</v>
      </c>
      <c r="K314" s="7" t="str">
        <f t="shared" si="12"/>
        <v>D</v>
      </c>
      <c r="L314" s="7" t="str">
        <f t="shared" si="13"/>
        <v>Transformative change</v>
      </c>
      <c r="M314" s="7" t="str">
        <f t="shared" si="14"/>
        <v>High</v>
      </c>
      <c r="N314" s="7">
        <f t="shared" si="15"/>
        <v>3342878</v>
      </c>
      <c r="O314" s="7">
        <f t="shared" si="16"/>
        <v>2537597.6</v>
      </c>
      <c r="P314" s="7">
        <f t="shared" ref="P314:Q314" si="1887">RANDBETWEEN(0,22)</f>
        <v>13</v>
      </c>
      <c r="Q314" s="7">
        <f t="shared" si="1887"/>
        <v>2</v>
      </c>
      <c r="R314" s="7">
        <f t="shared" ref="R314:T314" si="1888">IF(S314=1,1,RANDBETWEEN(0,1))</f>
        <v>1</v>
      </c>
      <c r="S314" s="7">
        <f t="shared" si="1888"/>
        <v>1</v>
      </c>
      <c r="T314" s="7">
        <f t="shared" si="1888"/>
        <v>1</v>
      </c>
      <c r="U314" s="7">
        <f t="shared" si="19"/>
        <v>1</v>
      </c>
      <c r="V314" s="7">
        <f t="shared" ref="V314:X314" si="1889">IF(W314=1,1,RANDBETWEEN(0,1))</f>
        <v>1</v>
      </c>
      <c r="W314" s="7">
        <f t="shared" si="1889"/>
        <v>1</v>
      </c>
      <c r="X314" s="7">
        <f t="shared" si="1889"/>
        <v>1</v>
      </c>
      <c r="Y314" s="7">
        <f t="shared" si="21"/>
        <v>1</v>
      </c>
      <c r="Z314" s="7">
        <f t="shared" ref="Z314:AB314" si="1890">IF(AA314=1,1,RANDBETWEEN(0,1))</f>
        <v>1</v>
      </c>
      <c r="AA314" s="7">
        <f t="shared" si="1890"/>
        <v>1</v>
      </c>
      <c r="AB314" s="7">
        <f t="shared" si="1890"/>
        <v>1</v>
      </c>
      <c r="AC314" s="7">
        <f t="shared" si="23"/>
        <v>1</v>
      </c>
      <c r="AD314" s="7">
        <f t="shared" ref="AD314:AF314" si="1891">IF(AE314=1,1,RANDBETWEEN(0,1))</f>
        <v>1</v>
      </c>
      <c r="AE314" s="7">
        <f t="shared" si="1891"/>
        <v>1</v>
      </c>
      <c r="AF314" s="7">
        <f t="shared" si="1891"/>
        <v>1</v>
      </c>
      <c r="AG314" s="7">
        <f t="shared" si="25"/>
        <v>1</v>
      </c>
    </row>
    <row r="315">
      <c r="A315" s="4" t="s">
        <v>900</v>
      </c>
      <c r="B315" s="4" t="s">
        <v>901</v>
      </c>
      <c r="C315" s="4" t="s">
        <v>902</v>
      </c>
      <c r="D315" s="5">
        <v>13356.0</v>
      </c>
      <c r="E315" s="6">
        <f t="shared" si="7"/>
        <v>982</v>
      </c>
      <c r="F315" s="7">
        <f t="shared" ref="F315:G315" si="1892">ROUND(RAND(),2)</f>
        <v>0.83</v>
      </c>
      <c r="G315" s="7">
        <f t="shared" si="1892"/>
        <v>0.68</v>
      </c>
      <c r="H315" s="7">
        <f t="shared" si="9"/>
        <v>4</v>
      </c>
      <c r="I315" s="7">
        <f t="shared" si="10"/>
        <v>49724</v>
      </c>
      <c r="J315" s="7">
        <f t="shared" si="11"/>
        <v>13210</v>
      </c>
      <c r="K315" s="7" t="str">
        <f t="shared" si="12"/>
        <v>A</v>
      </c>
      <c r="L315" s="7" t="str">
        <f t="shared" si="13"/>
        <v>Transformative change</v>
      </c>
      <c r="M315" s="7" t="str">
        <f t="shared" si="14"/>
        <v>Medium</v>
      </c>
      <c r="N315" s="7">
        <f t="shared" si="15"/>
        <v>698954</v>
      </c>
      <c r="O315" s="7">
        <f t="shared" si="16"/>
        <v>666481.3208</v>
      </c>
      <c r="P315" s="7">
        <f t="shared" ref="P315:Q315" si="1893">RANDBETWEEN(0,22)</f>
        <v>18</v>
      </c>
      <c r="Q315" s="7">
        <f t="shared" si="1893"/>
        <v>1</v>
      </c>
      <c r="R315" s="7">
        <f t="shared" ref="R315:T315" si="1894">IF(S315=1,1,RANDBETWEEN(0,1))</f>
        <v>1</v>
      </c>
      <c r="S315" s="7">
        <f t="shared" si="1894"/>
        <v>1</v>
      </c>
      <c r="T315" s="7">
        <f t="shared" si="1894"/>
        <v>1</v>
      </c>
      <c r="U315" s="7">
        <f t="shared" si="19"/>
        <v>1</v>
      </c>
      <c r="V315" s="7">
        <f t="shared" ref="V315:X315" si="1895">IF(W315=1,1,RANDBETWEEN(0,1))</f>
        <v>1</v>
      </c>
      <c r="W315" s="7">
        <f t="shared" si="1895"/>
        <v>1</v>
      </c>
      <c r="X315" s="7">
        <f t="shared" si="1895"/>
        <v>1</v>
      </c>
      <c r="Y315" s="7">
        <f t="shared" si="21"/>
        <v>1</v>
      </c>
      <c r="Z315" s="7">
        <f t="shared" ref="Z315:AB315" si="1896">IF(AA315=1,1,RANDBETWEEN(0,1))</f>
        <v>0</v>
      </c>
      <c r="AA315" s="7">
        <f t="shared" si="1896"/>
        <v>0</v>
      </c>
      <c r="AB315" s="7">
        <f t="shared" si="1896"/>
        <v>0</v>
      </c>
      <c r="AC315" s="7">
        <f t="shared" si="23"/>
        <v>0</v>
      </c>
      <c r="AD315" s="7">
        <f t="shared" ref="AD315:AF315" si="1897">IF(AE315=1,1,RANDBETWEEN(0,1))</f>
        <v>1</v>
      </c>
      <c r="AE315" s="7">
        <f t="shared" si="1897"/>
        <v>1</v>
      </c>
      <c r="AF315" s="7">
        <f t="shared" si="1897"/>
        <v>1</v>
      </c>
      <c r="AG315" s="7">
        <f t="shared" si="25"/>
        <v>1</v>
      </c>
    </row>
    <row r="316">
      <c r="A316" s="4" t="s">
        <v>903</v>
      </c>
      <c r="B316" s="4" t="s">
        <v>904</v>
      </c>
      <c r="C316" s="4" t="s">
        <v>905</v>
      </c>
      <c r="D316" s="5">
        <v>9491.0</v>
      </c>
      <c r="E316" s="6">
        <f t="shared" si="7"/>
        <v>934</v>
      </c>
      <c r="F316" s="7">
        <f t="shared" ref="F316:G316" si="1898">ROUND(RAND(),2)</f>
        <v>0.82</v>
      </c>
      <c r="G316" s="7">
        <f t="shared" si="1898"/>
        <v>0.32</v>
      </c>
      <c r="H316" s="7">
        <f t="shared" si="9"/>
        <v>2</v>
      </c>
      <c r="I316" s="7">
        <f t="shared" si="10"/>
        <v>91434</v>
      </c>
      <c r="J316" s="7">
        <f t="shared" si="11"/>
        <v>13367</v>
      </c>
      <c r="K316" s="7" t="str">
        <f t="shared" si="12"/>
        <v>D</v>
      </c>
      <c r="L316" s="7" t="str">
        <f t="shared" si="13"/>
        <v>Transformative change</v>
      </c>
      <c r="M316" s="7" t="str">
        <f t="shared" si="14"/>
        <v>High</v>
      </c>
      <c r="N316" s="7">
        <f t="shared" si="15"/>
        <v>3705112</v>
      </c>
      <c r="O316" s="7">
        <f t="shared" si="16"/>
        <v>33745.7028</v>
      </c>
      <c r="P316" s="7">
        <f t="shared" ref="P316:Q316" si="1899">RANDBETWEEN(0,22)</f>
        <v>5</v>
      </c>
      <c r="Q316" s="7">
        <f t="shared" si="1899"/>
        <v>16</v>
      </c>
      <c r="R316" s="7">
        <f t="shared" ref="R316:T316" si="1900">IF(S316=1,1,RANDBETWEEN(0,1))</f>
        <v>1</v>
      </c>
      <c r="S316" s="7">
        <f t="shared" si="1900"/>
        <v>1</v>
      </c>
      <c r="T316" s="7">
        <f t="shared" si="1900"/>
        <v>0</v>
      </c>
      <c r="U316" s="7">
        <f t="shared" si="19"/>
        <v>0</v>
      </c>
      <c r="V316" s="7">
        <f t="shared" ref="V316:X316" si="1901">IF(W316=1,1,RANDBETWEEN(0,1))</f>
        <v>1</v>
      </c>
      <c r="W316" s="7">
        <f t="shared" si="1901"/>
        <v>1</v>
      </c>
      <c r="X316" s="7">
        <f t="shared" si="1901"/>
        <v>1</v>
      </c>
      <c r="Y316" s="7">
        <f t="shared" si="21"/>
        <v>1</v>
      </c>
      <c r="Z316" s="7">
        <f t="shared" ref="Z316:AB316" si="1902">IF(AA316=1,1,RANDBETWEEN(0,1))</f>
        <v>1</v>
      </c>
      <c r="AA316" s="7">
        <f t="shared" si="1902"/>
        <v>1</v>
      </c>
      <c r="AB316" s="7">
        <f t="shared" si="1902"/>
        <v>1</v>
      </c>
      <c r="AC316" s="7">
        <f t="shared" si="23"/>
        <v>1</v>
      </c>
      <c r="AD316" s="7">
        <f t="shared" ref="AD316:AF316" si="1903">IF(AE316=1,1,RANDBETWEEN(0,1))</f>
        <v>1</v>
      </c>
      <c r="AE316" s="7">
        <f t="shared" si="1903"/>
        <v>1</v>
      </c>
      <c r="AF316" s="7">
        <f t="shared" si="1903"/>
        <v>0</v>
      </c>
      <c r="AG316" s="7">
        <f t="shared" si="25"/>
        <v>0</v>
      </c>
    </row>
    <row r="317">
      <c r="A317" s="4" t="s">
        <v>906</v>
      </c>
      <c r="B317" s="4" t="s">
        <v>907</v>
      </c>
      <c r="C317" s="4" t="s">
        <v>95</v>
      </c>
      <c r="D317" s="5">
        <v>800980.0</v>
      </c>
      <c r="E317" s="6">
        <f t="shared" si="7"/>
        <v>2988.73</v>
      </c>
      <c r="F317" s="7">
        <f t="shared" ref="F317:G317" si="1904">ROUND(RAND(),2)</f>
        <v>0.6</v>
      </c>
      <c r="G317" s="7">
        <f t="shared" si="1904"/>
        <v>0.26</v>
      </c>
      <c r="H317" s="7">
        <f t="shared" si="9"/>
        <v>2</v>
      </c>
      <c r="I317" s="7">
        <f t="shared" si="10"/>
        <v>35298</v>
      </c>
      <c r="J317" s="7">
        <f t="shared" si="11"/>
        <v>33836</v>
      </c>
      <c r="K317" s="7" t="str">
        <f t="shared" si="12"/>
        <v>D</v>
      </c>
      <c r="L317" s="7" t="str">
        <f t="shared" si="13"/>
        <v>High ambition</v>
      </c>
      <c r="M317" s="7" t="str">
        <f t="shared" si="14"/>
        <v>Medium</v>
      </c>
      <c r="N317" s="7">
        <f t="shared" si="15"/>
        <v>155398</v>
      </c>
      <c r="O317" s="7">
        <f t="shared" si="16"/>
        <v>74032.74416</v>
      </c>
      <c r="P317" s="7">
        <f t="shared" ref="P317:Q317" si="1905">RANDBETWEEN(0,22)</f>
        <v>18</v>
      </c>
      <c r="Q317" s="7">
        <f t="shared" si="1905"/>
        <v>13</v>
      </c>
      <c r="R317" s="7">
        <f t="shared" ref="R317:T317" si="1906">IF(S317=1,1,RANDBETWEEN(0,1))</f>
        <v>1</v>
      </c>
      <c r="S317" s="7">
        <f t="shared" si="1906"/>
        <v>1</v>
      </c>
      <c r="T317" s="7">
        <f t="shared" si="1906"/>
        <v>1</v>
      </c>
      <c r="U317" s="7">
        <f t="shared" si="19"/>
        <v>0</v>
      </c>
      <c r="V317" s="7">
        <f t="shared" ref="V317:X317" si="1907">IF(W317=1,1,RANDBETWEEN(0,1))</f>
        <v>1</v>
      </c>
      <c r="W317" s="7">
        <f t="shared" si="1907"/>
        <v>1</v>
      </c>
      <c r="X317" s="7">
        <f t="shared" si="1907"/>
        <v>1</v>
      </c>
      <c r="Y317" s="7">
        <f t="shared" si="21"/>
        <v>1</v>
      </c>
      <c r="Z317" s="7">
        <f t="shared" ref="Z317:AB317" si="1908">IF(AA317=1,1,RANDBETWEEN(0,1))</f>
        <v>1</v>
      </c>
      <c r="AA317" s="7">
        <f t="shared" si="1908"/>
        <v>1</v>
      </c>
      <c r="AB317" s="7">
        <f t="shared" si="1908"/>
        <v>1</v>
      </c>
      <c r="AC317" s="7">
        <f t="shared" si="23"/>
        <v>1</v>
      </c>
      <c r="AD317" s="7">
        <f t="shared" ref="AD317:AF317" si="1909">IF(AE317=1,1,RANDBETWEEN(0,1))</f>
        <v>1</v>
      </c>
      <c r="AE317" s="7">
        <f t="shared" si="1909"/>
        <v>1</v>
      </c>
      <c r="AF317" s="7">
        <f t="shared" si="1909"/>
        <v>1</v>
      </c>
      <c r="AG317" s="7">
        <f t="shared" si="25"/>
        <v>0</v>
      </c>
    </row>
    <row r="318">
      <c r="A318" s="4" t="s">
        <v>908</v>
      </c>
      <c r="B318" s="4" t="s">
        <v>909</v>
      </c>
      <c r="C318" s="4" t="s">
        <v>95</v>
      </c>
      <c r="D318" s="5">
        <v>8680.0</v>
      </c>
      <c r="E318" s="6">
        <f t="shared" si="7"/>
        <v>991</v>
      </c>
      <c r="F318" s="7">
        <f t="shared" ref="F318:G318" si="1910">ROUND(RAND(),2)</f>
        <v>0.88</v>
      </c>
      <c r="G318" s="7">
        <f t="shared" si="1910"/>
        <v>0.47</v>
      </c>
      <c r="H318" s="7">
        <f t="shared" si="9"/>
        <v>2</v>
      </c>
      <c r="I318" s="7">
        <f t="shared" si="10"/>
        <v>90780</v>
      </c>
      <c r="J318" s="7">
        <f t="shared" si="11"/>
        <v>26393</v>
      </c>
      <c r="K318" s="7" t="str">
        <f t="shared" si="12"/>
        <v>E</v>
      </c>
      <c r="L318" s="7" t="str">
        <f t="shared" si="13"/>
        <v>Transformative change</v>
      </c>
      <c r="M318" s="7" t="str">
        <f t="shared" si="14"/>
        <v>Low</v>
      </c>
      <c r="N318" s="7">
        <f t="shared" si="15"/>
        <v>2356097</v>
      </c>
      <c r="O318" s="7">
        <f t="shared" si="16"/>
        <v>1969394.585</v>
      </c>
      <c r="P318" s="7">
        <f t="shared" ref="P318:Q318" si="1911">RANDBETWEEN(0,22)</f>
        <v>13</v>
      </c>
      <c r="Q318" s="7">
        <f t="shared" si="1911"/>
        <v>4</v>
      </c>
      <c r="R318" s="7">
        <f t="shared" ref="R318:T318" si="1912">IF(S318=1,1,RANDBETWEEN(0,1))</f>
        <v>1</v>
      </c>
      <c r="S318" s="7">
        <f t="shared" si="1912"/>
        <v>1</v>
      </c>
      <c r="T318" s="7">
        <f t="shared" si="1912"/>
        <v>0</v>
      </c>
      <c r="U318" s="7">
        <f t="shared" si="19"/>
        <v>0</v>
      </c>
      <c r="V318" s="7">
        <f t="shared" ref="V318:X318" si="1913">IF(W318=1,1,RANDBETWEEN(0,1))</f>
        <v>1</v>
      </c>
      <c r="W318" s="7">
        <f t="shared" si="1913"/>
        <v>1</v>
      </c>
      <c r="X318" s="7">
        <f t="shared" si="1913"/>
        <v>1</v>
      </c>
      <c r="Y318" s="7">
        <f t="shared" si="21"/>
        <v>1</v>
      </c>
      <c r="Z318" s="7">
        <f t="shared" ref="Z318:AB318" si="1914">IF(AA318=1,1,RANDBETWEEN(0,1))</f>
        <v>1</v>
      </c>
      <c r="AA318" s="7">
        <f t="shared" si="1914"/>
        <v>1</v>
      </c>
      <c r="AB318" s="7">
        <f t="shared" si="1914"/>
        <v>1</v>
      </c>
      <c r="AC318" s="7">
        <f t="shared" si="23"/>
        <v>0</v>
      </c>
      <c r="AD318" s="7">
        <f t="shared" ref="AD318:AF318" si="1915">IF(AE318=1,1,RANDBETWEEN(0,1))</f>
        <v>1</v>
      </c>
      <c r="AE318" s="7">
        <f t="shared" si="1915"/>
        <v>1</v>
      </c>
      <c r="AF318" s="7">
        <f t="shared" si="1915"/>
        <v>1</v>
      </c>
      <c r="AG318" s="7">
        <f t="shared" si="25"/>
        <v>1</v>
      </c>
    </row>
    <row r="319">
      <c r="A319" s="4" t="s">
        <v>910</v>
      </c>
      <c r="B319" s="4" t="s">
        <v>911</v>
      </c>
      <c r="C319" s="4" t="s">
        <v>912</v>
      </c>
      <c r="D319" s="5">
        <v>6998.0</v>
      </c>
      <c r="E319" s="6">
        <f t="shared" si="7"/>
        <v>863</v>
      </c>
      <c r="F319" s="7">
        <f t="shared" ref="F319:G319" si="1916">ROUND(RAND(),2)</f>
        <v>0.5</v>
      </c>
      <c r="G319" s="7">
        <f t="shared" si="1916"/>
        <v>0.49</v>
      </c>
      <c r="H319" s="7">
        <f t="shared" si="9"/>
        <v>1</v>
      </c>
      <c r="I319" s="7">
        <f t="shared" si="10"/>
        <v>12633</v>
      </c>
      <c r="J319" s="7">
        <f t="shared" si="11"/>
        <v>31087</v>
      </c>
      <c r="K319" s="7" t="str">
        <f t="shared" si="12"/>
        <v>E</v>
      </c>
      <c r="L319" s="7" t="str">
        <f t="shared" si="13"/>
        <v>Transformative change</v>
      </c>
      <c r="M319" s="7" t="str">
        <f t="shared" si="14"/>
        <v>Medium</v>
      </c>
      <c r="N319" s="7">
        <f t="shared" si="15"/>
        <v>136531</v>
      </c>
      <c r="O319" s="7">
        <f t="shared" si="16"/>
        <v>120790.1634</v>
      </c>
      <c r="P319" s="7">
        <f t="shared" ref="P319:Q319" si="1917">RANDBETWEEN(0,22)</f>
        <v>10</v>
      </c>
      <c r="Q319" s="7">
        <f t="shared" si="1917"/>
        <v>1</v>
      </c>
      <c r="R319" s="7">
        <f t="shared" ref="R319:T319" si="1918">IF(S319=1,1,RANDBETWEEN(0,1))</f>
        <v>1</v>
      </c>
      <c r="S319" s="7">
        <f t="shared" si="1918"/>
        <v>1</v>
      </c>
      <c r="T319" s="7">
        <f t="shared" si="1918"/>
        <v>1</v>
      </c>
      <c r="U319" s="7">
        <f t="shared" si="19"/>
        <v>0</v>
      </c>
      <c r="V319" s="7">
        <f t="shared" ref="V319:X319" si="1919">IF(W319=1,1,RANDBETWEEN(0,1))</f>
        <v>1</v>
      </c>
      <c r="W319" s="7">
        <f t="shared" si="1919"/>
        <v>1</v>
      </c>
      <c r="X319" s="7">
        <f t="shared" si="1919"/>
        <v>1</v>
      </c>
      <c r="Y319" s="7">
        <f t="shared" si="21"/>
        <v>0</v>
      </c>
      <c r="Z319" s="7">
        <f t="shared" ref="Z319:AB319" si="1920">IF(AA319=1,1,RANDBETWEEN(0,1))</f>
        <v>1</v>
      </c>
      <c r="AA319" s="7">
        <f t="shared" si="1920"/>
        <v>1</v>
      </c>
      <c r="AB319" s="7">
        <f t="shared" si="1920"/>
        <v>0</v>
      </c>
      <c r="AC319" s="7">
        <f t="shared" si="23"/>
        <v>0</v>
      </c>
      <c r="AD319" s="7">
        <f t="shared" ref="AD319:AF319" si="1921">IF(AE319=1,1,RANDBETWEEN(0,1))</f>
        <v>1</v>
      </c>
      <c r="AE319" s="7">
        <f t="shared" si="1921"/>
        <v>1</v>
      </c>
      <c r="AF319" s="7">
        <f t="shared" si="1921"/>
        <v>0</v>
      </c>
      <c r="AG319" s="7">
        <f t="shared" si="25"/>
        <v>0</v>
      </c>
    </row>
    <row r="320">
      <c r="A320" s="4" t="s">
        <v>913</v>
      </c>
      <c r="B320" s="4" t="s">
        <v>914</v>
      </c>
      <c r="C320" s="4" t="s">
        <v>415</v>
      </c>
      <c r="D320" s="5">
        <v>14338.0</v>
      </c>
      <c r="E320" s="6">
        <f t="shared" si="7"/>
        <v>947</v>
      </c>
      <c r="F320" s="7">
        <f t="shared" ref="F320:G320" si="1922">ROUND(RAND(),2)</f>
        <v>0.84</v>
      </c>
      <c r="G320" s="7">
        <f t="shared" si="1922"/>
        <v>0.3</v>
      </c>
      <c r="H320" s="7">
        <f t="shared" si="9"/>
        <v>5</v>
      </c>
      <c r="I320" s="7">
        <f t="shared" si="10"/>
        <v>53715</v>
      </c>
      <c r="J320" s="7">
        <f t="shared" si="11"/>
        <v>42018</v>
      </c>
      <c r="K320" s="7" t="str">
        <f t="shared" si="12"/>
        <v>F</v>
      </c>
      <c r="L320" s="7" t="str">
        <f t="shared" si="13"/>
        <v>High ambition</v>
      </c>
      <c r="M320" s="7" t="str">
        <f t="shared" si="14"/>
        <v>Low</v>
      </c>
      <c r="N320" s="7">
        <f t="shared" si="15"/>
        <v>1477961</v>
      </c>
      <c r="O320" s="7">
        <f t="shared" si="16"/>
        <v>706654.6033</v>
      </c>
      <c r="P320" s="7">
        <f t="shared" ref="P320:Q320" si="1923">RANDBETWEEN(0,22)</f>
        <v>20</v>
      </c>
      <c r="Q320" s="7">
        <f t="shared" si="1923"/>
        <v>8</v>
      </c>
      <c r="R320" s="7">
        <f t="shared" ref="R320:T320" si="1924">IF(S320=1,1,RANDBETWEEN(0,1))</f>
        <v>1</v>
      </c>
      <c r="S320" s="7">
        <f t="shared" si="1924"/>
        <v>1</v>
      </c>
      <c r="T320" s="7">
        <f t="shared" si="1924"/>
        <v>1</v>
      </c>
      <c r="U320" s="7">
        <f t="shared" si="19"/>
        <v>1</v>
      </c>
      <c r="V320" s="7">
        <f t="shared" ref="V320:X320" si="1925">IF(W320=1,1,RANDBETWEEN(0,1))</f>
        <v>1</v>
      </c>
      <c r="W320" s="7">
        <f t="shared" si="1925"/>
        <v>1</v>
      </c>
      <c r="X320" s="7">
        <f t="shared" si="1925"/>
        <v>1</v>
      </c>
      <c r="Y320" s="7">
        <f t="shared" si="21"/>
        <v>0</v>
      </c>
      <c r="Z320" s="7">
        <f t="shared" ref="Z320:AB320" si="1926">IF(AA320=1,1,RANDBETWEEN(0,1))</f>
        <v>1</v>
      </c>
      <c r="AA320" s="7">
        <f t="shared" si="1926"/>
        <v>1</v>
      </c>
      <c r="AB320" s="7">
        <f t="shared" si="1926"/>
        <v>1</v>
      </c>
      <c r="AC320" s="7">
        <f t="shared" si="23"/>
        <v>1</v>
      </c>
      <c r="AD320" s="7">
        <f t="shared" ref="AD320:AF320" si="1927">IF(AE320=1,1,RANDBETWEEN(0,1))</f>
        <v>1</v>
      </c>
      <c r="AE320" s="7">
        <f t="shared" si="1927"/>
        <v>1</v>
      </c>
      <c r="AF320" s="7">
        <f t="shared" si="1927"/>
        <v>1</v>
      </c>
      <c r="AG320" s="7">
        <f t="shared" si="25"/>
        <v>1</v>
      </c>
    </row>
    <row r="321">
      <c r="A321" s="4" t="s">
        <v>915</v>
      </c>
      <c r="B321" s="4" t="s">
        <v>916</v>
      </c>
      <c r="C321" s="4" t="s">
        <v>95</v>
      </c>
      <c r="D321" s="5">
        <v>19596.0</v>
      </c>
      <c r="E321" s="6">
        <f t="shared" si="7"/>
        <v>1030</v>
      </c>
      <c r="F321" s="7">
        <f t="shared" ref="F321:G321" si="1928">ROUND(RAND(),2)</f>
        <v>0.41</v>
      </c>
      <c r="G321" s="7">
        <f t="shared" si="1928"/>
        <v>0.88</v>
      </c>
      <c r="H321" s="7">
        <f t="shared" si="9"/>
        <v>2</v>
      </c>
      <c r="I321" s="7">
        <f t="shared" si="10"/>
        <v>8272</v>
      </c>
      <c r="J321" s="7">
        <f t="shared" si="11"/>
        <v>20824</v>
      </c>
      <c r="K321" s="7" t="str">
        <f t="shared" si="12"/>
        <v>C</v>
      </c>
      <c r="L321" s="7" t="str">
        <f t="shared" si="13"/>
        <v>Transformative change</v>
      </c>
      <c r="M321" s="7" t="str">
        <f t="shared" si="14"/>
        <v>Low</v>
      </c>
      <c r="N321" s="7">
        <f t="shared" si="15"/>
        <v>2044332</v>
      </c>
      <c r="O321" s="7">
        <f t="shared" si="16"/>
        <v>71148.08222</v>
      </c>
      <c r="P321" s="7">
        <f t="shared" ref="P321:Q321" si="1929">RANDBETWEEN(0,22)</f>
        <v>22</v>
      </c>
      <c r="Q321" s="7">
        <f t="shared" si="1929"/>
        <v>15</v>
      </c>
      <c r="R321" s="7">
        <f t="shared" ref="R321:T321" si="1930">IF(S321=1,1,RANDBETWEEN(0,1))</f>
        <v>1</v>
      </c>
      <c r="S321" s="7">
        <f t="shared" si="1930"/>
        <v>1</v>
      </c>
      <c r="T321" s="7">
        <f t="shared" si="1930"/>
        <v>1</v>
      </c>
      <c r="U321" s="7">
        <f t="shared" si="19"/>
        <v>1</v>
      </c>
      <c r="V321" s="7">
        <f t="shared" ref="V321:X321" si="1931">IF(W321=1,1,RANDBETWEEN(0,1))</f>
        <v>1</v>
      </c>
      <c r="W321" s="7">
        <f t="shared" si="1931"/>
        <v>1</v>
      </c>
      <c r="X321" s="7">
        <f t="shared" si="1931"/>
        <v>1</v>
      </c>
      <c r="Y321" s="7">
        <f t="shared" si="21"/>
        <v>1</v>
      </c>
      <c r="Z321" s="7">
        <f t="shared" ref="Z321:AB321" si="1932">IF(AA321=1,1,RANDBETWEEN(0,1))</f>
        <v>1</v>
      </c>
      <c r="AA321" s="7">
        <f t="shared" si="1932"/>
        <v>1</v>
      </c>
      <c r="AB321" s="7">
        <f t="shared" si="1932"/>
        <v>1</v>
      </c>
      <c r="AC321" s="7">
        <f t="shared" si="23"/>
        <v>1</v>
      </c>
      <c r="AD321" s="7">
        <f t="shared" ref="AD321:AF321" si="1933">IF(AE321=1,1,RANDBETWEEN(0,1))</f>
        <v>1</v>
      </c>
      <c r="AE321" s="7">
        <f t="shared" si="1933"/>
        <v>1</v>
      </c>
      <c r="AF321" s="7">
        <f t="shared" si="1933"/>
        <v>0</v>
      </c>
      <c r="AG321" s="7">
        <f t="shared" si="25"/>
        <v>0</v>
      </c>
    </row>
    <row r="322">
      <c r="A322" s="4" t="s">
        <v>917</v>
      </c>
      <c r="B322" s="4" t="s">
        <v>918</v>
      </c>
      <c r="C322" s="4" t="s">
        <v>919</v>
      </c>
      <c r="D322" s="5">
        <v>19349.0</v>
      </c>
      <c r="E322" s="6">
        <f t="shared" si="7"/>
        <v>962</v>
      </c>
      <c r="F322" s="7">
        <f t="shared" ref="F322:G322" si="1934">ROUND(RAND(),2)</f>
        <v>0.59</v>
      </c>
      <c r="G322" s="7">
        <f t="shared" si="1934"/>
        <v>0.24</v>
      </c>
      <c r="H322" s="7">
        <f t="shared" si="9"/>
        <v>5</v>
      </c>
      <c r="I322" s="7">
        <f t="shared" si="10"/>
        <v>25258</v>
      </c>
      <c r="J322" s="7">
        <f t="shared" si="11"/>
        <v>3035</v>
      </c>
      <c r="K322" s="7" t="str">
        <f t="shared" si="12"/>
        <v>D</v>
      </c>
      <c r="L322" s="7" t="str">
        <f t="shared" si="13"/>
        <v>Transformative change</v>
      </c>
      <c r="M322" s="7" t="str">
        <f t="shared" si="14"/>
        <v>Medium</v>
      </c>
      <c r="N322" s="7">
        <f t="shared" si="15"/>
        <v>2182462</v>
      </c>
      <c r="O322" s="7">
        <f t="shared" si="16"/>
        <v>1256278.617</v>
      </c>
      <c r="P322" s="7">
        <f t="shared" ref="P322:Q322" si="1935">RANDBETWEEN(0,22)</f>
        <v>18</v>
      </c>
      <c r="Q322" s="7">
        <f t="shared" si="1935"/>
        <v>22</v>
      </c>
      <c r="R322" s="7">
        <f t="shared" ref="R322:T322" si="1936">IF(S322=1,1,RANDBETWEEN(0,1))</f>
        <v>1</v>
      </c>
      <c r="S322" s="7">
        <f t="shared" si="1936"/>
        <v>1</v>
      </c>
      <c r="T322" s="7">
        <f t="shared" si="1936"/>
        <v>0</v>
      </c>
      <c r="U322" s="7">
        <f t="shared" si="19"/>
        <v>0</v>
      </c>
      <c r="V322" s="7">
        <f t="shared" ref="V322:X322" si="1937">IF(W322=1,1,RANDBETWEEN(0,1))</f>
        <v>1</v>
      </c>
      <c r="W322" s="7">
        <f t="shared" si="1937"/>
        <v>1</v>
      </c>
      <c r="X322" s="7">
        <f t="shared" si="1937"/>
        <v>1</v>
      </c>
      <c r="Y322" s="7">
        <f t="shared" si="21"/>
        <v>0</v>
      </c>
      <c r="Z322" s="7">
        <f t="shared" ref="Z322:AB322" si="1938">IF(AA322=1,1,RANDBETWEEN(0,1))</f>
        <v>1</v>
      </c>
      <c r="AA322" s="7">
        <f t="shared" si="1938"/>
        <v>1</v>
      </c>
      <c r="AB322" s="7">
        <f t="shared" si="1938"/>
        <v>0</v>
      </c>
      <c r="AC322" s="7">
        <f t="shared" si="23"/>
        <v>0</v>
      </c>
      <c r="AD322" s="7">
        <f t="shared" ref="AD322:AF322" si="1939">IF(AE322=1,1,RANDBETWEEN(0,1))</f>
        <v>1</v>
      </c>
      <c r="AE322" s="7">
        <f t="shared" si="1939"/>
        <v>1</v>
      </c>
      <c r="AF322" s="7">
        <f t="shared" si="1939"/>
        <v>1</v>
      </c>
      <c r="AG322" s="7">
        <f t="shared" si="25"/>
        <v>0</v>
      </c>
    </row>
    <row r="323">
      <c r="A323" s="4" t="s">
        <v>920</v>
      </c>
      <c r="B323" s="4" t="s">
        <v>921</v>
      </c>
      <c r="C323" s="4" t="s">
        <v>922</v>
      </c>
      <c r="D323" s="5">
        <v>215865.0</v>
      </c>
      <c r="E323" s="6">
        <f t="shared" si="7"/>
        <v>1068.64</v>
      </c>
      <c r="F323" s="7">
        <f t="shared" ref="F323:G323" si="1940">ROUND(RAND(),2)</f>
        <v>0.56</v>
      </c>
      <c r="G323" s="7">
        <f t="shared" si="1940"/>
        <v>0.03</v>
      </c>
      <c r="H323" s="7">
        <f t="shared" si="9"/>
        <v>2</v>
      </c>
      <c r="I323" s="7">
        <f t="shared" si="10"/>
        <v>84861</v>
      </c>
      <c r="J323" s="7">
        <f t="shared" si="11"/>
        <v>76819</v>
      </c>
      <c r="K323" s="7" t="str">
        <f t="shared" si="12"/>
        <v>C</v>
      </c>
      <c r="L323" s="7" t="str">
        <f t="shared" si="13"/>
        <v>Transformative change</v>
      </c>
      <c r="M323" s="7" t="str">
        <f t="shared" si="14"/>
        <v>Medium</v>
      </c>
      <c r="N323" s="7">
        <f t="shared" si="15"/>
        <v>3817535</v>
      </c>
      <c r="O323" s="7">
        <f t="shared" si="16"/>
        <v>1645788.446</v>
      </c>
      <c r="P323" s="7">
        <f t="shared" ref="P323:Q323" si="1941">RANDBETWEEN(0,22)</f>
        <v>1</v>
      </c>
      <c r="Q323" s="7">
        <f t="shared" si="1941"/>
        <v>21</v>
      </c>
      <c r="R323" s="7">
        <f t="shared" ref="R323:T323" si="1942">IF(S323=1,1,RANDBETWEEN(0,1))</f>
        <v>1</v>
      </c>
      <c r="S323" s="7">
        <f t="shared" si="1942"/>
        <v>1</v>
      </c>
      <c r="T323" s="7">
        <f t="shared" si="1942"/>
        <v>0</v>
      </c>
      <c r="U323" s="7">
        <f t="shared" si="19"/>
        <v>0</v>
      </c>
      <c r="V323" s="7">
        <f t="shared" ref="V323:X323" si="1943">IF(W323=1,1,RANDBETWEEN(0,1))</f>
        <v>1</v>
      </c>
      <c r="W323" s="7">
        <f t="shared" si="1943"/>
        <v>1</v>
      </c>
      <c r="X323" s="7">
        <f t="shared" si="1943"/>
        <v>1</v>
      </c>
      <c r="Y323" s="7">
        <f t="shared" si="21"/>
        <v>1</v>
      </c>
      <c r="Z323" s="7">
        <f t="shared" ref="Z323:AB323" si="1944">IF(AA323=1,1,RANDBETWEEN(0,1))</f>
        <v>1</v>
      </c>
      <c r="AA323" s="7">
        <f t="shared" si="1944"/>
        <v>1</v>
      </c>
      <c r="AB323" s="7">
        <f t="shared" si="1944"/>
        <v>1</v>
      </c>
      <c r="AC323" s="7">
        <f t="shared" si="23"/>
        <v>1</v>
      </c>
      <c r="AD323" s="7">
        <f t="shared" ref="AD323:AF323" si="1945">IF(AE323=1,1,RANDBETWEEN(0,1))</f>
        <v>1</v>
      </c>
      <c r="AE323" s="7">
        <f t="shared" si="1945"/>
        <v>1</v>
      </c>
      <c r="AF323" s="7">
        <f t="shared" si="1945"/>
        <v>1</v>
      </c>
      <c r="AG323" s="7">
        <f t="shared" si="25"/>
        <v>1</v>
      </c>
    </row>
    <row r="324">
      <c r="A324" s="4" t="s">
        <v>923</v>
      </c>
      <c r="B324" s="4" t="s">
        <v>924</v>
      </c>
      <c r="C324" s="4" t="s">
        <v>925</v>
      </c>
      <c r="D324" s="5">
        <v>7756.0</v>
      </c>
      <c r="E324" s="6">
        <f t="shared" si="7"/>
        <v>815</v>
      </c>
      <c r="F324" s="7">
        <f t="shared" ref="F324:G324" si="1946">ROUND(RAND(),2)</f>
        <v>0.46</v>
      </c>
      <c r="G324" s="7">
        <f t="shared" si="1946"/>
        <v>0.38</v>
      </c>
      <c r="H324" s="7">
        <f t="shared" si="9"/>
        <v>1</v>
      </c>
      <c r="I324" s="7">
        <f t="shared" si="10"/>
        <v>8985</v>
      </c>
      <c r="J324" s="7">
        <f t="shared" si="11"/>
        <v>55624</v>
      </c>
      <c r="K324" s="7" t="str">
        <f t="shared" si="12"/>
        <v>C</v>
      </c>
      <c r="L324" s="7" t="str">
        <f t="shared" si="13"/>
        <v>Transformative change</v>
      </c>
      <c r="M324" s="7" t="str">
        <f t="shared" si="14"/>
        <v>Low</v>
      </c>
      <c r="N324" s="7">
        <f t="shared" si="15"/>
        <v>2202618</v>
      </c>
      <c r="O324" s="7">
        <f t="shared" si="16"/>
        <v>889955.2958</v>
      </c>
      <c r="P324" s="7">
        <f t="shared" ref="P324:Q324" si="1947">RANDBETWEEN(0,22)</f>
        <v>15</v>
      </c>
      <c r="Q324" s="7">
        <f t="shared" si="1947"/>
        <v>17</v>
      </c>
      <c r="R324" s="7">
        <f t="shared" ref="R324:T324" si="1948">IF(S324=1,1,RANDBETWEEN(0,1))</f>
        <v>1</v>
      </c>
      <c r="S324" s="7">
        <f t="shared" si="1948"/>
        <v>1</v>
      </c>
      <c r="T324" s="7">
        <f t="shared" si="1948"/>
        <v>1</v>
      </c>
      <c r="U324" s="7">
        <f t="shared" si="19"/>
        <v>1</v>
      </c>
      <c r="V324" s="7">
        <f t="shared" ref="V324:X324" si="1949">IF(W324=1,1,RANDBETWEEN(0,1))</f>
        <v>1</v>
      </c>
      <c r="W324" s="7">
        <f t="shared" si="1949"/>
        <v>1</v>
      </c>
      <c r="X324" s="7">
        <f t="shared" si="1949"/>
        <v>1</v>
      </c>
      <c r="Y324" s="7">
        <f t="shared" si="21"/>
        <v>0</v>
      </c>
      <c r="Z324" s="7">
        <f t="shared" ref="Z324:AB324" si="1950">IF(AA324=1,1,RANDBETWEEN(0,1))</f>
        <v>1</v>
      </c>
      <c r="AA324" s="7">
        <f t="shared" si="1950"/>
        <v>1</v>
      </c>
      <c r="AB324" s="7">
        <f t="shared" si="1950"/>
        <v>0</v>
      </c>
      <c r="AC324" s="7">
        <f t="shared" si="23"/>
        <v>0</v>
      </c>
      <c r="AD324" s="7">
        <f t="shared" ref="AD324:AF324" si="1951">IF(AE324=1,1,RANDBETWEEN(0,1))</f>
        <v>1</v>
      </c>
      <c r="AE324" s="7">
        <f t="shared" si="1951"/>
        <v>1</v>
      </c>
      <c r="AF324" s="7">
        <f t="shared" si="1951"/>
        <v>1</v>
      </c>
      <c r="AG324" s="7">
        <f t="shared" si="25"/>
        <v>1</v>
      </c>
    </row>
    <row r="325">
      <c r="A325" s="4" t="s">
        <v>926</v>
      </c>
      <c r="B325" s="4" t="s">
        <v>927</v>
      </c>
      <c r="C325" s="4" t="s">
        <v>674</v>
      </c>
      <c r="D325" s="5">
        <v>11168.0</v>
      </c>
      <c r="E325" s="6">
        <f t="shared" si="7"/>
        <v>904</v>
      </c>
      <c r="F325" s="7">
        <f t="shared" ref="F325:G325" si="1952">ROUND(RAND(),2)</f>
        <v>0.34</v>
      </c>
      <c r="G325" s="7">
        <f t="shared" si="1952"/>
        <v>0.79</v>
      </c>
      <c r="H325" s="7">
        <f t="shared" si="9"/>
        <v>4</v>
      </c>
      <c r="I325" s="7">
        <f t="shared" si="10"/>
        <v>2067</v>
      </c>
      <c r="J325" s="7">
        <f t="shared" si="11"/>
        <v>1238</v>
      </c>
      <c r="K325" s="7" t="str">
        <f t="shared" si="12"/>
        <v>F</v>
      </c>
      <c r="L325" s="7" t="str">
        <f t="shared" si="13"/>
        <v>Transformative change</v>
      </c>
      <c r="M325" s="7" t="str">
        <f t="shared" si="14"/>
        <v>Low</v>
      </c>
      <c r="N325" s="7">
        <f t="shared" si="15"/>
        <v>570639</v>
      </c>
      <c r="O325" s="7">
        <f t="shared" si="16"/>
        <v>231294.9602</v>
      </c>
      <c r="P325" s="7">
        <f t="shared" ref="P325:Q325" si="1953">RANDBETWEEN(0,22)</f>
        <v>22</v>
      </c>
      <c r="Q325" s="7">
        <f t="shared" si="1953"/>
        <v>1</v>
      </c>
      <c r="R325" s="7">
        <f t="shared" ref="R325:T325" si="1954">IF(S325=1,1,RANDBETWEEN(0,1))</f>
        <v>1</v>
      </c>
      <c r="S325" s="7">
        <f t="shared" si="1954"/>
        <v>1</v>
      </c>
      <c r="T325" s="7">
        <f t="shared" si="1954"/>
        <v>1</v>
      </c>
      <c r="U325" s="7">
        <f t="shared" si="19"/>
        <v>1</v>
      </c>
      <c r="V325" s="7">
        <f t="shared" ref="V325:X325" si="1955">IF(W325=1,1,RANDBETWEEN(0,1))</f>
        <v>1</v>
      </c>
      <c r="W325" s="7">
        <f t="shared" si="1955"/>
        <v>1</v>
      </c>
      <c r="X325" s="7">
        <f t="shared" si="1955"/>
        <v>1</v>
      </c>
      <c r="Y325" s="7">
        <f t="shared" si="21"/>
        <v>1</v>
      </c>
      <c r="Z325" s="7">
        <f t="shared" ref="Z325:AB325" si="1956">IF(AA325=1,1,RANDBETWEEN(0,1))</f>
        <v>1</v>
      </c>
      <c r="AA325" s="7">
        <f t="shared" si="1956"/>
        <v>1</v>
      </c>
      <c r="AB325" s="7">
        <f t="shared" si="1956"/>
        <v>0</v>
      </c>
      <c r="AC325" s="7">
        <f t="shared" si="23"/>
        <v>0</v>
      </c>
      <c r="AD325" s="7">
        <f t="shared" ref="AD325:AF325" si="1957">IF(AE325=1,1,RANDBETWEEN(0,1))</f>
        <v>1</v>
      </c>
      <c r="AE325" s="7">
        <f t="shared" si="1957"/>
        <v>1</v>
      </c>
      <c r="AF325" s="7">
        <f t="shared" si="1957"/>
        <v>0</v>
      </c>
      <c r="AG325" s="7">
        <f t="shared" si="25"/>
        <v>0</v>
      </c>
    </row>
    <row r="326">
      <c r="A326" s="4" t="s">
        <v>928</v>
      </c>
      <c r="B326" s="4" t="s">
        <v>929</v>
      </c>
      <c r="C326" s="4" t="s">
        <v>930</v>
      </c>
      <c r="D326" s="5">
        <v>17413.0</v>
      </c>
      <c r="E326" s="6">
        <f t="shared" si="7"/>
        <v>916</v>
      </c>
      <c r="F326" s="7">
        <f t="shared" ref="F326:G326" si="1958">ROUND(RAND(),2)</f>
        <v>0.82</v>
      </c>
      <c r="G326" s="7">
        <f t="shared" si="1958"/>
        <v>0.69</v>
      </c>
      <c r="H326" s="7">
        <f t="shared" si="9"/>
        <v>5</v>
      </c>
      <c r="I326" s="7">
        <f t="shared" si="10"/>
        <v>80345</v>
      </c>
      <c r="J326" s="7">
        <f t="shared" si="11"/>
        <v>59288</v>
      </c>
      <c r="K326" s="7" t="str">
        <f t="shared" si="12"/>
        <v>B</v>
      </c>
      <c r="L326" s="7" t="str">
        <f t="shared" si="13"/>
        <v>Transformative change</v>
      </c>
      <c r="M326" s="7" t="str">
        <f t="shared" si="14"/>
        <v>Medium</v>
      </c>
      <c r="N326" s="7">
        <f t="shared" si="15"/>
        <v>2174498</v>
      </c>
      <c r="O326" s="7">
        <f t="shared" si="16"/>
        <v>1721641.136</v>
      </c>
      <c r="P326" s="7">
        <f t="shared" ref="P326:Q326" si="1959">RANDBETWEEN(0,22)</f>
        <v>16</v>
      </c>
      <c r="Q326" s="7">
        <f t="shared" si="1959"/>
        <v>7</v>
      </c>
      <c r="R326" s="7">
        <f t="shared" ref="R326:T326" si="1960">IF(S326=1,1,RANDBETWEEN(0,1))</f>
        <v>0</v>
      </c>
      <c r="S326" s="7">
        <f t="shared" si="1960"/>
        <v>0</v>
      </c>
      <c r="T326" s="7">
        <f t="shared" si="1960"/>
        <v>0</v>
      </c>
      <c r="U326" s="7">
        <f t="shared" si="19"/>
        <v>0</v>
      </c>
      <c r="V326" s="7">
        <f t="shared" ref="V326:X326" si="1961">IF(W326=1,1,RANDBETWEEN(0,1))</f>
        <v>1</v>
      </c>
      <c r="W326" s="7">
        <f t="shared" si="1961"/>
        <v>1</v>
      </c>
      <c r="X326" s="7">
        <f t="shared" si="1961"/>
        <v>1</v>
      </c>
      <c r="Y326" s="7">
        <f t="shared" si="21"/>
        <v>1</v>
      </c>
      <c r="Z326" s="7">
        <f t="shared" ref="Z326:AB326" si="1962">IF(AA326=1,1,RANDBETWEEN(0,1))</f>
        <v>1</v>
      </c>
      <c r="AA326" s="7">
        <f t="shared" si="1962"/>
        <v>1</v>
      </c>
      <c r="AB326" s="7">
        <f t="shared" si="1962"/>
        <v>1</v>
      </c>
      <c r="AC326" s="7">
        <f t="shared" si="23"/>
        <v>1</v>
      </c>
      <c r="AD326" s="7">
        <f t="shared" ref="AD326:AF326" si="1963">IF(AE326=1,1,RANDBETWEEN(0,1))</f>
        <v>1</v>
      </c>
      <c r="AE326" s="7">
        <f t="shared" si="1963"/>
        <v>1</v>
      </c>
      <c r="AF326" s="7">
        <f t="shared" si="1963"/>
        <v>1</v>
      </c>
      <c r="AG326" s="7">
        <f t="shared" si="25"/>
        <v>1</v>
      </c>
    </row>
    <row r="327">
      <c r="A327" s="4" t="s">
        <v>931</v>
      </c>
      <c r="B327" s="4" t="s">
        <v>932</v>
      </c>
      <c r="C327" s="4" t="s">
        <v>933</v>
      </c>
      <c r="D327" s="5">
        <v>15262.0</v>
      </c>
      <c r="E327" s="6">
        <f t="shared" si="7"/>
        <v>1084</v>
      </c>
      <c r="F327" s="7">
        <f t="shared" ref="F327:G327" si="1964">ROUND(RAND(),2)</f>
        <v>0.43</v>
      </c>
      <c r="G327" s="7">
        <f t="shared" si="1964"/>
        <v>0.9</v>
      </c>
      <c r="H327" s="7">
        <f t="shared" si="9"/>
        <v>5</v>
      </c>
      <c r="I327" s="7">
        <f t="shared" si="10"/>
        <v>78369</v>
      </c>
      <c r="J327" s="7">
        <f t="shared" si="11"/>
        <v>5375</v>
      </c>
      <c r="K327" s="7" t="str">
        <f t="shared" si="12"/>
        <v>E</v>
      </c>
      <c r="L327" s="7" t="str">
        <f t="shared" si="13"/>
        <v>Transformative change</v>
      </c>
      <c r="M327" s="7" t="str">
        <f t="shared" si="14"/>
        <v>Low</v>
      </c>
      <c r="N327" s="7">
        <f t="shared" si="15"/>
        <v>2124475</v>
      </c>
      <c r="O327" s="7">
        <f t="shared" si="16"/>
        <v>523410.654</v>
      </c>
      <c r="P327" s="7">
        <f t="shared" ref="P327:Q327" si="1965">RANDBETWEEN(0,22)</f>
        <v>9</v>
      </c>
      <c r="Q327" s="7">
        <f t="shared" si="1965"/>
        <v>7</v>
      </c>
      <c r="R327" s="7">
        <f t="shared" ref="R327:T327" si="1966">IF(S327=1,1,RANDBETWEEN(0,1))</f>
        <v>1</v>
      </c>
      <c r="S327" s="7">
        <f t="shared" si="1966"/>
        <v>1</v>
      </c>
      <c r="T327" s="7">
        <f t="shared" si="1966"/>
        <v>1</v>
      </c>
      <c r="U327" s="7">
        <f t="shared" si="19"/>
        <v>0</v>
      </c>
      <c r="V327" s="7">
        <f t="shared" ref="V327:X327" si="1967">IF(W327=1,1,RANDBETWEEN(0,1))</f>
        <v>1</v>
      </c>
      <c r="W327" s="7">
        <f t="shared" si="1967"/>
        <v>1</v>
      </c>
      <c r="X327" s="7">
        <f t="shared" si="1967"/>
        <v>1</v>
      </c>
      <c r="Y327" s="7">
        <f t="shared" si="21"/>
        <v>1</v>
      </c>
      <c r="Z327" s="7">
        <f t="shared" ref="Z327:AB327" si="1968">IF(AA327=1,1,RANDBETWEEN(0,1))</f>
        <v>1</v>
      </c>
      <c r="AA327" s="7">
        <f t="shared" si="1968"/>
        <v>1</v>
      </c>
      <c r="AB327" s="7">
        <f t="shared" si="1968"/>
        <v>1</v>
      </c>
      <c r="AC327" s="7">
        <f t="shared" si="23"/>
        <v>1</v>
      </c>
      <c r="AD327" s="7">
        <f t="shared" ref="AD327:AF327" si="1969">IF(AE327=1,1,RANDBETWEEN(0,1))</f>
        <v>1</v>
      </c>
      <c r="AE327" s="7">
        <f t="shared" si="1969"/>
        <v>1</v>
      </c>
      <c r="AF327" s="7">
        <f t="shared" si="1969"/>
        <v>1</v>
      </c>
      <c r="AG327" s="7">
        <f t="shared" si="25"/>
        <v>0</v>
      </c>
    </row>
    <row r="328">
      <c r="A328" s="4" t="s">
        <v>934</v>
      </c>
      <c r="B328" s="4" t="s">
        <v>935</v>
      </c>
      <c r="C328" s="4" t="s">
        <v>936</v>
      </c>
      <c r="D328" s="5">
        <v>12591.0</v>
      </c>
      <c r="E328" s="6">
        <f t="shared" si="7"/>
        <v>846</v>
      </c>
      <c r="F328" s="7">
        <f t="shared" ref="F328:G328" si="1970">ROUND(RAND(),2)</f>
        <v>0.09</v>
      </c>
      <c r="G328" s="7">
        <f t="shared" si="1970"/>
        <v>0.26</v>
      </c>
      <c r="H328" s="7">
        <f t="shared" si="9"/>
        <v>1</v>
      </c>
      <c r="I328" s="7">
        <f t="shared" si="10"/>
        <v>54974</v>
      </c>
      <c r="J328" s="7">
        <f t="shared" si="11"/>
        <v>16040</v>
      </c>
      <c r="K328" s="7" t="str">
        <f t="shared" si="12"/>
        <v>G</v>
      </c>
      <c r="L328" s="7" t="str">
        <f t="shared" si="13"/>
        <v>Transformative change</v>
      </c>
      <c r="M328" s="7" t="str">
        <f t="shared" si="14"/>
        <v>High</v>
      </c>
      <c r="N328" s="7">
        <f t="shared" si="15"/>
        <v>2743390</v>
      </c>
      <c r="O328" s="7">
        <f t="shared" si="16"/>
        <v>961689.4453</v>
      </c>
      <c r="P328" s="7">
        <f t="shared" ref="P328:Q328" si="1971">RANDBETWEEN(0,22)</f>
        <v>9</v>
      </c>
      <c r="Q328" s="7">
        <f t="shared" si="1971"/>
        <v>4</v>
      </c>
      <c r="R328" s="7">
        <f t="shared" ref="R328:T328" si="1972">IF(S328=1,1,RANDBETWEEN(0,1))</f>
        <v>1</v>
      </c>
      <c r="S328" s="7">
        <f t="shared" si="1972"/>
        <v>1</v>
      </c>
      <c r="T328" s="7">
        <f t="shared" si="1972"/>
        <v>1</v>
      </c>
      <c r="U328" s="7">
        <f t="shared" si="19"/>
        <v>0</v>
      </c>
      <c r="V328" s="7">
        <f t="shared" ref="V328:X328" si="1973">IF(W328=1,1,RANDBETWEEN(0,1))</f>
        <v>1</v>
      </c>
      <c r="W328" s="7">
        <f t="shared" si="1973"/>
        <v>1</v>
      </c>
      <c r="X328" s="7">
        <f t="shared" si="1973"/>
        <v>0</v>
      </c>
      <c r="Y328" s="7">
        <f t="shared" si="21"/>
        <v>0</v>
      </c>
      <c r="Z328" s="7">
        <f t="shared" ref="Z328:AB328" si="1974">IF(AA328=1,1,RANDBETWEEN(0,1))</f>
        <v>1</v>
      </c>
      <c r="AA328" s="7">
        <f t="shared" si="1974"/>
        <v>1</v>
      </c>
      <c r="AB328" s="7">
        <f t="shared" si="1974"/>
        <v>1</v>
      </c>
      <c r="AC328" s="7">
        <f t="shared" si="23"/>
        <v>1</v>
      </c>
      <c r="AD328" s="7">
        <f t="shared" ref="AD328:AF328" si="1975">IF(AE328=1,1,RANDBETWEEN(0,1))</f>
        <v>1</v>
      </c>
      <c r="AE328" s="7">
        <f t="shared" si="1975"/>
        <v>1</v>
      </c>
      <c r="AF328" s="7">
        <f t="shared" si="1975"/>
        <v>0</v>
      </c>
      <c r="AG328" s="7">
        <f t="shared" si="25"/>
        <v>0</v>
      </c>
    </row>
    <row r="329">
      <c r="A329" s="4" t="s">
        <v>937</v>
      </c>
      <c r="B329" s="4" t="s">
        <v>938</v>
      </c>
      <c r="C329" s="4" t="s">
        <v>939</v>
      </c>
      <c r="D329" s="5">
        <v>18699.0</v>
      </c>
      <c r="E329" s="6">
        <f t="shared" si="7"/>
        <v>976</v>
      </c>
      <c r="F329" s="7">
        <f t="shared" ref="F329:G329" si="1976">ROUND(RAND(),2)</f>
        <v>0.59</v>
      </c>
      <c r="G329" s="7">
        <f t="shared" si="1976"/>
        <v>0.18</v>
      </c>
      <c r="H329" s="7">
        <f t="shared" si="9"/>
        <v>2</v>
      </c>
      <c r="I329" s="7">
        <f t="shared" si="10"/>
        <v>41793</v>
      </c>
      <c r="J329" s="7">
        <f t="shared" si="11"/>
        <v>4567</v>
      </c>
      <c r="K329" s="7" t="str">
        <f t="shared" si="12"/>
        <v>A</v>
      </c>
      <c r="L329" s="7" t="str">
        <f t="shared" si="13"/>
        <v>High ambition</v>
      </c>
      <c r="M329" s="7" t="str">
        <f t="shared" si="14"/>
        <v>Low</v>
      </c>
      <c r="N329" s="7">
        <f t="shared" si="15"/>
        <v>2220369</v>
      </c>
      <c r="O329" s="7">
        <f t="shared" si="16"/>
        <v>1927421.31</v>
      </c>
      <c r="P329" s="7">
        <f t="shared" ref="P329:Q329" si="1977">RANDBETWEEN(0,22)</f>
        <v>4</v>
      </c>
      <c r="Q329" s="7">
        <f t="shared" si="1977"/>
        <v>5</v>
      </c>
      <c r="R329" s="7">
        <f t="shared" ref="R329:T329" si="1978">IF(S329=1,1,RANDBETWEEN(0,1))</f>
        <v>1</v>
      </c>
      <c r="S329" s="7">
        <f t="shared" si="1978"/>
        <v>1</v>
      </c>
      <c r="T329" s="7">
        <f t="shared" si="1978"/>
        <v>0</v>
      </c>
      <c r="U329" s="7">
        <f t="shared" si="19"/>
        <v>0</v>
      </c>
      <c r="V329" s="7">
        <f t="shared" ref="V329:X329" si="1979">IF(W329=1,1,RANDBETWEEN(0,1))</f>
        <v>1</v>
      </c>
      <c r="W329" s="7">
        <f t="shared" si="1979"/>
        <v>1</v>
      </c>
      <c r="X329" s="7">
        <f t="shared" si="1979"/>
        <v>1</v>
      </c>
      <c r="Y329" s="7">
        <f t="shared" si="21"/>
        <v>1</v>
      </c>
      <c r="Z329" s="7">
        <f t="shared" ref="Z329:AB329" si="1980">IF(AA329=1,1,RANDBETWEEN(0,1))</f>
        <v>1</v>
      </c>
      <c r="AA329" s="7">
        <f t="shared" si="1980"/>
        <v>1</v>
      </c>
      <c r="AB329" s="7">
        <f t="shared" si="1980"/>
        <v>1</v>
      </c>
      <c r="AC329" s="7">
        <f t="shared" si="23"/>
        <v>0</v>
      </c>
      <c r="AD329" s="7">
        <f t="shared" ref="AD329:AF329" si="1981">IF(AE329=1,1,RANDBETWEEN(0,1))</f>
        <v>1</v>
      </c>
      <c r="AE329" s="7">
        <f t="shared" si="1981"/>
        <v>1</v>
      </c>
      <c r="AF329" s="7">
        <f t="shared" si="1981"/>
        <v>1</v>
      </c>
      <c r="AG329" s="7">
        <f t="shared" si="25"/>
        <v>1</v>
      </c>
    </row>
    <row r="330">
      <c r="A330" s="4" t="s">
        <v>940</v>
      </c>
      <c r="B330" s="4" t="s">
        <v>941</v>
      </c>
      <c r="C330" s="4" t="s">
        <v>942</v>
      </c>
      <c r="D330" s="5">
        <v>15184.0</v>
      </c>
      <c r="E330" s="6">
        <f t="shared" si="7"/>
        <v>974</v>
      </c>
      <c r="F330" s="7">
        <f t="shared" ref="F330:G330" si="1982">ROUND(RAND(),2)</f>
        <v>0.79</v>
      </c>
      <c r="G330" s="7">
        <f t="shared" si="1982"/>
        <v>0.22</v>
      </c>
      <c r="H330" s="7">
        <f t="shared" si="9"/>
        <v>3</v>
      </c>
      <c r="I330" s="7">
        <f t="shared" si="10"/>
        <v>67006</v>
      </c>
      <c r="J330" s="7">
        <f t="shared" si="11"/>
        <v>19472</v>
      </c>
      <c r="K330" s="7" t="str">
        <f t="shared" si="12"/>
        <v>F</v>
      </c>
      <c r="L330" s="7" t="str">
        <f t="shared" si="13"/>
        <v>Transformative change</v>
      </c>
      <c r="M330" s="7" t="str">
        <f t="shared" si="14"/>
        <v>High</v>
      </c>
      <c r="N330" s="7">
        <f t="shared" si="15"/>
        <v>2330529</v>
      </c>
      <c r="O330" s="7">
        <f t="shared" si="16"/>
        <v>1591136.6</v>
      </c>
      <c r="P330" s="7">
        <f t="shared" ref="P330:Q330" si="1983">RANDBETWEEN(0,22)</f>
        <v>4</v>
      </c>
      <c r="Q330" s="7">
        <f t="shared" si="1983"/>
        <v>4</v>
      </c>
      <c r="R330" s="7">
        <f t="shared" ref="R330:T330" si="1984">IF(S330=1,1,RANDBETWEEN(0,1))</f>
        <v>1</v>
      </c>
      <c r="S330" s="7">
        <f t="shared" si="1984"/>
        <v>1</v>
      </c>
      <c r="T330" s="7">
        <f t="shared" si="1984"/>
        <v>1</v>
      </c>
      <c r="U330" s="7">
        <f t="shared" si="19"/>
        <v>1</v>
      </c>
      <c r="V330" s="7">
        <f t="shared" ref="V330:X330" si="1985">IF(W330=1,1,RANDBETWEEN(0,1))</f>
        <v>1</v>
      </c>
      <c r="W330" s="7">
        <f t="shared" si="1985"/>
        <v>1</v>
      </c>
      <c r="X330" s="7">
        <f t="shared" si="1985"/>
        <v>1</v>
      </c>
      <c r="Y330" s="7">
        <f t="shared" si="21"/>
        <v>0</v>
      </c>
      <c r="Z330" s="7">
        <f t="shared" ref="Z330:AB330" si="1986">IF(AA330=1,1,RANDBETWEEN(0,1))</f>
        <v>0</v>
      </c>
      <c r="AA330" s="7">
        <f t="shared" si="1986"/>
        <v>0</v>
      </c>
      <c r="AB330" s="7">
        <f t="shared" si="1986"/>
        <v>0</v>
      </c>
      <c r="AC330" s="7">
        <f t="shared" si="23"/>
        <v>0</v>
      </c>
      <c r="AD330" s="7">
        <f t="shared" ref="AD330:AF330" si="1987">IF(AE330=1,1,RANDBETWEEN(0,1))</f>
        <v>1</v>
      </c>
      <c r="AE330" s="7">
        <f t="shared" si="1987"/>
        <v>1</v>
      </c>
      <c r="AF330" s="7">
        <f t="shared" si="1987"/>
        <v>1</v>
      </c>
      <c r="AG330" s="7">
        <f t="shared" si="25"/>
        <v>1</v>
      </c>
    </row>
    <row r="331">
      <c r="A331" s="4" t="s">
        <v>943</v>
      </c>
      <c r="B331" s="4" t="s">
        <v>944</v>
      </c>
      <c r="C331" s="4" t="s">
        <v>945</v>
      </c>
      <c r="D331" s="5">
        <v>14547.0</v>
      </c>
      <c r="E331" s="6">
        <f t="shared" si="7"/>
        <v>921</v>
      </c>
      <c r="F331" s="7">
        <f t="shared" ref="F331:G331" si="1988">ROUND(RAND(),2)</f>
        <v>0.89</v>
      </c>
      <c r="G331" s="7">
        <f t="shared" si="1988"/>
        <v>0.36</v>
      </c>
      <c r="H331" s="7">
        <f t="shared" si="9"/>
        <v>5</v>
      </c>
      <c r="I331" s="7">
        <f t="shared" si="10"/>
        <v>20876</v>
      </c>
      <c r="J331" s="7">
        <f t="shared" si="11"/>
        <v>1706</v>
      </c>
      <c r="K331" s="7" t="str">
        <f t="shared" si="12"/>
        <v>F</v>
      </c>
      <c r="L331" s="7" t="str">
        <f t="shared" si="13"/>
        <v>Transformative change</v>
      </c>
      <c r="M331" s="7" t="str">
        <f t="shared" si="14"/>
        <v>High</v>
      </c>
      <c r="N331" s="7">
        <f t="shared" si="15"/>
        <v>675750</v>
      </c>
      <c r="O331" s="7">
        <f t="shared" si="16"/>
        <v>169955.1492</v>
      </c>
      <c r="P331" s="7">
        <f t="shared" ref="P331:Q331" si="1989">RANDBETWEEN(0,22)</f>
        <v>21</v>
      </c>
      <c r="Q331" s="7">
        <f t="shared" si="1989"/>
        <v>4</v>
      </c>
      <c r="R331" s="7">
        <f t="shared" ref="R331:T331" si="1990">IF(S331=1,1,RANDBETWEEN(0,1))</f>
        <v>1</v>
      </c>
      <c r="S331" s="7">
        <f t="shared" si="1990"/>
        <v>1</v>
      </c>
      <c r="T331" s="7">
        <f t="shared" si="1990"/>
        <v>1</v>
      </c>
      <c r="U331" s="7">
        <f t="shared" si="19"/>
        <v>0</v>
      </c>
      <c r="V331" s="7">
        <f t="shared" ref="V331:X331" si="1991">IF(W331=1,1,RANDBETWEEN(0,1))</f>
        <v>1</v>
      </c>
      <c r="W331" s="7">
        <f t="shared" si="1991"/>
        <v>1</v>
      </c>
      <c r="X331" s="7">
        <f t="shared" si="1991"/>
        <v>1</v>
      </c>
      <c r="Y331" s="7">
        <f t="shared" si="21"/>
        <v>1</v>
      </c>
      <c r="Z331" s="7">
        <f t="shared" ref="Z331:AB331" si="1992">IF(AA331=1,1,RANDBETWEEN(0,1))</f>
        <v>1</v>
      </c>
      <c r="AA331" s="7">
        <f t="shared" si="1992"/>
        <v>1</v>
      </c>
      <c r="AB331" s="7">
        <f t="shared" si="1992"/>
        <v>1</v>
      </c>
      <c r="AC331" s="7">
        <f t="shared" si="23"/>
        <v>0</v>
      </c>
      <c r="AD331" s="7">
        <f t="shared" ref="AD331:AF331" si="1993">IF(AE331=1,1,RANDBETWEEN(0,1))</f>
        <v>1</v>
      </c>
      <c r="AE331" s="7">
        <f t="shared" si="1993"/>
        <v>1</v>
      </c>
      <c r="AF331" s="7">
        <f t="shared" si="1993"/>
        <v>1</v>
      </c>
      <c r="AG331" s="7">
        <f t="shared" si="25"/>
        <v>1</v>
      </c>
    </row>
    <row r="332">
      <c r="A332" s="4" t="s">
        <v>946</v>
      </c>
      <c r="B332" s="4" t="s">
        <v>947</v>
      </c>
      <c r="C332" s="4" t="s">
        <v>948</v>
      </c>
      <c r="D332" s="5">
        <v>14353.0</v>
      </c>
      <c r="E332" s="6">
        <f t="shared" si="7"/>
        <v>1041</v>
      </c>
      <c r="F332" s="7">
        <f t="shared" ref="F332:G332" si="1994">ROUND(RAND(),2)</f>
        <v>0.76</v>
      </c>
      <c r="G332" s="7">
        <f t="shared" si="1994"/>
        <v>0.94</v>
      </c>
      <c r="H332" s="7">
        <f t="shared" si="9"/>
        <v>4</v>
      </c>
      <c r="I332" s="7">
        <f t="shared" si="10"/>
        <v>32446</v>
      </c>
      <c r="J332" s="7">
        <f t="shared" si="11"/>
        <v>10514</v>
      </c>
      <c r="K332" s="7" t="str">
        <f t="shared" si="12"/>
        <v>C</v>
      </c>
      <c r="L332" s="7" t="str">
        <f t="shared" si="13"/>
        <v>Transformative change</v>
      </c>
      <c r="M332" s="7" t="str">
        <f t="shared" si="14"/>
        <v>Medium</v>
      </c>
      <c r="N332" s="7">
        <f t="shared" si="15"/>
        <v>2062412</v>
      </c>
      <c r="O332" s="7">
        <f t="shared" si="16"/>
        <v>113801.8347</v>
      </c>
      <c r="P332" s="7">
        <f t="shared" ref="P332:Q332" si="1995">RANDBETWEEN(0,22)</f>
        <v>17</v>
      </c>
      <c r="Q332" s="7">
        <f t="shared" si="1995"/>
        <v>16</v>
      </c>
      <c r="R332" s="7">
        <f t="shared" ref="R332:T332" si="1996">IF(S332=1,1,RANDBETWEEN(0,1))</f>
        <v>1</v>
      </c>
      <c r="S332" s="7">
        <f t="shared" si="1996"/>
        <v>1</v>
      </c>
      <c r="T332" s="7">
        <f t="shared" si="1996"/>
        <v>1</v>
      </c>
      <c r="U332" s="7">
        <f t="shared" si="19"/>
        <v>0</v>
      </c>
      <c r="V332" s="7">
        <f t="shared" ref="V332:X332" si="1997">IF(W332=1,1,RANDBETWEEN(0,1))</f>
        <v>1</v>
      </c>
      <c r="W332" s="7">
        <f t="shared" si="1997"/>
        <v>1</v>
      </c>
      <c r="X332" s="7">
        <f t="shared" si="1997"/>
        <v>1</v>
      </c>
      <c r="Y332" s="7">
        <f t="shared" si="21"/>
        <v>1</v>
      </c>
      <c r="Z332" s="7">
        <f t="shared" ref="Z332:AB332" si="1998">IF(AA332=1,1,RANDBETWEEN(0,1))</f>
        <v>0</v>
      </c>
      <c r="AA332" s="7">
        <f t="shared" si="1998"/>
        <v>0</v>
      </c>
      <c r="AB332" s="7">
        <f t="shared" si="1998"/>
        <v>0</v>
      </c>
      <c r="AC332" s="7">
        <f t="shared" si="23"/>
        <v>0</v>
      </c>
      <c r="AD332" s="7">
        <f t="shared" ref="AD332:AF332" si="1999">IF(AE332=1,1,RANDBETWEEN(0,1))</f>
        <v>0</v>
      </c>
      <c r="AE332" s="7">
        <f t="shared" si="1999"/>
        <v>0</v>
      </c>
      <c r="AF332" s="7">
        <f t="shared" si="1999"/>
        <v>0</v>
      </c>
      <c r="AG332" s="7">
        <f t="shared" si="25"/>
        <v>0</v>
      </c>
    </row>
    <row r="333">
      <c r="A333" s="4" t="s">
        <v>949</v>
      </c>
      <c r="B333" s="4" t="s">
        <v>950</v>
      </c>
      <c r="C333" s="4" t="s">
        <v>951</v>
      </c>
      <c r="D333" s="5">
        <v>15291.0</v>
      </c>
      <c r="E333" s="6">
        <f t="shared" si="7"/>
        <v>845</v>
      </c>
      <c r="F333" s="7">
        <f t="shared" ref="F333:G333" si="2000">ROUND(RAND(),2)</f>
        <v>0.48</v>
      </c>
      <c r="G333" s="7">
        <f t="shared" si="2000"/>
        <v>0.52</v>
      </c>
      <c r="H333" s="7">
        <f t="shared" si="9"/>
        <v>4</v>
      </c>
      <c r="I333" s="7">
        <f t="shared" si="10"/>
        <v>31456</v>
      </c>
      <c r="J333" s="7">
        <f t="shared" si="11"/>
        <v>45773</v>
      </c>
      <c r="K333" s="7" t="str">
        <f t="shared" si="12"/>
        <v>A</v>
      </c>
      <c r="L333" s="7" t="str">
        <f t="shared" si="13"/>
        <v>Transformative change</v>
      </c>
      <c r="M333" s="7" t="str">
        <f t="shared" si="14"/>
        <v>Low</v>
      </c>
      <c r="N333" s="7">
        <f t="shared" si="15"/>
        <v>3207520</v>
      </c>
      <c r="O333" s="7">
        <f t="shared" si="16"/>
        <v>2719926.495</v>
      </c>
      <c r="P333" s="7">
        <f t="shared" ref="P333:Q333" si="2001">RANDBETWEEN(0,22)</f>
        <v>12</v>
      </c>
      <c r="Q333" s="7">
        <f t="shared" si="2001"/>
        <v>10</v>
      </c>
      <c r="R333" s="7">
        <f t="shared" ref="R333:T333" si="2002">IF(S333=1,1,RANDBETWEEN(0,1))</f>
        <v>1</v>
      </c>
      <c r="S333" s="7">
        <f t="shared" si="2002"/>
        <v>1</v>
      </c>
      <c r="T333" s="7">
        <f t="shared" si="2002"/>
        <v>1</v>
      </c>
      <c r="U333" s="7">
        <f t="shared" si="19"/>
        <v>0</v>
      </c>
      <c r="V333" s="7">
        <f t="shared" ref="V333:X333" si="2003">IF(W333=1,1,RANDBETWEEN(0,1))</f>
        <v>1</v>
      </c>
      <c r="W333" s="7">
        <f t="shared" si="2003"/>
        <v>1</v>
      </c>
      <c r="X333" s="7">
        <f t="shared" si="2003"/>
        <v>1</v>
      </c>
      <c r="Y333" s="7">
        <f t="shared" si="21"/>
        <v>1</v>
      </c>
      <c r="Z333" s="7">
        <f t="shared" ref="Z333:AB333" si="2004">IF(AA333=1,1,RANDBETWEEN(0,1))</f>
        <v>1</v>
      </c>
      <c r="AA333" s="7">
        <f t="shared" si="2004"/>
        <v>1</v>
      </c>
      <c r="AB333" s="7">
        <f t="shared" si="2004"/>
        <v>1</v>
      </c>
      <c r="AC333" s="7">
        <f t="shared" si="23"/>
        <v>1</v>
      </c>
      <c r="AD333" s="7">
        <f t="shared" ref="AD333:AF333" si="2005">IF(AE333=1,1,RANDBETWEEN(0,1))</f>
        <v>1</v>
      </c>
      <c r="AE333" s="7">
        <f t="shared" si="2005"/>
        <v>1</v>
      </c>
      <c r="AF333" s="7">
        <f t="shared" si="2005"/>
        <v>1</v>
      </c>
      <c r="AG333" s="7">
        <f t="shared" si="25"/>
        <v>1</v>
      </c>
    </row>
    <row r="334">
      <c r="A334" s="4" t="s">
        <v>460</v>
      </c>
      <c r="B334" s="4" t="s">
        <v>952</v>
      </c>
      <c r="C334" s="4" t="s">
        <v>953</v>
      </c>
      <c r="D334" s="5">
        <v>19407.0</v>
      </c>
      <c r="E334" s="6">
        <f t="shared" si="7"/>
        <v>884</v>
      </c>
      <c r="F334" s="7">
        <f t="shared" ref="F334:G334" si="2006">ROUND(RAND(),2)</f>
        <v>0.17</v>
      </c>
      <c r="G334" s="7">
        <f t="shared" si="2006"/>
        <v>0.91</v>
      </c>
      <c r="H334" s="7">
        <f t="shared" si="9"/>
        <v>4</v>
      </c>
      <c r="I334" s="7">
        <f t="shared" si="10"/>
        <v>6541</v>
      </c>
      <c r="J334" s="7">
        <f t="shared" si="11"/>
        <v>32123</v>
      </c>
      <c r="K334" s="7" t="str">
        <f t="shared" si="12"/>
        <v>F</v>
      </c>
      <c r="L334" s="7" t="str">
        <f t="shared" si="13"/>
        <v>High ambition</v>
      </c>
      <c r="M334" s="7" t="str">
        <f t="shared" si="14"/>
        <v>High</v>
      </c>
      <c r="N334" s="7">
        <f t="shared" si="15"/>
        <v>3686955</v>
      </c>
      <c r="O334" s="7">
        <f t="shared" si="16"/>
        <v>2184722.304</v>
      </c>
      <c r="P334" s="7">
        <f t="shared" ref="P334:Q334" si="2007">RANDBETWEEN(0,22)</f>
        <v>8</v>
      </c>
      <c r="Q334" s="7">
        <f t="shared" si="2007"/>
        <v>3</v>
      </c>
      <c r="R334" s="7">
        <f t="shared" ref="R334:T334" si="2008">IF(S334=1,1,RANDBETWEEN(0,1))</f>
        <v>1</v>
      </c>
      <c r="S334" s="7">
        <f t="shared" si="2008"/>
        <v>1</v>
      </c>
      <c r="T334" s="7">
        <f t="shared" si="2008"/>
        <v>1</v>
      </c>
      <c r="U334" s="7">
        <f t="shared" si="19"/>
        <v>0</v>
      </c>
      <c r="V334" s="7">
        <f t="shared" ref="V334:X334" si="2009">IF(W334=1,1,RANDBETWEEN(0,1))</f>
        <v>1</v>
      </c>
      <c r="W334" s="7">
        <f t="shared" si="2009"/>
        <v>1</v>
      </c>
      <c r="X334" s="7">
        <f t="shared" si="2009"/>
        <v>1</v>
      </c>
      <c r="Y334" s="7">
        <f t="shared" si="21"/>
        <v>0</v>
      </c>
      <c r="Z334" s="7">
        <f t="shared" ref="Z334:AB334" si="2010">IF(AA334=1,1,RANDBETWEEN(0,1))</f>
        <v>0</v>
      </c>
      <c r="AA334" s="7">
        <f t="shared" si="2010"/>
        <v>0</v>
      </c>
      <c r="AB334" s="7">
        <f t="shared" si="2010"/>
        <v>0</v>
      </c>
      <c r="AC334" s="7">
        <f t="shared" si="23"/>
        <v>0</v>
      </c>
      <c r="AD334" s="7">
        <f t="shared" ref="AD334:AF334" si="2011">IF(AE334=1,1,RANDBETWEEN(0,1))</f>
        <v>0</v>
      </c>
      <c r="AE334" s="7">
        <f t="shared" si="2011"/>
        <v>0</v>
      </c>
      <c r="AF334" s="7">
        <f t="shared" si="2011"/>
        <v>0</v>
      </c>
      <c r="AG334" s="7">
        <f t="shared" si="25"/>
        <v>0</v>
      </c>
    </row>
    <row r="335">
      <c r="A335" s="4" t="s">
        <v>954</v>
      </c>
      <c r="B335" s="4" t="s">
        <v>955</v>
      </c>
      <c r="C335" s="4" t="s">
        <v>956</v>
      </c>
      <c r="D335" s="5">
        <v>16676.0</v>
      </c>
      <c r="E335" s="6">
        <f t="shared" si="7"/>
        <v>874</v>
      </c>
      <c r="F335" s="7">
        <f t="shared" ref="F335:G335" si="2012">ROUND(RAND(),2)</f>
        <v>0.66</v>
      </c>
      <c r="G335" s="7">
        <f t="shared" si="2012"/>
        <v>0.52</v>
      </c>
      <c r="H335" s="7">
        <f t="shared" si="9"/>
        <v>2</v>
      </c>
      <c r="I335" s="7">
        <f t="shared" si="10"/>
        <v>61308</v>
      </c>
      <c r="J335" s="7">
        <f t="shared" si="11"/>
        <v>17680</v>
      </c>
      <c r="K335" s="7" t="str">
        <f t="shared" si="12"/>
        <v>D</v>
      </c>
      <c r="L335" s="7" t="str">
        <f t="shared" si="13"/>
        <v>Transformative change</v>
      </c>
      <c r="M335" s="7" t="str">
        <f t="shared" si="14"/>
        <v>Medium</v>
      </c>
      <c r="N335" s="7">
        <f t="shared" si="15"/>
        <v>2598060</v>
      </c>
      <c r="O335" s="7">
        <f t="shared" si="16"/>
        <v>439909.4854</v>
      </c>
      <c r="P335" s="7">
        <f t="shared" ref="P335:Q335" si="2013">RANDBETWEEN(0,22)</f>
        <v>13</v>
      </c>
      <c r="Q335" s="7">
        <f t="shared" si="2013"/>
        <v>12</v>
      </c>
      <c r="R335" s="7">
        <f t="shared" ref="R335:T335" si="2014">IF(S335=1,1,RANDBETWEEN(0,1))</f>
        <v>1</v>
      </c>
      <c r="S335" s="7">
        <f t="shared" si="2014"/>
        <v>1</v>
      </c>
      <c r="T335" s="7">
        <f t="shared" si="2014"/>
        <v>1</v>
      </c>
      <c r="U335" s="7">
        <f t="shared" si="19"/>
        <v>0</v>
      </c>
      <c r="V335" s="7">
        <f t="shared" ref="V335:X335" si="2015">IF(W335=1,1,RANDBETWEEN(0,1))</f>
        <v>1</v>
      </c>
      <c r="W335" s="7">
        <f t="shared" si="2015"/>
        <v>1</v>
      </c>
      <c r="X335" s="7">
        <f t="shared" si="2015"/>
        <v>1</v>
      </c>
      <c r="Y335" s="7">
        <f t="shared" si="21"/>
        <v>1</v>
      </c>
      <c r="Z335" s="7">
        <f t="shared" ref="Z335:AB335" si="2016">IF(AA335=1,1,RANDBETWEEN(0,1))</f>
        <v>1</v>
      </c>
      <c r="AA335" s="7">
        <f t="shared" si="2016"/>
        <v>1</v>
      </c>
      <c r="AB335" s="7">
        <f t="shared" si="2016"/>
        <v>1</v>
      </c>
      <c r="AC335" s="7">
        <f t="shared" si="23"/>
        <v>1</v>
      </c>
      <c r="AD335" s="7">
        <f t="shared" ref="AD335:AF335" si="2017">IF(AE335=1,1,RANDBETWEEN(0,1))</f>
        <v>1</v>
      </c>
      <c r="AE335" s="7">
        <f t="shared" si="2017"/>
        <v>1</v>
      </c>
      <c r="AF335" s="7">
        <f t="shared" si="2017"/>
        <v>0</v>
      </c>
      <c r="AG335" s="7">
        <f t="shared" si="25"/>
        <v>0</v>
      </c>
    </row>
    <row r="336">
      <c r="A336" s="4" t="s">
        <v>957</v>
      </c>
      <c r="B336" s="4" t="s">
        <v>958</v>
      </c>
      <c r="C336" s="4" t="s">
        <v>959</v>
      </c>
      <c r="D336" s="5">
        <v>11589.0</v>
      </c>
      <c r="E336" s="6">
        <f t="shared" si="7"/>
        <v>880</v>
      </c>
      <c r="F336" s="7">
        <f t="shared" ref="F336:G336" si="2018">ROUND(RAND(),2)</f>
        <v>0.87</v>
      </c>
      <c r="G336" s="7">
        <f t="shared" si="2018"/>
        <v>0.36</v>
      </c>
      <c r="H336" s="7">
        <f t="shared" si="9"/>
        <v>1</v>
      </c>
      <c r="I336" s="7">
        <f t="shared" si="10"/>
        <v>42233</v>
      </c>
      <c r="J336" s="7">
        <f t="shared" si="11"/>
        <v>34216</v>
      </c>
      <c r="K336" s="7" t="str">
        <f t="shared" si="12"/>
        <v>A</v>
      </c>
      <c r="L336" s="7" t="str">
        <f t="shared" si="13"/>
        <v>Transformative change</v>
      </c>
      <c r="M336" s="7" t="str">
        <f t="shared" si="14"/>
        <v>Low</v>
      </c>
      <c r="N336" s="7">
        <f t="shared" si="15"/>
        <v>192420</v>
      </c>
      <c r="O336" s="7">
        <f t="shared" si="16"/>
        <v>6276.737117</v>
      </c>
      <c r="P336" s="7">
        <f t="shared" ref="P336:Q336" si="2019">RANDBETWEEN(0,22)</f>
        <v>0</v>
      </c>
      <c r="Q336" s="7">
        <f t="shared" si="2019"/>
        <v>14</v>
      </c>
      <c r="R336" s="7">
        <f t="shared" ref="R336:T336" si="2020">IF(S336=1,1,RANDBETWEEN(0,1))</f>
        <v>1</v>
      </c>
      <c r="S336" s="7">
        <f t="shared" si="2020"/>
        <v>1</v>
      </c>
      <c r="T336" s="7">
        <f t="shared" si="2020"/>
        <v>1</v>
      </c>
      <c r="U336" s="7">
        <f t="shared" si="19"/>
        <v>0</v>
      </c>
      <c r="V336" s="7">
        <f t="shared" ref="V336:X336" si="2021">IF(W336=1,1,RANDBETWEEN(0,1))</f>
        <v>1</v>
      </c>
      <c r="W336" s="7">
        <f t="shared" si="2021"/>
        <v>1</v>
      </c>
      <c r="X336" s="7">
        <f t="shared" si="2021"/>
        <v>1</v>
      </c>
      <c r="Y336" s="7">
        <f t="shared" si="21"/>
        <v>1</v>
      </c>
      <c r="Z336" s="7">
        <f t="shared" ref="Z336:AB336" si="2022">IF(AA336=1,1,RANDBETWEEN(0,1))</f>
        <v>1</v>
      </c>
      <c r="AA336" s="7">
        <f t="shared" si="2022"/>
        <v>1</v>
      </c>
      <c r="AB336" s="7">
        <f t="shared" si="2022"/>
        <v>1</v>
      </c>
      <c r="AC336" s="7">
        <f t="shared" si="23"/>
        <v>0</v>
      </c>
      <c r="AD336" s="7">
        <f t="shared" ref="AD336:AF336" si="2023">IF(AE336=1,1,RANDBETWEEN(0,1))</f>
        <v>1</v>
      </c>
      <c r="AE336" s="7">
        <f t="shared" si="2023"/>
        <v>1</v>
      </c>
      <c r="AF336" s="7">
        <f t="shared" si="2023"/>
        <v>1</v>
      </c>
      <c r="AG336" s="7">
        <f t="shared" si="25"/>
        <v>0</v>
      </c>
    </row>
    <row r="337">
      <c r="A337" s="4" t="s">
        <v>960</v>
      </c>
      <c r="B337" s="4" t="s">
        <v>961</v>
      </c>
      <c r="C337" s="4" t="s">
        <v>747</v>
      </c>
      <c r="D337" s="5">
        <v>80199.0</v>
      </c>
      <c r="E337" s="6">
        <f t="shared" si="7"/>
        <v>909</v>
      </c>
      <c r="F337" s="7">
        <f t="shared" ref="F337:G337" si="2024">ROUND(RAND(),2)</f>
        <v>0.14</v>
      </c>
      <c r="G337" s="7">
        <f t="shared" si="2024"/>
        <v>0.25</v>
      </c>
      <c r="H337" s="7">
        <f t="shared" si="9"/>
        <v>3</v>
      </c>
      <c r="I337" s="7">
        <f t="shared" si="10"/>
        <v>68983</v>
      </c>
      <c r="J337" s="7">
        <f t="shared" si="11"/>
        <v>41924</v>
      </c>
      <c r="K337" s="7" t="str">
        <f t="shared" si="12"/>
        <v>G</v>
      </c>
      <c r="L337" s="7" t="str">
        <f t="shared" si="13"/>
        <v>Transformative change</v>
      </c>
      <c r="M337" s="7" t="str">
        <f t="shared" si="14"/>
        <v>Medium</v>
      </c>
      <c r="N337" s="7">
        <f t="shared" si="15"/>
        <v>363037</v>
      </c>
      <c r="O337" s="7">
        <f t="shared" si="16"/>
        <v>187440.9322</v>
      </c>
      <c r="P337" s="7">
        <f t="shared" ref="P337:Q337" si="2025">RANDBETWEEN(0,22)</f>
        <v>21</v>
      </c>
      <c r="Q337" s="7">
        <f t="shared" si="2025"/>
        <v>8</v>
      </c>
      <c r="R337" s="7">
        <f t="shared" ref="R337:T337" si="2026">IF(S337=1,1,RANDBETWEEN(0,1))</f>
        <v>1</v>
      </c>
      <c r="S337" s="7">
        <f t="shared" si="2026"/>
        <v>1</v>
      </c>
      <c r="T337" s="7">
        <f t="shared" si="2026"/>
        <v>1</v>
      </c>
      <c r="U337" s="7">
        <f t="shared" si="19"/>
        <v>0</v>
      </c>
      <c r="V337" s="7">
        <f t="shared" ref="V337:X337" si="2027">IF(W337=1,1,RANDBETWEEN(0,1))</f>
        <v>1</v>
      </c>
      <c r="W337" s="7">
        <f t="shared" si="2027"/>
        <v>1</v>
      </c>
      <c r="X337" s="7">
        <f t="shared" si="2027"/>
        <v>1</v>
      </c>
      <c r="Y337" s="7">
        <f t="shared" si="21"/>
        <v>1</v>
      </c>
      <c r="Z337" s="7">
        <f t="shared" ref="Z337:AB337" si="2028">IF(AA337=1,1,RANDBETWEEN(0,1))</f>
        <v>1</v>
      </c>
      <c r="AA337" s="7">
        <f t="shared" si="2028"/>
        <v>1</v>
      </c>
      <c r="AB337" s="7">
        <f t="shared" si="2028"/>
        <v>1</v>
      </c>
      <c r="AC337" s="7">
        <f t="shared" si="23"/>
        <v>1</v>
      </c>
      <c r="AD337" s="7">
        <f t="shared" ref="AD337:AF337" si="2029">IF(AE337=1,1,RANDBETWEEN(0,1))</f>
        <v>1</v>
      </c>
      <c r="AE337" s="7">
        <f t="shared" si="2029"/>
        <v>1</v>
      </c>
      <c r="AF337" s="7">
        <f t="shared" si="2029"/>
        <v>1</v>
      </c>
      <c r="AG337" s="7">
        <f t="shared" si="25"/>
        <v>1</v>
      </c>
    </row>
    <row r="338">
      <c r="A338" s="4" t="s">
        <v>962</v>
      </c>
      <c r="B338" s="4" t="s">
        <v>963</v>
      </c>
      <c r="C338" s="4" t="s">
        <v>964</v>
      </c>
      <c r="D338" s="5">
        <v>13199.0</v>
      </c>
      <c r="E338" s="6">
        <f t="shared" si="7"/>
        <v>1017</v>
      </c>
      <c r="F338" s="7">
        <f t="shared" ref="F338:G338" si="2030">ROUND(RAND(),2)</f>
        <v>0.45</v>
      </c>
      <c r="G338" s="7">
        <f t="shared" si="2030"/>
        <v>0.97</v>
      </c>
      <c r="H338" s="7">
        <f t="shared" si="9"/>
        <v>3</v>
      </c>
      <c r="I338" s="7">
        <f t="shared" si="10"/>
        <v>49460</v>
      </c>
      <c r="J338" s="7">
        <f t="shared" si="11"/>
        <v>41769</v>
      </c>
      <c r="K338" s="7" t="str">
        <f t="shared" si="12"/>
        <v>C</v>
      </c>
      <c r="L338" s="7" t="str">
        <f t="shared" si="13"/>
        <v>Transformative change</v>
      </c>
      <c r="M338" s="7" t="str">
        <f t="shared" si="14"/>
        <v>Low</v>
      </c>
      <c r="N338" s="7">
        <f t="shared" si="15"/>
        <v>3179200</v>
      </c>
      <c r="O338" s="7">
        <f t="shared" si="16"/>
        <v>3021845.369</v>
      </c>
      <c r="P338" s="7">
        <f t="shared" ref="P338:Q338" si="2031">RANDBETWEEN(0,22)</f>
        <v>16</v>
      </c>
      <c r="Q338" s="7">
        <f t="shared" si="2031"/>
        <v>21</v>
      </c>
      <c r="R338" s="7">
        <f t="shared" ref="R338:T338" si="2032">IF(S338=1,1,RANDBETWEEN(0,1))</f>
        <v>1</v>
      </c>
      <c r="S338" s="7">
        <f t="shared" si="2032"/>
        <v>1</v>
      </c>
      <c r="T338" s="7">
        <f t="shared" si="2032"/>
        <v>1</v>
      </c>
      <c r="U338" s="7">
        <f t="shared" si="19"/>
        <v>1</v>
      </c>
      <c r="V338" s="7">
        <f t="shared" ref="V338:X338" si="2033">IF(W338=1,1,RANDBETWEEN(0,1))</f>
        <v>1</v>
      </c>
      <c r="W338" s="7">
        <f t="shared" si="2033"/>
        <v>0</v>
      </c>
      <c r="X338" s="7">
        <f t="shared" si="2033"/>
        <v>0</v>
      </c>
      <c r="Y338" s="7">
        <f t="shared" si="21"/>
        <v>0</v>
      </c>
      <c r="Z338" s="7">
        <f t="shared" ref="Z338:AB338" si="2034">IF(AA338=1,1,RANDBETWEEN(0,1))</f>
        <v>1</v>
      </c>
      <c r="AA338" s="7">
        <f t="shared" si="2034"/>
        <v>0</v>
      </c>
      <c r="AB338" s="7">
        <f t="shared" si="2034"/>
        <v>0</v>
      </c>
      <c r="AC338" s="7">
        <f t="shared" si="23"/>
        <v>0</v>
      </c>
      <c r="AD338" s="7">
        <f t="shared" ref="AD338:AF338" si="2035">IF(AE338=1,1,RANDBETWEEN(0,1))</f>
        <v>1</v>
      </c>
      <c r="AE338" s="7">
        <f t="shared" si="2035"/>
        <v>1</v>
      </c>
      <c r="AF338" s="7">
        <f t="shared" si="2035"/>
        <v>1</v>
      </c>
      <c r="AG338" s="7">
        <f t="shared" si="25"/>
        <v>1</v>
      </c>
    </row>
    <row r="339">
      <c r="A339" s="4" t="s">
        <v>251</v>
      </c>
      <c r="B339" s="4" t="s">
        <v>965</v>
      </c>
      <c r="C339" s="4" t="s">
        <v>966</v>
      </c>
      <c r="D339" s="5">
        <v>11555.0</v>
      </c>
      <c r="E339" s="6">
        <f t="shared" si="7"/>
        <v>911</v>
      </c>
      <c r="F339" s="7">
        <f t="shared" ref="F339:G339" si="2036">ROUND(RAND(),2)</f>
        <v>0.1</v>
      </c>
      <c r="G339" s="7">
        <f t="shared" si="2036"/>
        <v>0.64</v>
      </c>
      <c r="H339" s="7">
        <f t="shared" si="9"/>
        <v>4</v>
      </c>
      <c r="I339" s="7">
        <f t="shared" si="10"/>
        <v>17603</v>
      </c>
      <c r="J339" s="7">
        <f t="shared" si="11"/>
        <v>11012</v>
      </c>
      <c r="K339" s="7" t="str">
        <f t="shared" si="12"/>
        <v>A</v>
      </c>
      <c r="L339" s="7" t="str">
        <f t="shared" si="13"/>
        <v>Transformative change</v>
      </c>
      <c r="M339" s="7" t="str">
        <f t="shared" si="14"/>
        <v>Medium</v>
      </c>
      <c r="N339" s="7">
        <f t="shared" si="15"/>
        <v>2057893</v>
      </c>
      <c r="O339" s="7">
        <f t="shared" si="16"/>
        <v>1775216.026</v>
      </c>
      <c r="P339" s="7">
        <f t="shared" ref="P339:Q339" si="2037">RANDBETWEEN(0,22)</f>
        <v>18</v>
      </c>
      <c r="Q339" s="7">
        <f t="shared" si="2037"/>
        <v>17</v>
      </c>
      <c r="R339" s="7">
        <f t="shared" ref="R339:T339" si="2038">IF(S339=1,1,RANDBETWEEN(0,1))</f>
        <v>1</v>
      </c>
      <c r="S339" s="7">
        <f t="shared" si="2038"/>
        <v>1</v>
      </c>
      <c r="T339" s="7">
        <f t="shared" si="2038"/>
        <v>1</v>
      </c>
      <c r="U339" s="7">
        <f t="shared" si="19"/>
        <v>1</v>
      </c>
      <c r="V339" s="7">
        <f t="shared" ref="V339:X339" si="2039">IF(W339=1,1,RANDBETWEEN(0,1))</f>
        <v>1</v>
      </c>
      <c r="W339" s="7">
        <f t="shared" si="2039"/>
        <v>1</v>
      </c>
      <c r="X339" s="7">
        <f t="shared" si="2039"/>
        <v>1</v>
      </c>
      <c r="Y339" s="7">
        <f t="shared" si="21"/>
        <v>1</v>
      </c>
      <c r="Z339" s="7">
        <f t="shared" ref="Z339:AB339" si="2040">IF(AA339=1,1,RANDBETWEEN(0,1))</f>
        <v>1</v>
      </c>
      <c r="AA339" s="7">
        <f t="shared" si="2040"/>
        <v>1</v>
      </c>
      <c r="AB339" s="7">
        <f t="shared" si="2040"/>
        <v>1</v>
      </c>
      <c r="AC339" s="7">
        <f t="shared" si="23"/>
        <v>1</v>
      </c>
      <c r="AD339" s="7">
        <f t="shared" ref="AD339:AF339" si="2041">IF(AE339=1,1,RANDBETWEEN(0,1))</f>
        <v>1</v>
      </c>
      <c r="AE339" s="7">
        <f t="shared" si="2041"/>
        <v>1</v>
      </c>
      <c r="AF339" s="7">
        <f t="shared" si="2041"/>
        <v>1</v>
      </c>
      <c r="AG339" s="7">
        <f t="shared" si="25"/>
        <v>0</v>
      </c>
    </row>
    <row r="340">
      <c r="A340" s="4" t="s">
        <v>967</v>
      </c>
      <c r="B340" s="4" t="s">
        <v>968</v>
      </c>
      <c r="C340" s="4" t="s">
        <v>969</v>
      </c>
      <c r="D340" s="5">
        <v>16092.0</v>
      </c>
      <c r="E340" s="6">
        <f t="shared" si="7"/>
        <v>891</v>
      </c>
      <c r="F340" s="7">
        <f t="shared" ref="F340:G340" si="2042">ROUND(RAND(),2)</f>
        <v>0.32</v>
      </c>
      <c r="G340" s="7">
        <f t="shared" si="2042"/>
        <v>0.16</v>
      </c>
      <c r="H340" s="7">
        <f t="shared" si="9"/>
        <v>1</v>
      </c>
      <c r="I340" s="7">
        <f t="shared" si="10"/>
        <v>41193</v>
      </c>
      <c r="J340" s="7">
        <f t="shared" si="11"/>
        <v>9103</v>
      </c>
      <c r="K340" s="7" t="str">
        <f t="shared" si="12"/>
        <v>A</v>
      </c>
      <c r="L340" s="7" t="str">
        <f t="shared" si="13"/>
        <v>Transformative change</v>
      </c>
      <c r="M340" s="7" t="str">
        <f t="shared" si="14"/>
        <v>High</v>
      </c>
      <c r="N340" s="7">
        <f t="shared" si="15"/>
        <v>554908</v>
      </c>
      <c r="O340" s="7">
        <f t="shared" si="16"/>
        <v>84941.07702</v>
      </c>
      <c r="P340" s="7">
        <f t="shared" ref="P340:Q340" si="2043">RANDBETWEEN(0,22)</f>
        <v>15</v>
      </c>
      <c r="Q340" s="7">
        <f t="shared" si="2043"/>
        <v>16</v>
      </c>
      <c r="R340" s="7">
        <f t="shared" ref="R340:T340" si="2044">IF(S340=1,1,RANDBETWEEN(0,1))</f>
        <v>1</v>
      </c>
      <c r="S340" s="7">
        <f t="shared" si="2044"/>
        <v>1</v>
      </c>
      <c r="T340" s="7">
        <f t="shared" si="2044"/>
        <v>1</v>
      </c>
      <c r="U340" s="7">
        <f t="shared" si="19"/>
        <v>0</v>
      </c>
      <c r="V340" s="7">
        <f t="shared" ref="V340:X340" si="2045">IF(W340=1,1,RANDBETWEEN(0,1))</f>
        <v>1</v>
      </c>
      <c r="W340" s="7">
        <f t="shared" si="2045"/>
        <v>1</v>
      </c>
      <c r="X340" s="7">
        <f t="shared" si="2045"/>
        <v>1</v>
      </c>
      <c r="Y340" s="7">
        <f t="shared" si="21"/>
        <v>1</v>
      </c>
      <c r="Z340" s="7">
        <f t="shared" ref="Z340:AB340" si="2046">IF(AA340=1,1,RANDBETWEEN(0,1))</f>
        <v>1</v>
      </c>
      <c r="AA340" s="7">
        <f t="shared" si="2046"/>
        <v>1</v>
      </c>
      <c r="AB340" s="7">
        <f t="shared" si="2046"/>
        <v>1</v>
      </c>
      <c r="AC340" s="7">
        <f t="shared" si="23"/>
        <v>0</v>
      </c>
      <c r="AD340" s="7">
        <f t="shared" ref="AD340:AF340" si="2047">IF(AE340=1,1,RANDBETWEEN(0,1))</f>
        <v>1</v>
      </c>
      <c r="AE340" s="7">
        <f t="shared" si="2047"/>
        <v>1</v>
      </c>
      <c r="AF340" s="7">
        <f t="shared" si="2047"/>
        <v>1</v>
      </c>
      <c r="AG340" s="7">
        <f t="shared" si="25"/>
        <v>1</v>
      </c>
    </row>
    <row r="341">
      <c r="A341" s="4" t="s">
        <v>970</v>
      </c>
      <c r="B341" s="4" t="s">
        <v>971</v>
      </c>
      <c r="C341" s="4" t="s">
        <v>95</v>
      </c>
      <c r="D341" s="5">
        <v>346771.0</v>
      </c>
      <c r="E341" s="6">
        <f t="shared" si="7"/>
        <v>1481.93</v>
      </c>
      <c r="F341" s="7">
        <f t="shared" ref="F341:G341" si="2048">ROUND(RAND(),2)</f>
        <v>0.46</v>
      </c>
      <c r="G341" s="7">
        <f t="shared" si="2048"/>
        <v>0.73</v>
      </c>
      <c r="H341" s="7">
        <f t="shared" si="9"/>
        <v>5</v>
      </c>
      <c r="I341" s="7">
        <f t="shared" si="10"/>
        <v>74241</v>
      </c>
      <c r="J341" s="7">
        <f t="shared" si="11"/>
        <v>64593</v>
      </c>
      <c r="K341" s="7" t="str">
        <f t="shared" si="12"/>
        <v>B</v>
      </c>
      <c r="L341" s="7" t="str">
        <f t="shared" si="13"/>
        <v>Transformative change</v>
      </c>
      <c r="M341" s="7" t="str">
        <f t="shared" si="14"/>
        <v>Low</v>
      </c>
      <c r="N341" s="7">
        <f t="shared" si="15"/>
        <v>1816172</v>
      </c>
      <c r="O341" s="7">
        <f t="shared" si="16"/>
        <v>1295393.979</v>
      </c>
      <c r="P341" s="7">
        <f t="shared" ref="P341:Q341" si="2049">RANDBETWEEN(0,22)</f>
        <v>2</v>
      </c>
      <c r="Q341" s="7">
        <f t="shared" si="2049"/>
        <v>10</v>
      </c>
      <c r="R341" s="7">
        <f t="shared" ref="R341:T341" si="2050">IF(S341=1,1,RANDBETWEEN(0,1))</f>
        <v>1</v>
      </c>
      <c r="S341" s="7">
        <f t="shared" si="2050"/>
        <v>1</v>
      </c>
      <c r="T341" s="7">
        <f t="shared" si="2050"/>
        <v>1</v>
      </c>
      <c r="U341" s="7">
        <f t="shared" si="19"/>
        <v>1</v>
      </c>
      <c r="V341" s="7">
        <f t="shared" ref="V341:X341" si="2051">IF(W341=1,1,RANDBETWEEN(0,1))</f>
        <v>1</v>
      </c>
      <c r="W341" s="7">
        <f t="shared" si="2051"/>
        <v>1</v>
      </c>
      <c r="X341" s="7">
        <f t="shared" si="2051"/>
        <v>1</v>
      </c>
      <c r="Y341" s="7">
        <f t="shared" si="21"/>
        <v>1</v>
      </c>
      <c r="Z341" s="7">
        <f t="shared" ref="Z341:AB341" si="2052">IF(AA341=1,1,RANDBETWEEN(0,1))</f>
        <v>1</v>
      </c>
      <c r="AA341" s="7">
        <f t="shared" si="2052"/>
        <v>1</v>
      </c>
      <c r="AB341" s="7">
        <f t="shared" si="2052"/>
        <v>1</v>
      </c>
      <c r="AC341" s="7">
        <f t="shared" si="23"/>
        <v>0</v>
      </c>
      <c r="AD341" s="7">
        <f t="shared" ref="AD341:AF341" si="2053">IF(AE341=1,1,RANDBETWEEN(0,1))</f>
        <v>1</v>
      </c>
      <c r="AE341" s="7">
        <f t="shared" si="2053"/>
        <v>1</v>
      </c>
      <c r="AF341" s="7">
        <f t="shared" si="2053"/>
        <v>1</v>
      </c>
      <c r="AG341" s="7">
        <f t="shared" si="25"/>
        <v>1</v>
      </c>
    </row>
    <row r="342">
      <c r="A342" s="4" t="s">
        <v>972</v>
      </c>
      <c r="B342" s="4" t="s">
        <v>973</v>
      </c>
      <c r="C342" s="4" t="s">
        <v>974</v>
      </c>
      <c r="D342" s="5">
        <v>9210.0</v>
      </c>
      <c r="E342" s="6">
        <f t="shared" si="7"/>
        <v>923</v>
      </c>
      <c r="F342" s="7">
        <f t="shared" ref="F342:G342" si="2054">ROUND(RAND(),2)</f>
        <v>0.61</v>
      </c>
      <c r="G342" s="7">
        <f t="shared" si="2054"/>
        <v>0.12</v>
      </c>
      <c r="H342" s="7">
        <f t="shared" si="9"/>
        <v>1</v>
      </c>
      <c r="I342" s="7">
        <f t="shared" si="10"/>
        <v>78512</v>
      </c>
      <c r="J342" s="7">
        <f t="shared" si="11"/>
        <v>74056</v>
      </c>
      <c r="K342" s="7" t="str">
        <f t="shared" si="12"/>
        <v>E</v>
      </c>
      <c r="L342" s="7" t="str">
        <f t="shared" si="13"/>
        <v>Transformative change</v>
      </c>
      <c r="M342" s="7" t="str">
        <f t="shared" si="14"/>
        <v>Medium</v>
      </c>
      <c r="N342" s="7">
        <f t="shared" si="15"/>
        <v>92070</v>
      </c>
      <c r="O342" s="7">
        <f t="shared" si="16"/>
        <v>67145.44974</v>
      </c>
      <c r="P342" s="7">
        <f t="shared" ref="P342:Q342" si="2055">RANDBETWEEN(0,22)</f>
        <v>3</v>
      </c>
      <c r="Q342" s="7">
        <f t="shared" si="2055"/>
        <v>1</v>
      </c>
      <c r="R342" s="7">
        <f t="shared" ref="R342:T342" si="2056">IF(S342=1,1,RANDBETWEEN(0,1))</f>
        <v>0</v>
      </c>
      <c r="S342" s="7">
        <f t="shared" si="2056"/>
        <v>0</v>
      </c>
      <c r="T342" s="7">
        <f t="shared" si="2056"/>
        <v>0</v>
      </c>
      <c r="U342" s="7">
        <f t="shared" si="19"/>
        <v>0</v>
      </c>
      <c r="V342" s="7">
        <f t="shared" ref="V342:X342" si="2057">IF(W342=1,1,RANDBETWEEN(0,1))</f>
        <v>1</v>
      </c>
      <c r="W342" s="7">
        <f t="shared" si="2057"/>
        <v>1</v>
      </c>
      <c r="X342" s="7">
        <f t="shared" si="2057"/>
        <v>1</v>
      </c>
      <c r="Y342" s="7">
        <f t="shared" si="21"/>
        <v>1</v>
      </c>
      <c r="Z342" s="7">
        <f t="shared" ref="Z342:AB342" si="2058">IF(AA342=1,1,RANDBETWEEN(0,1))</f>
        <v>1</v>
      </c>
      <c r="AA342" s="7">
        <f t="shared" si="2058"/>
        <v>1</v>
      </c>
      <c r="AB342" s="7">
        <f t="shared" si="2058"/>
        <v>1</v>
      </c>
      <c r="AC342" s="7">
        <f t="shared" si="23"/>
        <v>1</v>
      </c>
      <c r="AD342" s="7">
        <f t="shared" ref="AD342:AF342" si="2059">IF(AE342=1,1,RANDBETWEEN(0,1))</f>
        <v>1</v>
      </c>
      <c r="AE342" s="7">
        <f t="shared" si="2059"/>
        <v>0</v>
      </c>
      <c r="AF342" s="7">
        <f t="shared" si="2059"/>
        <v>0</v>
      </c>
      <c r="AG342" s="7">
        <f t="shared" si="25"/>
        <v>0</v>
      </c>
    </row>
    <row r="343">
      <c r="A343" s="4" t="s">
        <v>975</v>
      </c>
      <c r="B343" s="4" t="s">
        <v>976</v>
      </c>
      <c r="C343" s="4" t="s">
        <v>977</v>
      </c>
      <c r="D343" s="5">
        <v>13783.0</v>
      </c>
      <c r="E343" s="6">
        <f t="shared" si="7"/>
        <v>861</v>
      </c>
      <c r="F343" s="7">
        <f t="shared" ref="F343:G343" si="2060">ROUND(RAND(),2)</f>
        <v>0.61</v>
      </c>
      <c r="G343" s="7">
        <f t="shared" si="2060"/>
        <v>0.53</v>
      </c>
      <c r="H343" s="7">
        <f t="shared" si="9"/>
        <v>4</v>
      </c>
      <c r="I343" s="7">
        <f t="shared" si="10"/>
        <v>97709</v>
      </c>
      <c r="J343" s="7">
        <f t="shared" si="11"/>
        <v>33924</v>
      </c>
      <c r="K343" s="7" t="str">
        <f t="shared" si="12"/>
        <v>D</v>
      </c>
      <c r="L343" s="7" t="str">
        <f t="shared" si="13"/>
        <v>Transformative change</v>
      </c>
      <c r="M343" s="7" t="str">
        <f t="shared" si="14"/>
        <v>Medium</v>
      </c>
      <c r="N343" s="7">
        <f t="shared" si="15"/>
        <v>2801141</v>
      </c>
      <c r="O343" s="7">
        <f t="shared" si="16"/>
        <v>1058869.596</v>
      </c>
      <c r="P343" s="7">
        <f t="shared" ref="P343:Q343" si="2061">RANDBETWEEN(0,22)</f>
        <v>22</v>
      </c>
      <c r="Q343" s="7">
        <f t="shared" si="2061"/>
        <v>5</v>
      </c>
      <c r="R343" s="7">
        <f t="shared" ref="R343:T343" si="2062">IF(S343=1,1,RANDBETWEEN(0,1))</f>
        <v>1</v>
      </c>
      <c r="S343" s="7">
        <f t="shared" si="2062"/>
        <v>1</v>
      </c>
      <c r="T343" s="7">
        <f t="shared" si="2062"/>
        <v>1</v>
      </c>
      <c r="U343" s="7">
        <f t="shared" si="19"/>
        <v>0</v>
      </c>
      <c r="V343" s="7">
        <f t="shared" ref="V343:X343" si="2063">IF(W343=1,1,RANDBETWEEN(0,1))</f>
        <v>1</v>
      </c>
      <c r="W343" s="7">
        <f t="shared" si="2063"/>
        <v>1</v>
      </c>
      <c r="X343" s="7">
        <f t="shared" si="2063"/>
        <v>1</v>
      </c>
      <c r="Y343" s="7">
        <f t="shared" si="21"/>
        <v>1</v>
      </c>
      <c r="Z343" s="7">
        <f t="shared" ref="Z343:AB343" si="2064">IF(AA343=1,1,RANDBETWEEN(0,1))</f>
        <v>1</v>
      </c>
      <c r="AA343" s="7">
        <f t="shared" si="2064"/>
        <v>1</v>
      </c>
      <c r="AB343" s="7">
        <f t="shared" si="2064"/>
        <v>1</v>
      </c>
      <c r="AC343" s="7">
        <f t="shared" si="23"/>
        <v>1</v>
      </c>
      <c r="AD343" s="7">
        <f t="shared" ref="AD343:AF343" si="2065">IF(AE343=1,1,RANDBETWEEN(0,1))</f>
        <v>1</v>
      </c>
      <c r="AE343" s="7">
        <f t="shared" si="2065"/>
        <v>1</v>
      </c>
      <c r="AF343" s="7">
        <f t="shared" si="2065"/>
        <v>1</v>
      </c>
      <c r="AG343" s="7">
        <f t="shared" si="25"/>
        <v>0</v>
      </c>
    </row>
    <row r="344">
      <c r="A344" s="4" t="s">
        <v>978</v>
      </c>
      <c r="B344" s="4" t="s">
        <v>979</v>
      </c>
      <c r="C344" s="4" t="s">
        <v>980</v>
      </c>
      <c r="D344" s="5">
        <v>11900.0</v>
      </c>
      <c r="E344" s="6">
        <f t="shared" si="7"/>
        <v>993</v>
      </c>
      <c r="F344" s="7">
        <f t="shared" ref="F344:G344" si="2066">ROUND(RAND(),2)</f>
        <v>0.45</v>
      </c>
      <c r="G344" s="7">
        <f t="shared" si="2066"/>
        <v>0.53</v>
      </c>
      <c r="H344" s="7">
        <f t="shared" si="9"/>
        <v>3</v>
      </c>
      <c r="I344" s="7">
        <f t="shared" si="10"/>
        <v>11844</v>
      </c>
      <c r="J344" s="7">
        <f t="shared" si="11"/>
        <v>22417</v>
      </c>
      <c r="K344" s="7" t="str">
        <f t="shared" si="12"/>
        <v>G</v>
      </c>
      <c r="L344" s="7" t="str">
        <f t="shared" si="13"/>
        <v>High ambition</v>
      </c>
      <c r="M344" s="7" t="str">
        <f t="shared" si="14"/>
        <v>Low</v>
      </c>
      <c r="N344" s="7">
        <f t="shared" si="15"/>
        <v>702952</v>
      </c>
      <c r="O344" s="7">
        <f t="shared" si="16"/>
        <v>451153.1586</v>
      </c>
      <c r="P344" s="7">
        <f t="shared" ref="P344:Q344" si="2067">RANDBETWEEN(0,22)</f>
        <v>17</v>
      </c>
      <c r="Q344" s="7">
        <f t="shared" si="2067"/>
        <v>2</v>
      </c>
      <c r="R344" s="7">
        <f t="shared" ref="R344:T344" si="2068">IF(S344=1,1,RANDBETWEEN(0,1))</f>
        <v>1</v>
      </c>
      <c r="S344" s="7">
        <f t="shared" si="2068"/>
        <v>1</v>
      </c>
      <c r="T344" s="7">
        <f t="shared" si="2068"/>
        <v>1</v>
      </c>
      <c r="U344" s="7">
        <f t="shared" si="19"/>
        <v>1</v>
      </c>
      <c r="V344" s="7">
        <f t="shared" ref="V344:X344" si="2069">IF(W344=1,1,RANDBETWEEN(0,1))</f>
        <v>1</v>
      </c>
      <c r="W344" s="7">
        <f t="shared" si="2069"/>
        <v>1</v>
      </c>
      <c r="X344" s="7">
        <f t="shared" si="2069"/>
        <v>1</v>
      </c>
      <c r="Y344" s="7">
        <f t="shared" si="21"/>
        <v>0</v>
      </c>
      <c r="Z344" s="7">
        <f t="shared" ref="Z344:AB344" si="2070">IF(AA344=1,1,RANDBETWEEN(0,1))</f>
        <v>1</v>
      </c>
      <c r="AA344" s="7">
        <f t="shared" si="2070"/>
        <v>1</v>
      </c>
      <c r="AB344" s="7">
        <f t="shared" si="2070"/>
        <v>1</v>
      </c>
      <c r="AC344" s="7">
        <f t="shared" si="23"/>
        <v>0</v>
      </c>
      <c r="AD344" s="7">
        <f t="shared" ref="AD344:AF344" si="2071">IF(AE344=1,1,RANDBETWEEN(0,1))</f>
        <v>1</v>
      </c>
      <c r="AE344" s="7">
        <f t="shared" si="2071"/>
        <v>1</v>
      </c>
      <c r="AF344" s="7">
        <f t="shared" si="2071"/>
        <v>1</v>
      </c>
      <c r="AG344" s="7">
        <f t="shared" si="25"/>
        <v>1</v>
      </c>
    </row>
    <row r="345">
      <c r="A345" s="4" t="s">
        <v>981</v>
      </c>
      <c r="B345" s="4" t="s">
        <v>982</v>
      </c>
      <c r="C345" s="4" t="s">
        <v>691</v>
      </c>
      <c r="D345" s="5">
        <v>27144.0</v>
      </c>
      <c r="E345" s="6">
        <f t="shared" si="7"/>
        <v>1095</v>
      </c>
      <c r="F345" s="7">
        <f t="shared" ref="F345:G345" si="2072">ROUND(RAND(),2)</f>
        <v>0.55</v>
      </c>
      <c r="G345" s="7">
        <f t="shared" si="2072"/>
        <v>0.64</v>
      </c>
      <c r="H345" s="7">
        <f t="shared" si="9"/>
        <v>3</v>
      </c>
      <c r="I345" s="7">
        <f t="shared" si="10"/>
        <v>26047</v>
      </c>
      <c r="J345" s="7">
        <f t="shared" si="11"/>
        <v>38535</v>
      </c>
      <c r="K345" s="7" t="str">
        <f t="shared" si="12"/>
        <v>F</v>
      </c>
      <c r="L345" s="7" t="str">
        <f t="shared" si="13"/>
        <v>Transformative change</v>
      </c>
      <c r="M345" s="7" t="str">
        <f t="shared" si="14"/>
        <v>Low</v>
      </c>
      <c r="N345" s="7">
        <f t="shared" si="15"/>
        <v>3225493</v>
      </c>
      <c r="O345" s="7">
        <f t="shared" si="16"/>
        <v>1275250.273</v>
      </c>
      <c r="P345" s="7">
        <f t="shared" ref="P345:Q345" si="2073">RANDBETWEEN(0,22)</f>
        <v>22</v>
      </c>
      <c r="Q345" s="7">
        <f t="shared" si="2073"/>
        <v>8</v>
      </c>
      <c r="R345" s="7">
        <f t="shared" ref="R345:T345" si="2074">IF(S345=1,1,RANDBETWEEN(0,1))</f>
        <v>1</v>
      </c>
      <c r="S345" s="7">
        <f t="shared" si="2074"/>
        <v>1</v>
      </c>
      <c r="T345" s="7">
        <f t="shared" si="2074"/>
        <v>1</v>
      </c>
      <c r="U345" s="7">
        <f t="shared" si="19"/>
        <v>1</v>
      </c>
      <c r="V345" s="7">
        <f t="shared" ref="V345:X345" si="2075">IF(W345=1,1,RANDBETWEEN(0,1))</f>
        <v>1</v>
      </c>
      <c r="W345" s="7">
        <f t="shared" si="2075"/>
        <v>1</v>
      </c>
      <c r="X345" s="7">
        <f t="shared" si="2075"/>
        <v>1</v>
      </c>
      <c r="Y345" s="7">
        <f t="shared" si="21"/>
        <v>1</v>
      </c>
      <c r="Z345" s="7">
        <f t="shared" ref="Z345:AB345" si="2076">IF(AA345=1,1,RANDBETWEEN(0,1))</f>
        <v>1</v>
      </c>
      <c r="AA345" s="7">
        <f t="shared" si="2076"/>
        <v>1</v>
      </c>
      <c r="AB345" s="7">
        <f t="shared" si="2076"/>
        <v>1</v>
      </c>
      <c r="AC345" s="7">
        <f t="shared" si="23"/>
        <v>0</v>
      </c>
      <c r="AD345" s="7">
        <f t="shared" ref="AD345:AF345" si="2077">IF(AE345=1,1,RANDBETWEEN(0,1))</f>
        <v>1</v>
      </c>
      <c r="AE345" s="7">
        <f t="shared" si="2077"/>
        <v>1</v>
      </c>
      <c r="AF345" s="7">
        <f t="shared" si="2077"/>
        <v>0</v>
      </c>
      <c r="AG345" s="7">
        <f t="shared" si="25"/>
        <v>0</v>
      </c>
    </row>
    <row r="346">
      <c r="A346" s="4" t="s">
        <v>983</v>
      </c>
      <c r="B346" s="4" t="s">
        <v>984</v>
      </c>
      <c r="C346" s="4" t="s">
        <v>747</v>
      </c>
      <c r="D346" s="5">
        <v>13039.0</v>
      </c>
      <c r="E346" s="6">
        <f t="shared" si="7"/>
        <v>1011</v>
      </c>
      <c r="F346" s="7">
        <f t="shared" ref="F346:G346" si="2078">ROUND(RAND(),2)</f>
        <v>0.11</v>
      </c>
      <c r="G346" s="7">
        <f t="shared" si="2078"/>
        <v>0.31</v>
      </c>
      <c r="H346" s="7">
        <f t="shared" si="9"/>
        <v>2</v>
      </c>
      <c r="I346" s="7">
        <f t="shared" si="10"/>
        <v>92339</v>
      </c>
      <c r="J346" s="7">
        <f t="shared" si="11"/>
        <v>40630</v>
      </c>
      <c r="K346" s="7" t="str">
        <f t="shared" si="12"/>
        <v>D</v>
      </c>
      <c r="L346" s="7" t="str">
        <f t="shared" si="13"/>
        <v>Transformative change</v>
      </c>
      <c r="M346" s="7" t="str">
        <f t="shared" si="14"/>
        <v>Low</v>
      </c>
      <c r="N346" s="7">
        <f t="shared" si="15"/>
        <v>3213016</v>
      </c>
      <c r="O346" s="7">
        <f t="shared" si="16"/>
        <v>1357710.061</v>
      </c>
      <c r="P346" s="7">
        <f t="shared" ref="P346:Q346" si="2079">RANDBETWEEN(0,22)</f>
        <v>0</v>
      </c>
      <c r="Q346" s="7">
        <f t="shared" si="2079"/>
        <v>1</v>
      </c>
      <c r="R346" s="7">
        <f t="shared" ref="R346:T346" si="2080">IF(S346=1,1,RANDBETWEEN(0,1))</f>
        <v>1</v>
      </c>
      <c r="S346" s="7">
        <f t="shared" si="2080"/>
        <v>1</v>
      </c>
      <c r="T346" s="7">
        <f t="shared" si="2080"/>
        <v>1</v>
      </c>
      <c r="U346" s="7">
        <f t="shared" si="19"/>
        <v>1</v>
      </c>
      <c r="V346" s="7">
        <f t="shared" ref="V346:X346" si="2081">IF(W346=1,1,RANDBETWEEN(0,1))</f>
        <v>1</v>
      </c>
      <c r="W346" s="7">
        <f t="shared" si="2081"/>
        <v>1</v>
      </c>
      <c r="X346" s="7">
        <f t="shared" si="2081"/>
        <v>1</v>
      </c>
      <c r="Y346" s="7">
        <f t="shared" si="21"/>
        <v>0</v>
      </c>
      <c r="Z346" s="7">
        <f t="shared" ref="Z346:AB346" si="2082">IF(AA346=1,1,RANDBETWEEN(0,1))</f>
        <v>1</v>
      </c>
      <c r="AA346" s="7">
        <f t="shared" si="2082"/>
        <v>1</v>
      </c>
      <c r="AB346" s="7">
        <f t="shared" si="2082"/>
        <v>1</v>
      </c>
      <c r="AC346" s="7">
        <f t="shared" si="23"/>
        <v>0</v>
      </c>
      <c r="AD346" s="7">
        <f t="shared" ref="AD346:AF346" si="2083">IF(AE346=1,1,RANDBETWEEN(0,1))</f>
        <v>1</v>
      </c>
      <c r="AE346" s="7">
        <f t="shared" si="2083"/>
        <v>1</v>
      </c>
      <c r="AF346" s="7">
        <f t="shared" si="2083"/>
        <v>0</v>
      </c>
      <c r="AG346" s="7">
        <f t="shared" si="25"/>
        <v>0</v>
      </c>
    </row>
    <row r="347">
      <c r="A347" s="4" t="s">
        <v>985</v>
      </c>
      <c r="B347" s="4" t="s">
        <v>986</v>
      </c>
      <c r="C347" s="4" t="s">
        <v>987</v>
      </c>
      <c r="D347" s="5">
        <v>72325.0</v>
      </c>
      <c r="E347" s="6">
        <f t="shared" si="7"/>
        <v>956</v>
      </c>
      <c r="F347" s="7">
        <f t="shared" ref="F347:G347" si="2084">ROUND(RAND(),2)</f>
        <v>0.63</v>
      </c>
      <c r="G347" s="7">
        <f t="shared" si="2084"/>
        <v>0.44</v>
      </c>
      <c r="H347" s="7">
        <f t="shared" si="9"/>
        <v>5</v>
      </c>
      <c r="I347" s="7">
        <f t="shared" si="10"/>
        <v>66986</v>
      </c>
      <c r="J347" s="7">
        <f t="shared" si="11"/>
        <v>48566</v>
      </c>
      <c r="K347" s="7" t="str">
        <f t="shared" si="12"/>
        <v>D</v>
      </c>
      <c r="L347" s="7" t="str">
        <f t="shared" si="13"/>
        <v>Transformative change</v>
      </c>
      <c r="M347" s="7" t="str">
        <f t="shared" si="14"/>
        <v>High</v>
      </c>
      <c r="N347" s="7">
        <f t="shared" si="15"/>
        <v>2144413</v>
      </c>
      <c r="O347" s="7">
        <f t="shared" si="16"/>
        <v>1796322.824</v>
      </c>
      <c r="P347" s="7">
        <f t="shared" ref="P347:Q347" si="2085">RANDBETWEEN(0,22)</f>
        <v>7</v>
      </c>
      <c r="Q347" s="7">
        <f t="shared" si="2085"/>
        <v>7</v>
      </c>
      <c r="R347" s="7">
        <f t="shared" ref="R347:T347" si="2086">IF(S347=1,1,RANDBETWEEN(0,1))</f>
        <v>1</v>
      </c>
      <c r="S347" s="7">
        <f t="shared" si="2086"/>
        <v>1</v>
      </c>
      <c r="T347" s="7">
        <f t="shared" si="2086"/>
        <v>1</v>
      </c>
      <c r="U347" s="7">
        <f t="shared" si="19"/>
        <v>0</v>
      </c>
      <c r="V347" s="7">
        <f t="shared" ref="V347:X347" si="2087">IF(W347=1,1,RANDBETWEEN(0,1))</f>
        <v>1</v>
      </c>
      <c r="W347" s="7">
        <f t="shared" si="2087"/>
        <v>1</v>
      </c>
      <c r="X347" s="7">
        <f t="shared" si="2087"/>
        <v>1</v>
      </c>
      <c r="Y347" s="7">
        <f t="shared" si="21"/>
        <v>1</v>
      </c>
      <c r="Z347" s="7">
        <f t="shared" ref="Z347:AB347" si="2088">IF(AA347=1,1,RANDBETWEEN(0,1))</f>
        <v>1</v>
      </c>
      <c r="AA347" s="7">
        <f t="shared" si="2088"/>
        <v>1</v>
      </c>
      <c r="AB347" s="7">
        <f t="shared" si="2088"/>
        <v>1</v>
      </c>
      <c r="AC347" s="7">
        <f t="shared" si="23"/>
        <v>0</v>
      </c>
      <c r="AD347" s="7">
        <f t="shared" ref="AD347:AF347" si="2089">IF(AE347=1,1,RANDBETWEEN(0,1))</f>
        <v>1</v>
      </c>
      <c r="AE347" s="7">
        <f t="shared" si="2089"/>
        <v>1</v>
      </c>
      <c r="AF347" s="7">
        <f t="shared" si="2089"/>
        <v>1</v>
      </c>
      <c r="AG347" s="7">
        <f t="shared" si="25"/>
        <v>1</v>
      </c>
    </row>
    <row r="348">
      <c r="A348" s="4" t="s">
        <v>988</v>
      </c>
      <c r="B348" s="4" t="s">
        <v>989</v>
      </c>
      <c r="C348" s="4" t="s">
        <v>990</v>
      </c>
      <c r="D348" s="5">
        <v>18729.0</v>
      </c>
      <c r="E348" s="6">
        <f t="shared" si="7"/>
        <v>1086</v>
      </c>
      <c r="F348" s="7">
        <f t="shared" ref="F348:G348" si="2090">ROUND(RAND(),2)</f>
        <v>0.55</v>
      </c>
      <c r="G348" s="7">
        <f t="shared" si="2090"/>
        <v>0.99</v>
      </c>
      <c r="H348" s="7">
        <f t="shared" si="9"/>
        <v>4</v>
      </c>
      <c r="I348" s="7">
        <f t="shared" si="10"/>
        <v>77795</v>
      </c>
      <c r="J348" s="7">
        <f t="shared" si="11"/>
        <v>35502</v>
      </c>
      <c r="K348" s="7" t="str">
        <f t="shared" si="12"/>
        <v>B</v>
      </c>
      <c r="L348" s="7" t="str">
        <f t="shared" si="13"/>
        <v>Transformative change</v>
      </c>
      <c r="M348" s="7" t="str">
        <f t="shared" si="14"/>
        <v>Medium</v>
      </c>
      <c r="N348" s="7">
        <f t="shared" si="15"/>
        <v>306351</v>
      </c>
      <c r="O348" s="7">
        <f t="shared" si="16"/>
        <v>230706.1677</v>
      </c>
      <c r="P348" s="7">
        <f t="shared" ref="P348:Q348" si="2091">RANDBETWEEN(0,22)</f>
        <v>4</v>
      </c>
      <c r="Q348" s="7">
        <f t="shared" si="2091"/>
        <v>0</v>
      </c>
      <c r="R348" s="7">
        <f t="shared" ref="R348:T348" si="2092">IF(S348=1,1,RANDBETWEEN(0,1))</f>
        <v>1</v>
      </c>
      <c r="S348" s="7">
        <f t="shared" si="2092"/>
        <v>1</v>
      </c>
      <c r="T348" s="7">
        <f t="shared" si="2092"/>
        <v>1</v>
      </c>
      <c r="U348" s="7">
        <f t="shared" si="19"/>
        <v>0</v>
      </c>
      <c r="V348" s="7">
        <f t="shared" ref="V348:X348" si="2093">IF(W348=1,1,RANDBETWEEN(0,1))</f>
        <v>1</v>
      </c>
      <c r="W348" s="7">
        <f t="shared" si="2093"/>
        <v>1</v>
      </c>
      <c r="X348" s="7">
        <f t="shared" si="2093"/>
        <v>0</v>
      </c>
      <c r="Y348" s="7">
        <f t="shared" si="21"/>
        <v>0</v>
      </c>
      <c r="Z348" s="7">
        <f t="shared" ref="Z348:AB348" si="2094">IF(AA348=1,1,RANDBETWEEN(0,1))</f>
        <v>1</v>
      </c>
      <c r="AA348" s="7">
        <f t="shared" si="2094"/>
        <v>0</v>
      </c>
      <c r="AB348" s="7">
        <f t="shared" si="2094"/>
        <v>0</v>
      </c>
      <c r="AC348" s="7">
        <f t="shared" si="23"/>
        <v>0</v>
      </c>
      <c r="AD348" s="7">
        <f t="shared" ref="AD348:AF348" si="2095">IF(AE348=1,1,RANDBETWEEN(0,1))</f>
        <v>1</v>
      </c>
      <c r="AE348" s="7">
        <f t="shared" si="2095"/>
        <v>1</v>
      </c>
      <c r="AF348" s="7">
        <f t="shared" si="2095"/>
        <v>1</v>
      </c>
      <c r="AG348" s="7">
        <f t="shared" si="25"/>
        <v>1</v>
      </c>
    </row>
    <row r="349">
      <c r="A349" s="4" t="s">
        <v>991</v>
      </c>
      <c r="B349" s="4" t="s">
        <v>992</v>
      </c>
      <c r="C349" s="4" t="s">
        <v>993</v>
      </c>
      <c r="D349" s="5">
        <v>16749.0</v>
      </c>
      <c r="E349" s="6">
        <f t="shared" si="7"/>
        <v>1018</v>
      </c>
      <c r="F349" s="7">
        <f t="shared" ref="F349:G349" si="2096">ROUND(RAND(),2)</f>
        <v>0.16</v>
      </c>
      <c r="G349" s="7">
        <f t="shared" si="2096"/>
        <v>0.87</v>
      </c>
      <c r="H349" s="7">
        <f t="shared" si="9"/>
        <v>5</v>
      </c>
      <c r="I349" s="7">
        <f t="shared" si="10"/>
        <v>2107</v>
      </c>
      <c r="J349" s="7">
        <f t="shared" si="11"/>
        <v>1917</v>
      </c>
      <c r="K349" s="7" t="str">
        <f t="shared" si="12"/>
        <v>C</v>
      </c>
      <c r="L349" s="7" t="str">
        <f t="shared" si="13"/>
        <v>Transformative change</v>
      </c>
      <c r="M349" s="7" t="str">
        <f t="shared" si="14"/>
        <v>Medium</v>
      </c>
      <c r="N349" s="7">
        <f t="shared" si="15"/>
        <v>789350</v>
      </c>
      <c r="O349" s="7">
        <f t="shared" si="16"/>
        <v>386824.1524</v>
      </c>
      <c r="P349" s="7">
        <f t="shared" ref="P349:Q349" si="2097">RANDBETWEEN(0,22)</f>
        <v>20</v>
      </c>
      <c r="Q349" s="7">
        <f t="shared" si="2097"/>
        <v>16</v>
      </c>
      <c r="R349" s="7">
        <f t="shared" ref="R349:T349" si="2098">IF(S349=1,1,RANDBETWEEN(0,1))</f>
        <v>1</v>
      </c>
      <c r="S349" s="7">
        <f t="shared" si="2098"/>
        <v>1</v>
      </c>
      <c r="T349" s="7">
        <f t="shared" si="2098"/>
        <v>1</v>
      </c>
      <c r="U349" s="7">
        <f t="shared" si="19"/>
        <v>1</v>
      </c>
      <c r="V349" s="7">
        <f t="shared" ref="V349:X349" si="2099">IF(W349=1,1,RANDBETWEEN(0,1))</f>
        <v>1</v>
      </c>
      <c r="W349" s="7">
        <f t="shared" si="2099"/>
        <v>1</v>
      </c>
      <c r="X349" s="7">
        <f t="shared" si="2099"/>
        <v>1</v>
      </c>
      <c r="Y349" s="7">
        <f t="shared" si="21"/>
        <v>1</v>
      </c>
      <c r="Z349" s="7">
        <f t="shared" ref="Z349:AB349" si="2100">IF(AA349=1,1,RANDBETWEEN(0,1))</f>
        <v>1</v>
      </c>
      <c r="AA349" s="7">
        <f t="shared" si="2100"/>
        <v>1</v>
      </c>
      <c r="AB349" s="7">
        <f t="shared" si="2100"/>
        <v>1</v>
      </c>
      <c r="AC349" s="7">
        <f t="shared" si="23"/>
        <v>1</v>
      </c>
      <c r="AD349" s="7">
        <f t="shared" ref="AD349:AF349" si="2101">IF(AE349=1,1,RANDBETWEEN(0,1))</f>
        <v>1</v>
      </c>
      <c r="AE349" s="7">
        <f t="shared" si="2101"/>
        <v>1</v>
      </c>
      <c r="AF349" s="7">
        <f t="shared" si="2101"/>
        <v>1</v>
      </c>
      <c r="AG349" s="7">
        <f t="shared" si="25"/>
        <v>1</v>
      </c>
    </row>
    <row r="350">
      <c r="A350" s="4" t="s">
        <v>994</v>
      </c>
      <c r="B350" s="4" t="s">
        <v>995</v>
      </c>
      <c r="C350" s="4" t="s">
        <v>996</v>
      </c>
      <c r="D350" s="5">
        <v>9477.0</v>
      </c>
      <c r="E350" s="6">
        <f t="shared" si="7"/>
        <v>988</v>
      </c>
      <c r="F350" s="7">
        <f t="shared" ref="F350:G350" si="2102">ROUND(RAND(),2)</f>
        <v>0.36</v>
      </c>
      <c r="G350" s="7">
        <f t="shared" si="2102"/>
        <v>0.27</v>
      </c>
      <c r="H350" s="7">
        <f t="shared" si="9"/>
        <v>2</v>
      </c>
      <c r="I350" s="7">
        <f t="shared" si="10"/>
        <v>19996</v>
      </c>
      <c r="J350" s="7">
        <f t="shared" si="11"/>
        <v>28428</v>
      </c>
      <c r="K350" s="7" t="str">
        <f t="shared" si="12"/>
        <v>D</v>
      </c>
      <c r="L350" s="7" t="str">
        <f t="shared" si="13"/>
        <v>Transformative change</v>
      </c>
      <c r="M350" s="7" t="str">
        <f t="shared" si="14"/>
        <v>High</v>
      </c>
      <c r="N350" s="7">
        <f t="shared" si="15"/>
        <v>360874</v>
      </c>
      <c r="O350" s="7">
        <f t="shared" si="16"/>
        <v>30227.8248</v>
      </c>
      <c r="P350" s="7">
        <f t="shared" ref="P350:Q350" si="2103">RANDBETWEEN(0,22)</f>
        <v>8</v>
      </c>
      <c r="Q350" s="7">
        <f t="shared" si="2103"/>
        <v>14</v>
      </c>
      <c r="R350" s="7">
        <f t="shared" ref="R350:T350" si="2104">IF(S350=1,1,RANDBETWEEN(0,1))</f>
        <v>1</v>
      </c>
      <c r="S350" s="7">
        <f t="shared" si="2104"/>
        <v>1</v>
      </c>
      <c r="T350" s="7">
        <f t="shared" si="2104"/>
        <v>1</v>
      </c>
      <c r="U350" s="7">
        <f t="shared" si="19"/>
        <v>1</v>
      </c>
      <c r="V350" s="7">
        <f t="shared" ref="V350:X350" si="2105">IF(W350=1,1,RANDBETWEEN(0,1))</f>
        <v>1</v>
      </c>
      <c r="W350" s="7">
        <f t="shared" si="2105"/>
        <v>1</v>
      </c>
      <c r="X350" s="7">
        <f t="shared" si="2105"/>
        <v>1</v>
      </c>
      <c r="Y350" s="7">
        <f t="shared" si="21"/>
        <v>1</v>
      </c>
      <c r="Z350" s="7">
        <f t="shared" ref="Z350:AB350" si="2106">IF(AA350=1,1,RANDBETWEEN(0,1))</f>
        <v>1</v>
      </c>
      <c r="AA350" s="7">
        <f t="shared" si="2106"/>
        <v>1</v>
      </c>
      <c r="AB350" s="7">
        <f t="shared" si="2106"/>
        <v>1</v>
      </c>
      <c r="AC350" s="7">
        <f t="shared" si="23"/>
        <v>1</v>
      </c>
      <c r="AD350" s="7">
        <f t="shared" ref="AD350:AF350" si="2107">IF(AE350=1,1,RANDBETWEEN(0,1))</f>
        <v>1</v>
      </c>
      <c r="AE350" s="7">
        <f t="shared" si="2107"/>
        <v>0</v>
      </c>
      <c r="AF350" s="7">
        <f t="shared" si="2107"/>
        <v>0</v>
      </c>
      <c r="AG350" s="7">
        <f t="shared" si="25"/>
        <v>0</v>
      </c>
    </row>
    <row r="351">
      <c r="A351" s="4" t="s">
        <v>997</v>
      </c>
      <c r="B351" s="4" t="s">
        <v>998</v>
      </c>
      <c r="C351" s="4" t="s">
        <v>999</v>
      </c>
      <c r="D351" s="5">
        <v>450093.0</v>
      </c>
      <c r="E351" s="6">
        <f t="shared" si="7"/>
        <v>1380.65</v>
      </c>
      <c r="F351" s="7">
        <f t="shared" ref="F351:G351" si="2108">ROUND(RAND(),2)</f>
        <v>0.34</v>
      </c>
      <c r="G351" s="7">
        <f t="shared" si="2108"/>
        <v>0.05</v>
      </c>
      <c r="H351" s="7">
        <f t="shared" si="9"/>
        <v>1</v>
      </c>
      <c r="I351" s="7">
        <f t="shared" si="10"/>
        <v>64614</v>
      </c>
      <c r="J351" s="7">
        <f t="shared" si="11"/>
        <v>14123</v>
      </c>
      <c r="K351" s="7" t="str">
        <f t="shared" si="12"/>
        <v>B</v>
      </c>
      <c r="L351" s="7" t="str">
        <f t="shared" si="13"/>
        <v>Transformative change</v>
      </c>
      <c r="M351" s="7" t="str">
        <f t="shared" si="14"/>
        <v>Low</v>
      </c>
      <c r="N351" s="7">
        <f t="shared" si="15"/>
        <v>3422277</v>
      </c>
      <c r="O351" s="7">
        <f t="shared" si="16"/>
        <v>152123.3378</v>
      </c>
      <c r="P351" s="7">
        <f t="shared" ref="P351:Q351" si="2109">RANDBETWEEN(0,22)</f>
        <v>13</v>
      </c>
      <c r="Q351" s="7">
        <f t="shared" si="2109"/>
        <v>17</v>
      </c>
      <c r="R351" s="7">
        <f t="shared" ref="R351:T351" si="2110">IF(S351=1,1,RANDBETWEEN(0,1))</f>
        <v>1</v>
      </c>
      <c r="S351" s="7">
        <f t="shared" si="2110"/>
        <v>1</v>
      </c>
      <c r="T351" s="7">
        <f t="shared" si="2110"/>
        <v>1</v>
      </c>
      <c r="U351" s="7">
        <f t="shared" si="19"/>
        <v>1</v>
      </c>
      <c r="V351" s="7">
        <f t="shared" ref="V351:X351" si="2111">IF(W351=1,1,RANDBETWEEN(0,1))</f>
        <v>1</v>
      </c>
      <c r="W351" s="7">
        <f t="shared" si="2111"/>
        <v>1</v>
      </c>
      <c r="X351" s="7">
        <f t="shared" si="2111"/>
        <v>1</v>
      </c>
      <c r="Y351" s="7">
        <f t="shared" si="21"/>
        <v>0</v>
      </c>
      <c r="Z351" s="7">
        <f t="shared" ref="Z351:AB351" si="2112">IF(AA351=1,1,RANDBETWEEN(0,1))</f>
        <v>1</v>
      </c>
      <c r="AA351" s="7">
        <f t="shared" si="2112"/>
        <v>1</v>
      </c>
      <c r="AB351" s="7">
        <f t="shared" si="2112"/>
        <v>1</v>
      </c>
      <c r="AC351" s="7">
        <f t="shared" si="23"/>
        <v>0</v>
      </c>
      <c r="AD351" s="7">
        <f t="shared" ref="AD351:AF351" si="2113">IF(AE351=1,1,RANDBETWEEN(0,1))</f>
        <v>1</v>
      </c>
      <c r="AE351" s="7">
        <f t="shared" si="2113"/>
        <v>1</v>
      </c>
      <c r="AF351" s="7">
        <f t="shared" si="2113"/>
        <v>1</v>
      </c>
      <c r="AG351" s="7">
        <f t="shared" si="25"/>
        <v>0</v>
      </c>
    </row>
    <row r="352">
      <c r="A352" s="4" t="s">
        <v>1000</v>
      </c>
      <c r="B352" s="4" t="s">
        <v>1001</v>
      </c>
      <c r="C352" s="4" t="s">
        <v>95</v>
      </c>
      <c r="D352" s="5">
        <v>41950.0</v>
      </c>
      <c r="E352" s="6">
        <f t="shared" si="7"/>
        <v>1017</v>
      </c>
      <c r="F352" s="7">
        <f t="shared" ref="F352:G352" si="2114">ROUND(RAND(),2)</f>
        <v>0.79</v>
      </c>
      <c r="G352" s="7">
        <f t="shared" si="2114"/>
        <v>0.11</v>
      </c>
      <c r="H352" s="7">
        <f t="shared" si="9"/>
        <v>2</v>
      </c>
      <c r="I352" s="7">
        <f t="shared" si="10"/>
        <v>69030</v>
      </c>
      <c r="J352" s="7">
        <f t="shared" si="11"/>
        <v>19120</v>
      </c>
      <c r="K352" s="7" t="str">
        <f t="shared" si="12"/>
        <v>B</v>
      </c>
      <c r="L352" s="7" t="str">
        <f t="shared" si="13"/>
        <v>Transformative change</v>
      </c>
      <c r="M352" s="7" t="str">
        <f t="shared" si="14"/>
        <v>High</v>
      </c>
      <c r="N352" s="7">
        <f t="shared" si="15"/>
        <v>2760445</v>
      </c>
      <c r="O352" s="7">
        <f t="shared" si="16"/>
        <v>1123469.422</v>
      </c>
      <c r="P352" s="7">
        <f t="shared" ref="P352:Q352" si="2115">RANDBETWEEN(0,22)</f>
        <v>9</v>
      </c>
      <c r="Q352" s="7">
        <f t="shared" si="2115"/>
        <v>8</v>
      </c>
      <c r="R352" s="7">
        <f t="shared" ref="R352:T352" si="2116">IF(S352=1,1,RANDBETWEEN(0,1))</f>
        <v>1</v>
      </c>
      <c r="S352" s="7">
        <f t="shared" si="2116"/>
        <v>0</v>
      </c>
      <c r="T352" s="7">
        <f t="shared" si="2116"/>
        <v>0</v>
      </c>
      <c r="U352" s="7">
        <f t="shared" si="19"/>
        <v>0</v>
      </c>
      <c r="V352" s="7">
        <f t="shared" ref="V352:X352" si="2117">IF(W352=1,1,RANDBETWEEN(0,1))</f>
        <v>1</v>
      </c>
      <c r="W352" s="7">
        <f t="shared" si="2117"/>
        <v>1</v>
      </c>
      <c r="X352" s="7">
        <f t="shared" si="2117"/>
        <v>1</v>
      </c>
      <c r="Y352" s="7">
        <f t="shared" si="21"/>
        <v>1</v>
      </c>
      <c r="Z352" s="7">
        <f t="shared" ref="Z352:AB352" si="2118">IF(AA352=1,1,RANDBETWEEN(0,1))</f>
        <v>1</v>
      </c>
      <c r="AA352" s="7">
        <f t="shared" si="2118"/>
        <v>1</v>
      </c>
      <c r="AB352" s="7">
        <f t="shared" si="2118"/>
        <v>1</v>
      </c>
      <c r="AC352" s="7">
        <f t="shared" si="23"/>
        <v>0</v>
      </c>
      <c r="AD352" s="7">
        <f t="shared" ref="AD352:AF352" si="2119">IF(AE352=1,1,RANDBETWEEN(0,1))</f>
        <v>1</v>
      </c>
      <c r="AE352" s="7">
        <f t="shared" si="2119"/>
        <v>1</v>
      </c>
      <c r="AF352" s="7">
        <f t="shared" si="2119"/>
        <v>1</v>
      </c>
      <c r="AG352" s="7">
        <f t="shared" si="25"/>
        <v>1</v>
      </c>
    </row>
    <row r="353">
      <c r="A353" s="4" t="s">
        <v>1002</v>
      </c>
      <c r="B353" s="4" t="s">
        <v>1003</v>
      </c>
      <c r="C353" s="4" t="s">
        <v>1004</v>
      </c>
      <c r="D353" s="5">
        <v>17080.0</v>
      </c>
      <c r="E353" s="6">
        <f t="shared" si="7"/>
        <v>928</v>
      </c>
      <c r="F353" s="7">
        <f t="shared" ref="F353:G353" si="2120">ROUND(RAND(),2)</f>
        <v>0.87</v>
      </c>
      <c r="G353" s="7">
        <f t="shared" si="2120"/>
        <v>0.55</v>
      </c>
      <c r="H353" s="7">
        <f t="shared" si="9"/>
        <v>5</v>
      </c>
      <c r="I353" s="7">
        <f t="shared" si="10"/>
        <v>69913</v>
      </c>
      <c r="J353" s="7">
        <f t="shared" si="11"/>
        <v>371</v>
      </c>
      <c r="K353" s="7" t="str">
        <f t="shared" si="12"/>
        <v>C</v>
      </c>
      <c r="L353" s="7" t="str">
        <f t="shared" si="13"/>
        <v>High ambition</v>
      </c>
      <c r="M353" s="7" t="str">
        <f t="shared" si="14"/>
        <v>Low</v>
      </c>
      <c r="N353" s="7">
        <f t="shared" si="15"/>
        <v>2958814</v>
      </c>
      <c r="O353" s="7">
        <f t="shared" si="16"/>
        <v>1297848.122</v>
      </c>
      <c r="P353" s="7">
        <f t="shared" ref="P353:Q353" si="2121">RANDBETWEEN(0,22)</f>
        <v>20</v>
      </c>
      <c r="Q353" s="7">
        <f t="shared" si="2121"/>
        <v>22</v>
      </c>
      <c r="R353" s="7">
        <f t="shared" ref="R353:T353" si="2122">IF(S353=1,1,RANDBETWEEN(0,1))</f>
        <v>1</v>
      </c>
      <c r="S353" s="7">
        <f t="shared" si="2122"/>
        <v>1</v>
      </c>
      <c r="T353" s="7">
        <f t="shared" si="2122"/>
        <v>1</v>
      </c>
      <c r="U353" s="7">
        <f t="shared" si="19"/>
        <v>1</v>
      </c>
      <c r="V353" s="7">
        <f t="shared" ref="V353:X353" si="2123">IF(W353=1,1,RANDBETWEEN(0,1))</f>
        <v>1</v>
      </c>
      <c r="W353" s="7">
        <f t="shared" si="2123"/>
        <v>0</v>
      </c>
      <c r="X353" s="7">
        <f t="shared" si="2123"/>
        <v>0</v>
      </c>
      <c r="Y353" s="7">
        <f t="shared" si="21"/>
        <v>0</v>
      </c>
      <c r="Z353" s="7">
        <f t="shared" ref="Z353:AB353" si="2124">IF(AA353=1,1,RANDBETWEEN(0,1))</f>
        <v>1</v>
      </c>
      <c r="AA353" s="7">
        <f t="shared" si="2124"/>
        <v>1</v>
      </c>
      <c r="AB353" s="7">
        <f t="shared" si="2124"/>
        <v>0</v>
      </c>
      <c r="AC353" s="7">
        <f t="shared" si="23"/>
        <v>0</v>
      </c>
      <c r="AD353" s="7">
        <f t="shared" ref="AD353:AF353" si="2125">IF(AE353=1,1,RANDBETWEEN(0,1))</f>
        <v>0</v>
      </c>
      <c r="AE353" s="7">
        <f t="shared" si="2125"/>
        <v>0</v>
      </c>
      <c r="AF353" s="7">
        <f t="shared" si="2125"/>
        <v>0</v>
      </c>
      <c r="AG353" s="7">
        <f t="shared" si="25"/>
        <v>0</v>
      </c>
    </row>
    <row r="354">
      <c r="A354" s="4" t="s">
        <v>1005</v>
      </c>
      <c r="B354" s="4" t="s">
        <v>1006</v>
      </c>
      <c r="C354" s="4" t="s">
        <v>1007</v>
      </c>
      <c r="D354" s="5">
        <v>11031.0</v>
      </c>
      <c r="E354" s="6">
        <f t="shared" si="7"/>
        <v>997</v>
      </c>
      <c r="F354" s="7">
        <f t="shared" ref="F354:G354" si="2126">ROUND(RAND(),2)</f>
        <v>0.99</v>
      </c>
      <c r="G354" s="7">
        <f t="shared" si="2126"/>
        <v>0.73</v>
      </c>
      <c r="H354" s="7">
        <f t="shared" si="9"/>
        <v>3</v>
      </c>
      <c r="I354" s="7">
        <f t="shared" si="10"/>
        <v>56024</v>
      </c>
      <c r="J354" s="7">
        <f t="shared" si="11"/>
        <v>43863</v>
      </c>
      <c r="K354" s="7" t="str">
        <f t="shared" si="12"/>
        <v>F</v>
      </c>
      <c r="L354" s="7" t="str">
        <f t="shared" si="13"/>
        <v>Transformative change</v>
      </c>
      <c r="M354" s="7" t="str">
        <f t="shared" si="14"/>
        <v>High</v>
      </c>
      <c r="N354" s="7">
        <f t="shared" si="15"/>
        <v>2468870</v>
      </c>
      <c r="O354" s="7">
        <f t="shared" si="16"/>
        <v>646363.3756</v>
      </c>
      <c r="P354" s="7">
        <f t="shared" ref="P354:Q354" si="2127">RANDBETWEEN(0,22)</f>
        <v>4</v>
      </c>
      <c r="Q354" s="7">
        <f t="shared" si="2127"/>
        <v>21</v>
      </c>
      <c r="R354" s="7">
        <f t="shared" ref="R354:T354" si="2128">IF(S354=1,1,RANDBETWEEN(0,1))</f>
        <v>1</v>
      </c>
      <c r="S354" s="7">
        <f t="shared" si="2128"/>
        <v>1</v>
      </c>
      <c r="T354" s="7">
        <f t="shared" si="2128"/>
        <v>1</v>
      </c>
      <c r="U354" s="7">
        <f t="shared" si="19"/>
        <v>0</v>
      </c>
      <c r="V354" s="7">
        <f t="shared" ref="V354:X354" si="2129">IF(W354=1,1,RANDBETWEEN(0,1))</f>
        <v>1</v>
      </c>
      <c r="W354" s="7">
        <f t="shared" si="2129"/>
        <v>1</v>
      </c>
      <c r="X354" s="7">
        <f t="shared" si="2129"/>
        <v>1</v>
      </c>
      <c r="Y354" s="7">
        <f t="shared" si="21"/>
        <v>1</v>
      </c>
      <c r="Z354" s="7">
        <f t="shared" ref="Z354:AB354" si="2130">IF(AA354=1,1,RANDBETWEEN(0,1))</f>
        <v>1</v>
      </c>
      <c r="AA354" s="7">
        <f t="shared" si="2130"/>
        <v>1</v>
      </c>
      <c r="AB354" s="7">
        <f t="shared" si="2130"/>
        <v>1</v>
      </c>
      <c r="AC354" s="7">
        <f t="shared" si="23"/>
        <v>0</v>
      </c>
      <c r="AD354" s="7">
        <f t="shared" ref="AD354:AF354" si="2131">IF(AE354=1,1,RANDBETWEEN(0,1))</f>
        <v>1</v>
      </c>
      <c r="AE354" s="7">
        <f t="shared" si="2131"/>
        <v>1</v>
      </c>
      <c r="AF354" s="7">
        <f t="shared" si="2131"/>
        <v>1</v>
      </c>
      <c r="AG354" s="7">
        <f t="shared" si="25"/>
        <v>0</v>
      </c>
    </row>
    <row r="355">
      <c r="A355" s="4" t="s">
        <v>1008</v>
      </c>
      <c r="B355" s="4" t="s">
        <v>1009</v>
      </c>
      <c r="C355" s="4" t="s">
        <v>1010</v>
      </c>
      <c r="D355" s="5">
        <v>13023.0</v>
      </c>
      <c r="E355" s="6">
        <f t="shared" si="7"/>
        <v>917</v>
      </c>
      <c r="F355" s="7">
        <f t="shared" ref="F355:G355" si="2132">ROUND(RAND(),2)</f>
        <v>0.61</v>
      </c>
      <c r="G355" s="7">
        <f t="shared" si="2132"/>
        <v>0.25</v>
      </c>
      <c r="H355" s="7">
        <f t="shared" si="9"/>
        <v>5</v>
      </c>
      <c r="I355" s="7">
        <f t="shared" si="10"/>
        <v>14638</v>
      </c>
      <c r="J355" s="7">
        <f t="shared" si="11"/>
        <v>15491</v>
      </c>
      <c r="K355" s="7" t="str">
        <f t="shared" si="12"/>
        <v>G</v>
      </c>
      <c r="L355" s="7" t="str">
        <f t="shared" si="13"/>
        <v>Transformative change</v>
      </c>
      <c r="M355" s="7" t="str">
        <f t="shared" si="14"/>
        <v>Low</v>
      </c>
      <c r="N355" s="7">
        <f t="shared" si="15"/>
        <v>784927</v>
      </c>
      <c r="O355" s="7">
        <f t="shared" si="16"/>
        <v>147194.8847</v>
      </c>
      <c r="P355" s="7">
        <f t="shared" ref="P355:Q355" si="2133">RANDBETWEEN(0,22)</f>
        <v>22</v>
      </c>
      <c r="Q355" s="7">
        <f t="shared" si="2133"/>
        <v>14</v>
      </c>
      <c r="R355" s="7">
        <f t="shared" ref="R355:T355" si="2134">IF(S355=1,1,RANDBETWEEN(0,1))</f>
        <v>1</v>
      </c>
      <c r="S355" s="7">
        <f t="shared" si="2134"/>
        <v>1</v>
      </c>
      <c r="T355" s="7">
        <f t="shared" si="2134"/>
        <v>1</v>
      </c>
      <c r="U355" s="7">
        <f t="shared" si="19"/>
        <v>1</v>
      </c>
      <c r="V355" s="7">
        <f t="shared" ref="V355:X355" si="2135">IF(W355=1,1,RANDBETWEEN(0,1))</f>
        <v>1</v>
      </c>
      <c r="W355" s="7">
        <f t="shared" si="2135"/>
        <v>1</v>
      </c>
      <c r="X355" s="7">
        <f t="shared" si="2135"/>
        <v>1</v>
      </c>
      <c r="Y355" s="7">
        <f t="shared" si="21"/>
        <v>1</v>
      </c>
      <c r="Z355" s="7">
        <f t="shared" ref="Z355:AB355" si="2136">IF(AA355=1,1,RANDBETWEEN(0,1))</f>
        <v>1</v>
      </c>
      <c r="AA355" s="7">
        <f t="shared" si="2136"/>
        <v>1</v>
      </c>
      <c r="AB355" s="7">
        <f t="shared" si="2136"/>
        <v>1</v>
      </c>
      <c r="AC355" s="7">
        <f t="shared" si="23"/>
        <v>1</v>
      </c>
      <c r="AD355" s="7">
        <f t="shared" ref="AD355:AF355" si="2137">IF(AE355=1,1,RANDBETWEEN(0,1))</f>
        <v>1</v>
      </c>
      <c r="AE355" s="7">
        <f t="shared" si="2137"/>
        <v>1</v>
      </c>
      <c r="AF355" s="7">
        <f t="shared" si="2137"/>
        <v>1</v>
      </c>
      <c r="AG355" s="7">
        <f t="shared" si="25"/>
        <v>0</v>
      </c>
    </row>
    <row r="356">
      <c r="A356" s="4" t="s">
        <v>1011</v>
      </c>
      <c r="B356" s="4" t="s">
        <v>1012</v>
      </c>
      <c r="C356" s="4" t="s">
        <v>95</v>
      </c>
      <c r="D356" s="5">
        <v>16501.0</v>
      </c>
      <c r="E356" s="6">
        <f t="shared" si="7"/>
        <v>841</v>
      </c>
      <c r="F356" s="7">
        <f t="shared" ref="F356:G356" si="2138">ROUND(RAND(),2)</f>
        <v>0.16</v>
      </c>
      <c r="G356" s="7">
        <f t="shared" si="2138"/>
        <v>0.03</v>
      </c>
      <c r="H356" s="7">
        <f t="shared" si="9"/>
        <v>4</v>
      </c>
      <c r="I356" s="7">
        <f t="shared" si="10"/>
        <v>80280</v>
      </c>
      <c r="J356" s="7">
        <f t="shared" si="11"/>
        <v>29585</v>
      </c>
      <c r="K356" s="7" t="str">
        <f t="shared" si="12"/>
        <v>G</v>
      </c>
      <c r="L356" s="7" t="str">
        <f t="shared" si="13"/>
        <v>High ambition</v>
      </c>
      <c r="M356" s="7" t="str">
        <f t="shared" si="14"/>
        <v>High</v>
      </c>
      <c r="N356" s="7">
        <f t="shared" si="15"/>
        <v>3318213</v>
      </c>
      <c r="O356" s="7">
        <f t="shared" si="16"/>
        <v>3307229.397</v>
      </c>
      <c r="P356" s="7">
        <f t="shared" ref="P356:Q356" si="2139">RANDBETWEEN(0,22)</f>
        <v>8</v>
      </c>
      <c r="Q356" s="7">
        <f t="shared" si="2139"/>
        <v>3</v>
      </c>
      <c r="R356" s="7">
        <f t="shared" ref="R356:T356" si="2140">IF(S356=1,1,RANDBETWEEN(0,1))</f>
        <v>1</v>
      </c>
      <c r="S356" s="7">
        <f t="shared" si="2140"/>
        <v>1</v>
      </c>
      <c r="T356" s="7">
        <f t="shared" si="2140"/>
        <v>1</v>
      </c>
      <c r="U356" s="7">
        <f t="shared" si="19"/>
        <v>1</v>
      </c>
      <c r="V356" s="7">
        <f t="shared" ref="V356:X356" si="2141">IF(W356=1,1,RANDBETWEEN(0,1))</f>
        <v>1</v>
      </c>
      <c r="W356" s="7">
        <f t="shared" si="2141"/>
        <v>1</v>
      </c>
      <c r="X356" s="7">
        <f t="shared" si="2141"/>
        <v>1</v>
      </c>
      <c r="Y356" s="7">
        <f t="shared" si="21"/>
        <v>1</v>
      </c>
      <c r="Z356" s="7">
        <f t="shared" ref="Z356:AB356" si="2142">IF(AA356=1,1,RANDBETWEEN(0,1))</f>
        <v>1</v>
      </c>
      <c r="AA356" s="7">
        <f t="shared" si="2142"/>
        <v>1</v>
      </c>
      <c r="AB356" s="7">
        <f t="shared" si="2142"/>
        <v>0</v>
      </c>
      <c r="AC356" s="7">
        <f t="shared" si="23"/>
        <v>0</v>
      </c>
      <c r="AD356" s="7">
        <f t="shared" ref="AD356:AF356" si="2143">IF(AE356=1,1,RANDBETWEEN(0,1))</f>
        <v>1</v>
      </c>
      <c r="AE356" s="7">
        <f t="shared" si="2143"/>
        <v>1</v>
      </c>
      <c r="AF356" s="7">
        <f t="shared" si="2143"/>
        <v>1</v>
      </c>
      <c r="AG356" s="7">
        <f t="shared" si="25"/>
        <v>1</v>
      </c>
    </row>
    <row r="357">
      <c r="A357" s="4" t="s">
        <v>1013</v>
      </c>
      <c r="B357" s="4" t="s">
        <v>1014</v>
      </c>
      <c r="C357" s="4" t="s">
        <v>1015</v>
      </c>
      <c r="D357" s="5">
        <v>32388.0</v>
      </c>
      <c r="E357" s="6">
        <f t="shared" si="7"/>
        <v>854</v>
      </c>
      <c r="F357" s="7">
        <f t="shared" ref="F357:G357" si="2144">ROUND(RAND(),2)</f>
        <v>0.04</v>
      </c>
      <c r="G357" s="7">
        <f t="shared" si="2144"/>
        <v>0.96</v>
      </c>
      <c r="H357" s="7">
        <f t="shared" si="9"/>
        <v>1</v>
      </c>
      <c r="I357" s="7">
        <f t="shared" si="10"/>
        <v>5065</v>
      </c>
      <c r="J357" s="7">
        <f t="shared" si="11"/>
        <v>10182</v>
      </c>
      <c r="K357" s="7" t="str">
        <f t="shared" si="12"/>
        <v>C</v>
      </c>
      <c r="L357" s="7" t="str">
        <f t="shared" si="13"/>
        <v>Transformative change</v>
      </c>
      <c r="M357" s="7" t="str">
        <f t="shared" si="14"/>
        <v>Medium</v>
      </c>
      <c r="N357" s="7">
        <f t="shared" si="15"/>
        <v>2975441</v>
      </c>
      <c r="O357" s="7">
        <f t="shared" si="16"/>
        <v>2427422.445</v>
      </c>
      <c r="P357" s="7">
        <f t="shared" ref="P357:Q357" si="2145">RANDBETWEEN(0,22)</f>
        <v>16</v>
      </c>
      <c r="Q357" s="7">
        <f t="shared" si="2145"/>
        <v>8</v>
      </c>
      <c r="R357" s="7">
        <f t="shared" ref="R357:T357" si="2146">IF(S357=1,1,RANDBETWEEN(0,1))</f>
        <v>1</v>
      </c>
      <c r="S357" s="7">
        <f t="shared" si="2146"/>
        <v>1</v>
      </c>
      <c r="T357" s="7">
        <f t="shared" si="2146"/>
        <v>1</v>
      </c>
      <c r="U357" s="7">
        <f t="shared" si="19"/>
        <v>1</v>
      </c>
      <c r="V357" s="7">
        <f t="shared" ref="V357:X357" si="2147">IF(W357=1,1,RANDBETWEEN(0,1))</f>
        <v>1</v>
      </c>
      <c r="W357" s="7">
        <f t="shared" si="2147"/>
        <v>1</v>
      </c>
      <c r="X357" s="7">
        <f t="shared" si="2147"/>
        <v>1</v>
      </c>
      <c r="Y357" s="7">
        <f t="shared" si="21"/>
        <v>1</v>
      </c>
      <c r="Z357" s="7">
        <f t="shared" ref="Z357:AB357" si="2148">IF(AA357=1,1,RANDBETWEEN(0,1))</f>
        <v>1</v>
      </c>
      <c r="AA357" s="7">
        <f t="shared" si="2148"/>
        <v>1</v>
      </c>
      <c r="AB357" s="7">
        <f t="shared" si="2148"/>
        <v>1</v>
      </c>
      <c r="AC357" s="7">
        <f t="shared" si="23"/>
        <v>1</v>
      </c>
      <c r="AD357" s="7">
        <f t="shared" ref="AD357:AF357" si="2149">IF(AE357=1,1,RANDBETWEEN(0,1))</f>
        <v>1</v>
      </c>
      <c r="AE357" s="7">
        <f t="shared" si="2149"/>
        <v>1</v>
      </c>
      <c r="AF357" s="7">
        <f t="shared" si="2149"/>
        <v>1</v>
      </c>
      <c r="AG357" s="7">
        <f t="shared" si="25"/>
        <v>1</v>
      </c>
    </row>
    <row r="358">
      <c r="A358" s="4" t="s">
        <v>1016</v>
      </c>
      <c r="B358" s="4" t="s">
        <v>1017</v>
      </c>
      <c r="C358" s="4" t="s">
        <v>1018</v>
      </c>
      <c r="D358" s="5">
        <v>16108.0</v>
      </c>
      <c r="E358" s="6">
        <f t="shared" si="7"/>
        <v>994</v>
      </c>
      <c r="F358" s="7">
        <f t="shared" ref="F358:G358" si="2150">ROUND(RAND(),2)</f>
        <v>0.29</v>
      </c>
      <c r="G358" s="7">
        <f t="shared" si="2150"/>
        <v>0.76</v>
      </c>
      <c r="H358" s="7">
        <f t="shared" si="9"/>
        <v>4</v>
      </c>
      <c r="I358" s="7">
        <f t="shared" si="10"/>
        <v>71399</v>
      </c>
      <c r="J358" s="7">
        <f t="shared" si="11"/>
        <v>45522</v>
      </c>
      <c r="K358" s="7" t="str">
        <f t="shared" si="12"/>
        <v>F</v>
      </c>
      <c r="L358" s="7" t="str">
        <f t="shared" si="13"/>
        <v>Transformative change</v>
      </c>
      <c r="M358" s="7" t="str">
        <f t="shared" si="14"/>
        <v>Low</v>
      </c>
      <c r="N358" s="7">
        <f t="shared" si="15"/>
        <v>629518</v>
      </c>
      <c r="O358" s="7">
        <f t="shared" si="16"/>
        <v>513285.8325</v>
      </c>
      <c r="P358" s="7">
        <f t="shared" ref="P358:Q358" si="2151">RANDBETWEEN(0,22)</f>
        <v>14</v>
      </c>
      <c r="Q358" s="7">
        <f t="shared" si="2151"/>
        <v>8</v>
      </c>
      <c r="R358" s="7">
        <f t="shared" ref="R358:T358" si="2152">IF(S358=1,1,RANDBETWEEN(0,1))</f>
        <v>0</v>
      </c>
      <c r="S358" s="7">
        <f t="shared" si="2152"/>
        <v>0</v>
      </c>
      <c r="T358" s="7">
        <f t="shared" si="2152"/>
        <v>0</v>
      </c>
      <c r="U358" s="7">
        <f t="shared" si="19"/>
        <v>0</v>
      </c>
      <c r="V358" s="7">
        <f t="shared" ref="V358:X358" si="2153">IF(W358=1,1,RANDBETWEEN(0,1))</f>
        <v>1</v>
      </c>
      <c r="W358" s="7">
        <f t="shared" si="2153"/>
        <v>1</v>
      </c>
      <c r="X358" s="7">
        <f t="shared" si="2153"/>
        <v>1</v>
      </c>
      <c r="Y358" s="7">
        <f t="shared" si="21"/>
        <v>1</v>
      </c>
      <c r="Z358" s="7">
        <f t="shared" ref="Z358:AB358" si="2154">IF(AA358=1,1,RANDBETWEEN(0,1))</f>
        <v>1</v>
      </c>
      <c r="AA358" s="7">
        <f t="shared" si="2154"/>
        <v>1</v>
      </c>
      <c r="AB358" s="7">
        <f t="shared" si="2154"/>
        <v>1</v>
      </c>
      <c r="AC358" s="7">
        <f t="shared" si="23"/>
        <v>0</v>
      </c>
      <c r="AD358" s="7">
        <f t="shared" ref="AD358:AF358" si="2155">IF(AE358=1,1,RANDBETWEEN(0,1))</f>
        <v>1</v>
      </c>
      <c r="AE358" s="7">
        <f t="shared" si="2155"/>
        <v>1</v>
      </c>
      <c r="AF358" s="7">
        <f t="shared" si="2155"/>
        <v>1</v>
      </c>
      <c r="AG358" s="7">
        <f t="shared" si="25"/>
        <v>0</v>
      </c>
    </row>
    <row r="359">
      <c r="A359" s="4" t="s">
        <v>1019</v>
      </c>
      <c r="B359" s="4" t="s">
        <v>1020</v>
      </c>
      <c r="C359" s="4" t="s">
        <v>1021</v>
      </c>
      <c r="D359" s="5">
        <v>16805.0</v>
      </c>
      <c r="E359" s="6">
        <f t="shared" si="7"/>
        <v>807</v>
      </c>
      <c r="F359" s="7">
        <f t="shared" ref="F359:G359" si="2156">ROUND(RAND(),2)</f>
        <v>0.7</v>
      </c>
      <c r="G359" s="7">
        <f t="shared" si="2156"/>
        <v>0.21</v>
      </c>
      <c r="H359" s="7">
        <f t="shared" si="9"/>
        <v>3</v>
      </c>
      <c r="I359" s="7">
        <f t="shared" si="10"/>
        <v>28222</v>
      </c>
      <c r="J359" s="7">
        <f t="shared" si="11"/>
        <v>55929</v>
      </c>
      <c r="K359" s="7" t="str">
        <f t="shared" si="12"/>
        <v>A</v>
      </c>
      <c r="L359" s="7" t="str">
        <f t="shared" si="13"/>
        <v>High ambition</v>
      </c>
      <c r="M359" s="7" t="str">
        <f t="shared" si="14"/>
        <v>High</v>
      </c>
      <c r="N359" s="7">
        <f t="shared" si="15"/>
        <v>657316</v>
      </c>
      <c r="O359" s="7">
        <f t="shared" si="16"/>
        <v>158333.0807</v>
      </c>
      <c r="P359" s="7">
        <f t="shared" ref="P359:Q359" si="2157">RANDBETWEEN(0,22)</f>
        <v>2</v>
      </c>
      <c r="Q359" s="7">
        <f t="shared" si="2157"/>
        <v>1</v>
      </c>
      <c r="R359" s="7">
        <f t="shared" ref="R359:T359" si="2158">IF(S359=1,1,RANDBETWEEN(0,1))</f>
        <v>1</v>
      </c>
      <c r="S359" s="7">
        <f t="shared" si="2158"/>
        <v>1</v>
      </c>
      <c r="T359" s="7">
        <f t="shared" si="2158"/>
        <v>1</v>
      </c>
      <c r="U359" s="7">
        <f t="shared" si="19"/>
        <v>0</v>
      </c>
      <c r="V359" s="7">
        <f t="shared" ref="V359:X359" si="2159">IF(W359=1,1,RANDBETWEEN(0,1))</f>
        <v>1</v>
      </c>
      <c r="W359" s="7">
        <f t="shared" si="2159"/>
        <v>1</v>
      </c>
      <c r="X359" s="7">
        <f t="shared" si="2159"/>
        <v>1</v>
      </c>
      <c r="Y359" s="7">
        <f t="shared" si="21"/>
        <v>0</v>
      </c>
      <c r="Z359" s="7">
        <f t="shared" ref="Z359:AB359" si="2160">IF(AA359=1,1,RANDBETWEEN(0,1))</f>
        <v>1</v>
      </c>
      <c r="AA359" s="7">
        <f t="shared" si="2160"/>
        <v>1</v>
      </c>
      <c r="AB359" s="7">
        <f t="shared" si="2160"/>
        <v>1</v>
      </c>
      <c r="AC359" s="7">
        <f t="shared" si="23"/>
        <v>1</v>
      </c>
      <c r="AD359" s="7">
        <f t="shared" ref="AD359:AF359" si="2161">IF(AE359=1,1,RANDBETWEEN(0,1))</f>
        <v>1</v>
      </c>
      <c r="AE359" s="7">
        <f t="shared" si="2161"/>
        <v>1</v>
      </c>
      <c r="AF359" s="7">
        <f t="shared" si="2161"/>
        <v>1</v>
      </c>
      <c r="AG359" s="7">
        <f t="shared" si="25"/>
        <v>1</v>
      </c>
    </row>
    <row r="360">
      <c r="A360" s="4" t="s">
        <v>1022</v>
      </c>
      <c r="B360" s="4" t="s">
        <v>1023</v>
      </c>
      <c r="C360" s="4" t="s">
        <v>95</v>
      </c>
      <c r="D360" s="5">
        <v>11595.0</v>
      </c>
      <c r="E360" s="6">
        <f t="shared" si="7"/>
        <v>1000</v>
      </c>
      <c r="F360" s="7">
        <f t="shared" ref="F360:G360" si="2162">ROUND(RAND(),2)</f>
        <v>0.32</v>
      </c>
      <c r="G360" s="7">
        <f t="shared" si="2162"/>
        <v>0.39</v>
      </c>
      <c r="H360" s="7">
        <f t="shared" si="9"/>
        <v>2</v>
      </c>
      <c r="I360" s="7">
        <f t="shared" si="10"/>
        <v>96488</v>
      </c>
      <c r="J360" s="7">
        <f t="shared" si="11"/>
        <v>66528</v>
      </c>
      <c r="K360" s="7" t="str">
        <f t="shared" si="12"/>
        <v>E</v>
      </c>
      <c r="L360" s="7" t="str">
        <f t="shared" si="13"/>
        <v>Transformative change</v>
      </c>
      <c r="M360" s="7" t="str">
        <f t="shared" si="14"/>
        <v>High</v>
      </c>
      <c r="N360" s="7">
        <f t="shared" si="15"/>
        <v>2508596</v>
      </c>
      <c r="O360" s="7">
        <f t="shared" si="16"/>
        <v>480194.5084</v>
      </c>
      <c r="P360" s="7">
        <f t="shared" ref="P360:Q360" si="2163">RANDBETWEEN(0,22)</f>
        <v>19</v>
      </c>
      <c r="Q360" s="7">
        <f t="shared" si="2163"/>
        <v>1</v>
      </c>
      <c r="R360" s="7">
        <f t="shared" ref="R360:T360" si="2164">IF(S360=1,1,RANDBETWEEN(0,1))</f>
        <v>1</v>
      </c>
      <c r="S360" s="7">
        <f t="shared" si="2164"/>
        <v>1</v>
      </c>
      <c r="T360" s="7">
        <f t="shared" si="2164"/>
        <v>1</v>
      </c>
      <c r="U360" s="7">
        <f t="shared" si="19"/>
        <v>0</v>
      </c>
      <c r="V360" s="7">
        <f t="shared" ref="V360:X360" si="2165">IF(W360=1,1,RANDBETWEEN(0,1))</f>
        <v>1</v>
      </c>
      <c r="W360" s="7">
        <f t="shared" si="2165"/>
        <v>1</v>
      </c>
      <c r="X360" s="7">
        <f t="shared" si="2165"/>
        <v>0</v>
      </c>
      <c r="Y360" s="7">
        <f t="shared" si="21"/>
        <v>0</v>
      </c>
      <c r="Z360" s="7">
        <f t="shared" ref="Z360:AB360" si="2166">IF(AA360=1,1,RANDBETWEEN(0,1))</f>
        <v>1</v>
      </c>
      <c r="AA360" s="7">
        <f t="shared" si="2166"/>
        <v>1</v>
      </c>
      <c r="AB360" s="7">
        <f t="shared" si="2166"/>
        <v>1</v>
      </c>
      <c r="AC360" s="7">
        <f t="shared" si="23"/>
        <v>1</v>
      </c>
      <c r="AD360" s="7">
        <f t="shared" ref="AD360:AF360" si="2167">IF(AE360=1,1,RANDBETWEEN(0,1))</f>
        <v>1</v>
      </c>
      <c r="AE360" s="7">
        <f t="shared" si="2167"/>
        <v>1</v>
      </c>
      <c r="AF360" s="7">
        <f t="shared" si="2167"/>
        <v>1</v>
      </c>
      <c r="AG360" s="7">
        <f t="shared" si="25"/>
        <v>1</v>
      </c>
    </row>
    <row r="361">
      <c r="A361" s="4" t="s">
        <v>1024</v>
      </c>
      <c r="B361" s="4" t="s">
        <v>1025</v>
      </c>
      <c r="C361" s="4" t="s">
        <v>95</v>
      </c>
      <c r="D361" s="5">
        <v>10888.0</v>
      </c>
      <c r="E361" s="6">
        <f t="shared" si="7"/>
        <v>1012</v>
      </c>
      <c r="F361" s="7">
        <f t="shared" ref="F361:G361" si="2168">ROUND(RAND(),2)</f>
        <v>0.98</v>
      </c>
      <c r="G361" s="7">
        <f t="shared" si="2168"/>
        <v>0.26</v>
      </c>
      <c r="H361" s="7">
        <f t="shared" si="9"/>
        <v>2</v>
      </c>
      <c r="I361" s="7">
        <f t="shared" si="10"/>
        <v>92599</v>
      </c>
      <c r="J361" s="7">
        <f t="shared" si="11"/>
        <v>50691</v>
      </c>
      <c r="K361" s="7" t="str">
        <f t="shared" si="12"/>
        <v>C</v>
      </c>
      <c r="L361" s="7" t="str">
        <f t="shared" si="13"/>
        <v>Transformative change</v>
      </c>
      <c r="M361" s="7" t="str">
        <f t="shared" si="14"/>
        <v>Medium</v>
      </c>
      <c r="N361" s="7">
        <f t="shared" si="15"/>
        <v>3318194</v>
      </c>
      <c r="O361" s="7">
        <f t="shared" si="16"/>
        <v>1966664.172</v>
      </c>
      <c r="P361" s="7">
        <f t="shared" ref="P361:Q361" si="2169">RANDBETWEEN(0,22)</f>
        <v>21</v>
      </c>
      <c r="Q361" s="7">
        <f t="shared" si="2169"/>
        <v>16</v>
      </c>
      <c r="R361" s="7">
        <f t="shared" ref="R361:T361" si="2170">IF(S361=1,1,RANDBETWEEN(0,1))</f>
        <v>1</v>
      </c>
      <c r="S361" s="7">
        <f t="shared" si="2170"/>
        <v>1</v>
      </c>
      <c r="T361" s="7">
        <f t="shared" si="2170"/>
        <v>1</v>
      </c>
      <c r="U361" s="7">
        <f t="shared" si="19"/>
        <v>1</v>
      </c>
      <c r="V361" s="7">
        <f t="shared" ref="V361:X361" si="2171">IF(W361=1,1,RANDBETWEEN(0,1))</f>
        <v>1</v>
      </c>
      <c r="W361" s="7">
        <f t="shared" si="2171"/>
        <v>1</v>
      </c>
      <c r="X361" s="7">
        <f t="shared" si="2171"/>
        <v>1</v>
      </c>
      <c r="Y361" s="7">
        <f t="shared" si="21"/>
        <v>0</v>
      </c>
      <c r="Z361" s="7">
        <f t="shared" ref="Z361:AB361" si="2172">IF(AA361=1,1,RANDBETWEEN(0,1))</f>
        <v>1</v>
      </c>
      <c r="AA361" s="7">
        <f t="shared" si="2172"/>
        <v>1</v>
      </c>
      <c r="AB361" s="7">
        <f t="shared" si="2172"/>
        <v>1</v>
      </c>
      <c r="AC361" s="7">
        <f t="shared" si="23"/>
        <v>1</v>
      </c>
      <c r="AD361" s="7">
        <f t="shared" ref="AD361:AF361" si="2173">IF(AE361=1,1,RANDBETWEEN(0,1))</f>
        <v>1</v>
      </c>
      <c r="AE361" s="7">
        <f t="shared" si="2173"/>
        <v>1</v>
      </c>
      <c r="AF361" s="7">
        <f t="shared" si="2173"/>
        <v>1</v>
      </c>
      <c r="AG361" s="7">
        <f t="shared" si="25"/>
        <v>0</v>
      </c>
    </row>
    <row r="362">
      <c r="A362" s="4" t="s">
        <v>1026</v>
      </c>
      <c r="B362" s="4" t="s">
        <v>1027</v>
      </c>
      <c r="C362" s="4" t="s">
        <v>674</v>
      </c>
      <c r="D362" s="5">
        <v>40163.0</v>
      </c>
      <c r="E362" s="6">
        <f t="shared" si="7"/>
        <v>867</v>
      </c>
      <c r="F362" s="7">
        <f t="shared" ref="F362:G362" si="2174">ROUND(RAND(),2)</f>
        <v>0.61</v>
      </c>
      <c r="G362" s="7">
        <f t="shared" si="2174"/>
        <v>0.97</v>
      </c>
      <c r="H362" s="7">
        <f t="shared" si="9"/>
        <v>2</v>
      </c>
      <c r="I362" s="7">
        <f t="shared" si="10"/>
        <v>8436</v>
      </c>
      <c r="J362" s="7">
        <f t="shared" si="11"/>
        <v>73223</v>
      </c>
      <c r="K362" s="7" t="str">
        <f t="shared" si="12"/>
        <v>C</v>
      </c>
      <c r="L362" s="7" t="str">
        <f t="shared" si="13"/>
        <v>Transformative change</v>
      </c>
      <c r="M362" s="7" t="str">
        <f t="shared" si="14"/>
        <v>Medium</v>
      </c>
      <c r="N362" s="7">
        <f t="shared" si="15"/>
        <v>3323442</v>
      </c>
      <c r="O362" s="7">
        <f t="shared" si="16"/>
        <v>1746585.811</v>
      </c>
      <c r="P362" s="7">
        <f t="shared" ref="P362:Q362" si="2175">RANDBETWEEN(0,22)</f>
        <v>11</v>
      </c>
      <c r="Q362" s="7">
        <f t="shared" si="2175"/>
        <v>16</v>
      </c>
      <c r="R362" s="7">
        <f t="shared" ref="R362:T362" si="2176">IF(S362=1,1,RANDBETWEEN(0,1))</f>
        <v>1</v>
      </c>
      <c r="S362" s="7">
        <f t="shared" si="2176"/>
        <v>1</v>
      </c>
      <c r="T362" s="7">
        <f t="shared" si="2176"/>
        <v>1</v>
      </c>
      <c r="U362" s="7">
        <f t="shared" si="19"/>
        <v>0</v>
      </c>
      <c r="V362" s="7">
        <f t="shared" ref="V362:X362" si="2177">IF(W362=1,1,RANDBETWEEN(0,1))</f>
        <v>1</v>
      </c>
      <c r="W362" s="7">
        <f t="shared" si="2177"/>
        <v>1</v>
      </c>
      <c r="X362" s="7">
        <f t="shared" si="2177"/>
        <v>1</v>
      </c>
      <c r="Y362" s="7">
        <f t="shared" si="21"/>
        <v>1</v>
      </c>
      <c r="Z362" s="7">
        <f t="shared" ref="Z362:AB362" si="2178">IF(AA362=1,1,RANDBETWEEN(0,1))</f>
        <v>1</v>
      </c>
      <c r="AA362" s="7">
        <f t="shared" si="2178"/>
        <v>1</v>
      </c>
      <c r="AB362" s="7">
        <f t="shared" si="2178"/>
        <v>1</v>
      </c>
      <c r="AC362" s="7">
        <f t="shared" si="23"/>
        <v>0</v>
      </c>
      <c r="AD362" s="7">
        <f t="shared" ref="AD362:AF362" si="2179">IF(AE362=1,1,RANDBETWEEN(0,1))</f>
        <v>1</v>
      </c>
      <c r="AE362" s="7">
        <f t="shared" si="2179"/>
        <v>1</v>
      </c>
      <c r="AF362" s="7">
        <f t="shared" si="2179"/>
        <v>1</v>
      </c>
      <c r="AG362" s="7">
        <f t="shared" si="25"/>
        <v>1</v>
      </c>
    </row>
    <row r="363">
      <c r="A363" s="4" t="s">
        <v>1028</v>
      </c>
      <c r="B363" s="4" t="s">
        <v>1029</v>
      </c>
      <c r="C363" s="4" t="s">
        <v>1030</v>
      </c>
      <c r="D363" s="5">
        <v>59726.0</v>
      </c>
      <c r="E363" s="6">
        <f t="shared" si="7"/>
        <v>1068</v>
      </c>
      <c r="F363" s="7">
        <f t="shared" ref="F363:G363" si="2180">ROUND(RAND(),2)</f>
        <v>0.99</v>
      </c>
      <c r="G363" s="7">
        <f t="shared" si="2180"/>
        <v>0.3</v>
      </c>
      <c r="H363" s="7">
        <f t="shared" si="9"/>
        <v>5</v>
      </c>
      <c r="I363" s="7">
        <f t="shared" si="10"/>
        <v>63563</v>
      </c>
      <c r="J363" s="7">
        <f t="shared" si="11"/>
        <v>45748</v>
      </c>
      <c r="K363" s="7" t="str">
        <f t="shared" si="12"/>
        <v>G</v>
      </c>
      <c r="L363" s="7" t="str">
        <f t="shared" si="13"/>
        <v>Transformative change</v>
      </c>
      <c r="M363" s="7" t="str">
        <f t="shared" si="14"/>
        <v>Low</v>
      </c>
      <c r="N363" s="7">
        <f t="shared" si="15"/>
        <v>3174804</v>
      </c>
      <c r="O363" s="7">
        <f t="shared" si="16"/>
        <v>1464514.63</v>
      </c>
      <c r="P363" s="7">
        <f t="shared" ref="P363:Q363" si="2181">RANDBETWEEN(0,22)</f>
        <v>9</v>
      </c>
      <c r="Q363" s="7">
        <f t="shared" si="2181"/>
        <v>3</v>
      </c>
      <c r="R363" s="7">
        <f t="shared" ref="R363:T363" si="2182">IF(S363=1,1,RANDBETWEEN(0,1))</f>
        <v>1</v>
      </c>
      <c r="S363" s="7">
        <f t="shared" si="2182"/>
        <v>1</v>
      </c>
      <c r="T363" s="7">
        <f t="shared" si="2182"/>
        <v>1</v>
      </c>
      <c r="U363" s="7">
        <f t="shared" si="19"/>
        <v>1</v>
      </c>
      <c r="V363" s="7">
        <f t="shared" ref="V363:X363" si="2183">IF(W363=1,1,RANDBETWEEN(0,1))</f>
        <v>1</v>
      </c>
      <c r="W363" s="7">
        <f t="shared" si="2183"/>
        <v>1</v>
      </c>
      <c r="X363" s="7">
        <f t="shared" si="2183"/>
        <v>1</v>
      </c>
      <c r="Y363" s="7">
        <f t="shared" si="21"/>
        <v>1</v>
      </c>
      <c r="Z363" s="7">
        <f t="shared" ref="Z363:AB363" si="2184">IF(AA363=1,1,RANDBETWEEN(0,1))</f>
        <v>1</v>
      </c>
      <c r="AA363" s="7">
        <f t="shared" si="2184"/>
        <v>1</v>
      </c>
      <c r="AB363" s="7">
        <f t="shared" si="2184"/>
        <v>1</v>
      </c>
      <c r="AC363" s="7">
        <f t="shared" si="23"/>
        <v>1</v>
      </c>
      <c r="AD363" s="7">
        <f t="shared" ref="AD363:AF363" si="2185">IF(AE363=1,1,RANDBETWEEN(0,1))</f>
        <v>1</v>
      </c>
      <c r="AE363" s="7">
        <f t="shared" si="2185"/>
        <v>1</v>
      </c>
      <c r="AF363" s="7">
        <f t="shared" si="2185"/>
        <v>1</v>
      </c>
      <c r="AG363" s="7">
        <f t="shared" si="25"/>
        <v>1</v>
      </c>
    </row>
    <row r="364">
      <c r="A364" s="4" t="s">
        <v>1031</v>
      </c>
      <c r="B364" s="4" t="s">
        <v>1032</v>
      </c>
      <c r="C364" s="4" t="s">
        <v>1033</v>
      </c>
      <c r="D364" s="5">
        <v>19009.0</v>
      </c>
      <c r="E364" s="6">
        <f t="shared" si="7"/>
        <v>948</v>
      </c>
      <c r="F364" s="7">
        <f t="shared" ref="F364:G364" si="2186">ROUND(RAND(),2)</f>
        <v>0.88</v>
      </c>
      <c r="G364" s="7">
        <f t="shared" si="2186"/>
        <v>0.62</v>
      </c>
      <c r="H364" s="7">
        <f t="shared" si="9"/>
        <v>4</v>
      </c>
      <c r="I364" s="7">
        <f t="shared" si="10"/>
        <v>68455</v>
      </c>
      <c r="J364" s="7">
        <f t="shared" si="11"/>
        <v>6600</v>
      </c>
      <c r="K364" s="7" t="str">
        <f t="shared" si="12"/>
        <v>C</v>
      </c>
      <c r="L364" s="7" t="str">
        <f t="shared" si="13"/>
        <v>Transformative change</v>
      </c>
      <c r="M364" s="7" t="str">
        <f t="shared" si="14"/>
        <v>High</v>
      </c>
      <c r="N364" s="7">
        <f t="shared" si="15"/>
        <v>380991</v>
      </c>
      <c r="O364" s="7">
        <f t="shared" si="16"/>
        <v>123693.7079</v>
      </c>
      <c r="P364" s="7">
        <f t="shared" ref="P364:Q364" si="2187">RANDBETWEEN(0,22)</f>
        <v>0</v>
      </c>
      <c r="Q364" s="7">
        <f t="shared" si="2187"/>
        <v>6</v>
      </c>
      <c r="R364" s="7">
        <f t="shared" ref="R364:T364" si="2188">IF(S364=1,1,RANDBETWEEN(0,1))</f>
        <v>1</v>
      </c>
      <c r="S364" s="7">
        <f t="shared" si="2188"/>
        <v>1</v>
      </c>
      <c r="T364" s="7">
        <f t="shared" si="2188"/>
        <v>1</v>
      </c>
      <c r="U364" s="7">
        <f t="shared" si="19"/>
        <v>1</v>
      </c>
      <c r="V364" s="7">
        <f t="shared" ref="V364:X364" si="2189">IF(W364=1,1,RANDBETWEEN(0,1))</f>
        <v>0</v>
      </c>
      <c r="W364" s="7">
        <f t="shared" si="2189"/>
        <v>0</v>
      </c>
      <c r="X364" s="7">
        <f t="shared" si="2189"/>
        <v>0</v>
      </c>
      <c r="Y364" s="7">
        <f t="shared" si="21"/>
        <v>0</v>
      </c>
      <c r="Z364" s="7">
        <f t="shared" ref="Z364:AB364" si="2190">IF(AA364=1,1,RANDBETWEEN(0,1))</f>
        <v>1</v>
      </c>
      <c r="AA364" s="7">
        <f t="shared" si="2190"/>
        <v>1</v>
      </c>
      <c r="AB364" s="7">
        <f t="shared" si="2190"/>
        <v>0</v>
      </c>
      <c r="AC364" s="7">
        <f t="shared" si="23"/>
        <v>0</v>
      </c>
      <c r="AD364" s="7">
        <f t="shared" ref="AD364:AF364" si="2191">IF(AE364=1,1,RANDBETWEEN(0,1))</f>
        <v>1</v>
      </c>
      <c r="AE364" s="7">
        <f t="shared" si="2191"/>
        <v>1</v>
      </c>
      <c r="AF364" s="7">
        <f t="shared" si="2191"/>
        <v>1</v>
      </c>
      <c r="AG364" s="7">
        <f t="shared" si="25"/>
        <v>1</v>
      </c>
    </row>
    <row r="365">
      <c r="A365" s="4" t="s">
        <v>1034</v>
      </c>
      <c r="B365" s="4" t="s">
        <v>1035</v>
      </c>
      <c r="C365" s="4" t="s">
        <v>95</v>
      </c>
      <c r="D365" s="5">
        <v>19681.0</v>
      </c>
      <c r="E365" s="6">
        <f t="shared" si="7"/>
        <v>997</v>
      </c>
      <c r="F365" s="7">
        <f t="shared" ref="F365:G365" si="2192">ROUND(RAND(),2)</f>
        <v>0.38</v>
      </c>
      <c r="G365" s="7">
        <f t="shared" si="2192"/>
        <v>0.66</v>
      </c>
      <c r="H365" s="7">
        <f t="shared" si="9"/>
        <v>1</v>
      </c>
      <c r="I365" s="7">
        <f t="shared" si="10"/>
        <v>73428</v>
      </c>
      <c r="J365" s="7">
        <f t="shared" si="11"/>
        <v>36498</v>
      </c>
      <c r="K365" s="7" t="str">
        <f t="shared" si="12"/>
        <v>C</v>
      </c>
      <c r="L365" s="7" t="str">
        <f t="shared" si="13"/>
        <v>Transformative change</v>
      </c>
      <c r="M365" s="7" t="str">
        <f t="shared" si="14"/>
        <v>High</v>
      </c>
      <c r="N365" s="7">
        <f t="shared" si="15"/>
        <v>1033861</v>
      </c>
      <c r="O365" s="7">
        <f t="shared" si="16"/>
        <v>310806.5898</v>
      </c>
      <c r="P365" s="7">
        <f t="shared" ref="P365:Q365" si="2193">RANDBETWEEN(0,22)</f>
        <v>19</v>
      </c>
      <c r="Q365" s="7">
        <f t="shared" si="2193"/>
        <v>6</v>
      </c>
      <c r="R365" s="7">
        <f t="shared" ref="R365:T365" si="2194">IF(S365=1,1,RANDBETWEEN(0,1))</f>
        <v>0</v>
      </c>
      <c r="S365" s="7">
        <f t="shared" si="2194"/>
        <v>0</v>
      </c>
      <c r="T365" s="7">
        <f t="shared" si="2194"/>
        <v>0</v>
      </c>
      <c r="U365" s="7">
        <f t="shared" si="19"/>
        <v>0</v>
      </c>
      <c r="V365" s="7">
        <f t="shared" ref="V365:X365" si="2195">IF(W365=1,1,RANDBETWEEN(0,1))</f>
        <v>1</v>
      </c>
      <c r="W365" s="7">
        <f t="shared" si="2195"/>
        <v>1</v>
      </c>
      <c r="X365" s="7">
        <f t="shared" si="2195"/>
        <v>1</v>
      </c>
      <c r="Y365" s="7">
        <f t="shared" si="21"/>
        <v>0</v>
      </c>
      <c r="Z365" s="7">
        <f t="shared" ref="Z365:AB365" si="2196">IF(AA365=1,1,RANDBETWEEN(0,1))</f>
        <v>1</v>
      </c>
      <c r="AA365" s="7">
        <f t="shared" si="2196"/>
        <v>1</v>
      </c>
      <c r="AB365" s="7">
        <f t="shared" si="2196"/>
        <v>1</v>
      </c>
      <c r="AC365" s="7">
        <f t="shared" si="23"/>
        <v>1</v>
      </c>
      <c r="AD365" s="7">
        <f t="shared" ref="AD365:AF365" si="2197">IF(AE365=1,1,RANDBETWEEN(0,1))</f>
        <v>1</v>
      </c>
      <c r="AE365" s="7">
        <f t="shared" si="2197"/>
        <v>1</v>
      </c>
      <c r="AF365" s="7">
        <f t="shared" si="2197"/>
        <v>1</v>
      </c>
      <c r="AG365" s="7">
        <f t="shared" si="25"/>
        <v>0</v>
      </c>
    </row>
    <row r="366">
      <c r="A366" s="4" t="s">
        <v>1036</v>
      </c>
      <c r="B366" s="4" t="s">
        <v>1037</v>
      </c>
      <c r="C366" s="4" t="s">
        <v>1038</v>
      </c>
      <c r="D366" s="5">
        <v>304271.0</v>
      </c>
      <c r="E366" s="6">
        <f t="shared" si="7"/>
        <v>846</v>
      </c>
      <c r="F366" s="7">
        <f t="shared" ref="F366:G366" si="2198">ROUND(RAND(),2)</f>
        <v>0.31</v>
      </c>
      <c r="G366" s="7">
        <f t="shared" si="2198"/>
        <v>0.09</v>
      </c>
      <c r="H366" s="7">
        <f t="shared" si="9"/>
        <v>5</v>
      </c>
      <c r="I366" s="7">
        <f t="shared" si="10"/>
        <v>71319</v>
      </c>
      <c r="J366" s="7">
        <f t="shared" si="11"/>
        <v>1741</v>
      </c>
      <c r="K366" s="7" t="str">
        <f t="shared" si="12"/>
        <v>C</v>
      </c>
      <c r="L366" s="7" t="str">
        <f t="shared" si="13"/>
        <v>Transformative change</v>
      </c>
      <c r="M366" s="7" t="str">
        <f t="shared" si="14"/>
        <v>Low</v>
      </c>
      <c r="N366" s="7">
        <f t="shared" si="15"/>
        <v>2161066</v>
      </c>
      <c r="O366" s="7">
        <f t="shared" si="16"/>
        <v>1925463.206</v>
      </c>
      <c r="P366" s="7">
        <f t="shared" ref="P366:Q366" si="2199">RANDBETWEEN(0,22)</f>
        <v>6</v>
      </c>
      <c r="Q366" s="7">
        <f t="shared" si="2199"/>
        <v>1</v>
      </c>
      <c r="R366" s="7">
        <f t="shared" ref="R366:T366" si="2200">IF(S366=1,1,RANDBETWEEN(0,1))</f>
        <v>1</v>
      </c>
      <c r="S366" s="7">
        <f t="shared" si="2200"/>
        <v>1</v>
      </c>
      <c r="T366" s="7">
        <f t="shared" si="2200"/>
        <v>1</v>
      </c>
      <c r="U366" s="7">
        <f t="shared" si="19"/>
        <v>1</v>
      </c>
      <c r="V366" s="7">
        <f t="shared" ref="V366:X366" si="2201">IF(W366=1,1,RANDBETWEEN(0,1))</f>
        <v>1</v>
      </c>
      <c r="W366" s="7">
        <f t="shared" si="2201"/>
        <v>1</v>
      </c>
      <c r="X366" s="7">
        <f t="shared" si="2201"/>
        <v>0</v>
      </c>
      <c r="Y366" s="7">
        <f t="shared" si="21"/>
        <v>0</v>
      </c>
      <c r="Z366" s="7">
        <f t="shared" ref="Z366:AB366" si="2202">IF(AA366=1,1,RANDBETWEEN(0,1))</f>
        <v>1</v>
      </c>
      <c r="AA366" s="7">
        <f t="shared" si="2202"/>
        <v>1</v>
      </c>
      <c r="AB366" s="7">
        <f t="shared" si="2202"/>
        <v>1</v>
      </c>
      <c r="AC366" s="7">
        <f t="shared" si="23"/>
        <v>0</v>
      </c>
      <c r="AD366" s="7">
        <f t="shared" ref="AD366:AF366" si="2203">IF(AE366=1,1,RANDBETWEEN(0,1))</f>
        <v>1</v>
      </c>
      <c r="AE366" s="7">
        <f t="shared" si="2203"/>
        <v>1</v>
      </c>
      <c r="AF366" s="7">
        <f t="shared" si="2203"/>
        <v>1</v>
      </c>
      <c r="AG366" s="7">
        <f t="shared" si="25"/>
        <v>1</v>
      </c>
    </row>
    <row r="367">
      <c r="A367" s="4" t="s">
        <v>1039</v>
      </c>
      <c r="B367" s="4" t="s">
        <v>1040</v>
      </c>
      <c r="C367" s="4" t="s">
        <v>1041</v>
      </c>
      <c r="D367" s="5">
        <v>18474.0</v>
      </c>
      <c r="E367" s="6">
        <f t="shared" si="7"/>
        <v>882</v>
      </c>
      <c r="F367" s="7">
        <f t="shared" ref="F367:G367" si="2204">ROUND(RAND(),2)</f>
        <v>0.29</v>
      </c>
      <c r="G367" s="7">
        <f t="shared" si="2204"/>
        <v>0.83</v>
      </c>
      <c r="H367" s="7">
        <f t="shared" si="9"/>
        <v>3</v>
      </c>
      <c r="I367" s="7">
        <f t="shared" si="10"/>
        <v>94467</v>
      </c>
      <c r="J367" s="7">
        <f t="shared" si="11"/>
        <v>18765</v>
      </c>
      <c r="K367" s="7" t="str">
        <f t="shared" si="12"/>
        <v>B</v>
      </c>
      <c r="L367" s="7" t="str">
        <f t="shared" si="13"/>
        <v>Transformative change</v>
      </c>
      <c r="M367" s="7" t="str">
        <f t="shared" si="14"/>
        <v>High</v>
      </c>
      <c r="N367" s="7">
        <f t="shared" si="15"/>
        <v>2616666</v>
      </c>
      <c r="O367" s="7">
        <f t="shared" si="16"/>
        <v>1205592.246</v>
      </c>
      <c r="P367" s="7">
        <f t="shared" ref="P367:Q367" si="2205">RANDBETWEEN(0,22)</f>
        <v>5</v>
      </c>
      <c r="Q367" s="7">
        <f t="shared" si="2205"/>
        <v>9</v>
      </c>
      <c r="R367" s="7">
        <f t="shared" ref="R367:T367" si="2206">IF(S367=1,1,RANDBETWEEN(0,1))</f>
        <v>1</v>
      </c>
      <c r="S367" s="7">
        <f t="shared" si="2206"/>
        <v>1</v>
      </c>
      <c r="T367" s="7">
        <f t="shared" si="2206"/>
        <v>1</v>
      </c>
      <c r="U367" s="7">
        <f t="shared" si="19"/>
        <v>0</v>
      </c>
      <c r="V367" s="7">
        <f t="shared" ref="V367:X367" si="2207">IF(W367=1,1,RANDBETWEEN(0,1))</f>
        <v>1</v>
      </c>
      <c r="W367" s="7">
        <f t="shared" si="2207"/>
        <v>1</v>
      </c>
      <c r="X367" s="7">
        <f t="shared" si="2207"/>
        <v>0</v>
      </c>
      <c r="Y367" s="7">
        <f t="shared" si="21"/>
        <v>0</v>
      </c>
      <c r="Z367" s="7">
        <f t="shared" ref="Z367:AB367" si="2208">IF(AA367=1,1,RANDBETWEEN(0,1))</f>
        <v>1</v>
      </c>
      <c r="AA367" s="7">
        <f t="shared" si="2208"/>
        <v>1</v>
      </c>
      <c r="AB367" s="7">
        <f t="shared" si="2208"/>
        <v>1</v>
      </c>
      <c r="AC367" s="7">
        <f t="shared" si="23"/>
        <v>1</v>
      </c>
      <c r="AD367" s="7">
        <f t="shared" ref="AD367:AF367" si="2209">IF(AE367=1,1,RANDBETWEEN(0,1))</f>
        <v>1</v>
      </c>
      <c r="AE367" s="7">
        <f t="shared" si="2209"/>
        <v>1</v>
      </c>
      <c r="AF367" s="7">
        <f t="shared" si="2209"/>
        <v>1</v>
      </c>
      <c r="AG367" s="7">
        <f t="shared" si="25"/>
        <v>0</v>
      </c>
    </row>
    <row r="368">
      <c r="A368" s="4" t="s">
        <v>1042</v>
      </c>
      <c r="B368" s="4" t="s">
        <v>1043</v>
      </c>
      <c r="C368" s="4" t="s">
        <v>1044</v>
      </c>
      <c r="D368" s="5">
        <v>9325.0</v>
      </c>
      <c r="E368" s="6">
        <f t="shared" si="7"/>
        <v>866</v>
      </c>
      <c r="F368" s="7">
        <f t="shared" ref="F368:G368" si="2210">ROUND(RAND(),2)</f>
        <v>0.83</v>
      </c>
      <c r="G368" s="7">
        <f t="shared" si="2210"/>
        <v>0.57</v>
      </c>
      <c r="H368" s="7">
        <f t="shared" si="9"/>
        <v>1</v>
      </c>
      <c r="I368" s="7">
        <f t="shared" si="10"/>
        <v>46254</v>
      </c>
      <c r="J368" s="7">
        <f t="shared" si="11"/>
        <v>41924</v>
      </c>
      <c r="K368" s="7" t="str">
        <f t="shared" si="12"/>
        <v>E</v>
      </c>
      <c r="L368" s="7" t="str">
        <f t="shared" si="13"/>
        <v>Transformative change</v>
      </c>
      <c r="M368" s="7" t="str">
        <f t="shared" si="14"/>
        <v>High</v>
      </c>
      <c r="N368" s="7">
        <f t="shared" si="15"/>
        <v>2780156</v>
      </c>
      <c r="O368" s="7">
        <f t="shared" si="16"/>
        <v>2765166.276</v>
      </c>
      <c r="P368" s="7">
        <f t="shared" ref="P368:Q368" si="2211">RANDBETWEEN(0,22)</f>
        <v>19</v>
      </c>
      <c r="Q368" s="7">
        <f t="shared" si="2211"/>
        <v>8</v>
      </c>
      <c r="R368" s="7">
        <f t="shared" ref="R368:T368" si="2212">IF(S368=1,1,RANDBETWEEN(0,1))</f>
        <v>1</v>
      </c>
      <c r="S368" s="7">
        <f t="shared" si="2212"/>
        <v>1</v>
      </c>
      <c r="T368" s="7">
        <f t="shared" si="2212"/>
        <v>1</v>
      </c>
      <c r="U368" s="7">
        <f t="shared" si="19"/>
        <v>1</v>
      </c>
      <c r="V368" s="7">
        <f t="shared" ref="V368:X368" si="2213">IF(W368=1,1,RANDBETWEEN(0,1))</f>
        <v>1</v>
      </c>
      <c r="W368" s="7">
        <f t="shared" si="2213"/>
        <v>0</v>
      </c>
      <c r="X368" s="7">
        <f t="shared" si="2213"/>
        <v>0</v>
      </c>
      <c r="Y368" s="7">
        <f t="shared" si="21"/>
        <v>0</v>
      </c>
      <c r="Z368" s="7">
        <f t="shared" ref="Z368:AB368" si="2214">IF(AA368=1,1,RANDBETWEEN(0,1))</f>
        <v>1</v>
      </c>
      <c r="AA368" s="7">
        <f t="shared" si="2214"/>
        <v>0</v>
      </c>
      <c r="AB368" s="7">
        <f t="shared" si="2214"/>
        <v>0</v>
      </c>
      <c r="AC368" s="7">
        <f t="shared" si="23"/>
        <v>0</v>
      </c>
      <c r="AD368" s="7">
        <f t="shared" ref="AD368:AF368" si="2215">IF(AE368=1,1,RANDBETWEEN(0,1))</f>
        <v>1</v>
      </c>
      <c r="AE368" s="7">
        <f t="shared" si="2215"/>
        <v>1</v>
      </c>
      <c r="AF368" s="7">
        <f t="shared" si="2215"/>
        <v>1</v>
      </c>
      <c r="AG368" s="7">
        <f t="shared" si="25"/>
        <v>1</v>
      </c>
    </row>
    <row r="369">
      <c r="A369" s="4" t="s">
        <v>1045</v>
      </c>
      <c r="B369" s="4" t="s">
        <v>1046</v>
      </c>
      <c r="C369" s="4" t="s">
        <v>1047</v>
      </c>
      <c r="D369" s="5">
        <v>26751.0</v>
      </c>
      <c r="E369" s="6">
        <f t="shared" si="7"/>
        <v>1073</v>
      </c>
      <c r="F369" s="7">
        <f t="shared" ref="F369:G369" si="2216">ROUND(RAND(),2)</f>
        <v>0.55</v>
      </c>
      <c r="G369" s="7">
        <f t="shared" si="2216"/>
        <v>0.83</v>
      </c>
      <c r="H369" s="7">
        <f t="shared" si="9"/>
        <v>5</v>
      </c>
      <c r="I369" s="7">
        <f t="shared" si="10"/>
        <v>95673</v>
      </c>
      <c r="J369" s="7">
        <f t="shared" si="11"/>
        <v>38351</v>
      </c>
      <c r="K369" s="7" t="str">
        <f t="shared" si="12"/>
        <v>F</v>
      </c>
      <c r="L369" s="7" t="str">
        <f t="shared" si="13"/>
        <v>Transformative change</v>
      </c>
      <c r="M369" s="7" t="str">
        <f t="shared" si="14"/>
        <v>Low</v>
      </c>
      <c r="N369" s="7">
        <f t="shared" si="15"/>
        <v>2922720</v>
      </c>
      <c r="O369" s="7">
        <f t="shared" si="16"/>
        <v>1579969.555</v>
      </c>
      <c r="P369" s="7">
        <f t="shared" ref="P369:Q369" si="2217">RANDBETWEEN(0,22)</f>
        <v>14</v>
      </c>
      <c r="Q369" s="7">
        <f t="shared" si="2217"/>
        <v>10</v>
      </c>
      <c r="R369" s="7">
        <f t="shared" ref="R369:T369" si="2218">IF(S369=1,1,RANDBETWEEN(0,1))</f>
        <v>1</v>
      </c>
      <c r="S369" s="7">
        <f t="shared" si="2218"/>
        <v>1</v>
      </c>
      <c r="T369" s="7">
        <f t="shared" si="2218"/>
        <v>1</v>
      </c>
      <c r="U369" s="7">
        <f t="shared" si="19"/>
        <v>1</v>
      </c>
      <c r="V369" s="7">
        <f t="shared" ref="V369:X369" si="2219">IF(W369=1,1,RANDBETWEEN(0,1))</f>
        <v>1</v>
      </c>
      <c r="W369" s="7">
        <f t="shared" si="2219"/>
        <v>1</v>
      </c>
      <c r="X369" s="7">
        <f t="shared" si="2219"/>
        <v>0</v>
      </c>
      <c r="Y369" s="7">
        <f t="shared" si="21"/>
        <v>0</v>
      </c>
      <c r="Z369" s="7">
        <f t="shared" ref="Z369:AB369" si="2220">IF(AA369=1,1,RANDBETWEEN(0,1))</f>
        <v>1</v>
      </c>
      <c r="AA369" s="7">
        <f t="shared" si="2220"/>
        <v>1</v>
      </c>
      <c r="AB369" s="7">
        <f t="shared" si="2220"/>
        <v>1</v>
      </c>
      <c r="AC369" s="7">
        <f t="shared" si="23"/>
        <v>1</v>
      </c>
      <c r="AD369" s="7">
        <f t="shared" ref="AD369:AF369" si="2221">IF(AE369=1,1,RANDBETWEEN(0,1))</f>
        <v>1</v>
      </c>
      <c r="AE369" s="7">
        <f t="shared" si="2221"/>
        <v>1</v>
      </c>
      <c r="AF369" s="7">
        <f t="shared" si="2221"/>
        <v>1</v>
      </c>
      <c r="AG369" s="7">
        <f t="shared" si="25"/>
        <v>1</v>
      </c>
    </row>
    <row r="370">
      <c r="A370" s="4" t="s">
        <v>1048</v>
      </c>
      <c r="B370" s="4" t="s">
        <v>1049</v>
      </c>
      <c r="C370" s="4" t="s">
        <v>1050</v>
      </c>
      <c r="D370" s="5">
        <v>19645.0</v>
      </c>
      <c r="E370" s="6">
        <f t="shared" si="7"/>
        <v>803</v>
      </c>
      <c r="F370" s="7">
        <f t="shared" ref="F370:G370" si="2222">ROUND(RAND(),2)</f>
        <v>0.71</v>
      </c>
      <c r="G370" s="7">
        <f t="shared" si="2222"/>
        <v>0.61</v>
      </c>
      <c r="H370" s="7">
        <f t="shared" si="9"/>
        <v>1</v>
      </c>
      <c r="I370" s="7">
        <f t="shared" si="10"/>
        <v>54992</v>
      </c>
      <c r="J370" s="7">
        <f t="shared" si="11"/>
        <v>23785</v>
      </c>
      <c r="K370" s="7" t="str">
        <f t="shared" si="12"/>
        <v>D</v>
      </c>
      <c r="L370" s="7" t="str">
        <f t="shared" si="13"/>
        <v>High ambition</v>
      </c>
      <c r="M370" s="7" t="str">
        <f t="shared" si="14"/>
        <v>High</v>
      </c>
      <c r="N370" s="7">
        <f t="shared" si="15"/>
        <v>468767</v>
      </c>
      <c r="O370" s="7">
        <f t="shared" si="16"/>
        <v>117742.2877</v>
      </c>
      <c r="P370" s="7">
        <f t="shared" ref="P370:Q370" si="2223">RANDBETWEEN(0,22)</f>
        <v>0</v>
      </c>
      <c r="Q370" s="7">
        <f t="shared" si="2223"/>
        <v>17</v>
      </c>
      <c r="R370" s="7">
        <f t="shared" ref="R370:T370" si="2224">IF(S370=1,1,RANDBETWEEN(0,1))</f>
        <v>1</v>
      </c>
      <c r="S370" s="7">
        <f t="shared" si="2224"/>
        <v>1</v>
      </c>
      <c r="T370" s="7">
        <f t="shared" si="2224"/>
        <v>1</v>
      </c>
      <c r="U370" s="7">
        <f t="shared" si="19"/>
        <v>1</v>
      </c>
      <c r="V370" s="7">
        <f t="shared" ref="V370:X370" si="2225">IF(W370=1,1,RANDBETWEEN(0,1))</f>
        <v>1</v>
      </c>
      <c r="W370" s="7">
        <f t="shared" si="2225"/>
        <v>1</v>
      </c>
      <c r="X370" s="7">
        <f t="shared" si="2225"/>
        <v>1</v>
      </c>
      <c r="Y370" s="7">
        <f t="shared" si="21"/>
        <v>1</v>
      </c>
      <c r="Z370" s="7">
        <f t="shared" ref="Z370:AB370" si="2226">IF(AA370=1,1,RANDBETWEEN(0,1))</f>
        <v>1</v>
      </c>
      <c r="AA370" s="7">
        <f t="shared" si="2226"/>
        <v>1</v>
      </c>
      <c r="AB370" s="7">
        <f t="shared" si="2226"/>
        <v>1</v>
      </c>
      <c r="AC370" s="7">
        <f t="shared" si="23"/>
        <v>0</v>
      </c>
      <c r="AD370" s="7">
        <f t="shared" ref="AD370:AF370" si="2227">IF(AE370=1,1,RANDBETWEEN(0,1))</f>
        <v>1</v>
      </c>
      <c r="AE370" s="7">
        <f t="shared" si="2227"/>
        <v>1</v>
      </c>
      <c r="AF370" s="7">
        <f t="shared" si="2227"/>
        <v>1</v>
      </c>
      <c r="AG370" s="7">
        <f t="shared" si="25"/>
        <v>1</v>
      </c>
    </row>
    <row r="371">
      <c r="A371" s="4" t="s">
        <v>1051</v>
      </c>
      <c r="B371" s="4" t="s">
        <v>1052</v>
      </c>
      <c r="C371" s="4" t="s">
        <v>1053</v>
      </c>
      <c r="D371" s="5">
        <v>428394.0</v>
      </c>
      <c r="E371" s="6">
        <f t="shared" si="7"/>
        <v>1274.98</v>
      </c>
      <c r="F371" s="7">
        <f t="shared" ref="F371:G371" si="2228">ROUND(RAND(),2)</f>
        <v>0.85</v>
      </c>
      <c r="G371" s="7">
        <f t="shared" si="2228"/>
        <v>0.55</v>
      </c>
      <c r="H371" s="7">
        <f t="shared" si="9"/>
        <v>5</v>
      </c>
      <c r="I371" s="7">
        <f t="shared" si="10"/>
        <v>64812</v>
      </c>
      <c r="J371" s="7">
        <f t="shared" si="11"/>
        <v>4568</v>
      </c>
      <c r="K371" s="7" t="str">
        <f t="shared" si="12"/>
        <v>G</v>
      </c>
      <c r="L371" s="7" t="str">
        <f t="shared" si="13"/>
        <v>Transformative change</v>
      </c>
      <c r="M371" s="7" t="str">
        <f t="shared" si="14"/>
        <v>Low</v>
      </c>
      <c r="N371" s="7">
        <f t="shared" si="15"/>
        <v>2831823</v>
      </c>
      <c r="O371" s="7">
        <f t="shared" si="16"/>
        <v>363994.9759</v>
      </c>
      <c r="P371" s="7">
        <f t="shared" ref="P371:Q371" si="2229">RANDBETWEEN(0,22)</f>
        <v>16</v>
      </c>
      <c r="Q371" s="7">
        <f t="shared" si="2229"/>
        <v>14</v>
      </c>
      <c r="R371" s="7">
        <f t="shared" ref="R371:T371" si="2230">IF(S371=1,1,RANDBETWEEN(0,1))</f>
        <v>1</v>
      </c>
      <c r="S371" s="7">
        <f t="shared" si="2230"/>
        <v>1</v>
      </c>
      <c r="T371" s="7">
        <f t="shared" si="2230"/>
        <v>1</v>
      </c>
      <c r="U371" s="7">
        <f t="shared" si="19"/>
        <v>1</v>
      </c>
      <c r="V371" s="7">
        <f t="shared" ref="V371:X371" si="2231">IF(W371=1,1,RANDBETWEEN(0,1))</f>
        <v>1</v>
      </c>
      <c r="W371" s="7">
        <f t="shared" si="2231"/>
        <v>1</v>
      </c>
      <c r="X371" s="7">
        <f t="shared" si="2231"/>
        <v>1</v>
      </c>
      <c r="Y371" s="7">
        <f t="shared" si="21"/>
        <v>0</v>
      </c>
      <c r="Z371" s="7">
        <f t="shared" ref="Z371:AB371" si="2232">IF(AA371=1,1,RANDBETWEEN(0,1))</f>
        <v>1</v>
      </c>
      <c r="AA371" s="7">
        <f t="shared" si="2232"/>
        <v>1</v>
      </c>
      <c r="AB371" s="7">
        <f t="shared" si="2232"/>
        <v>1</v>
      </c>
      <c r="AC371" s="7">
        <f t="shared" si="23"/>
        <v>1</v>
      </c>
      <c r="AD371" s="7">
        <f t="shared" ref="AD371:AF371" si="2233">IF(AE371=1,1,RANDBETWEEN(0,1))</f>
        <v>1</v>
      </c>
      <c r="AE371" s="7">
        <f t="shared" si="2233"/>
        <v>1</v>
      </c>
      <c r="AF371" s="7">
        <f t="shared" si="2233"/>
        <v>1</v>
      </c>
      <c r="AG371" s="7">
        <f t="shared" si="25"/>
        <v>1</v>
      </c>
    </row>
    <row r="372">
      <c r="A372" s="4" t="s">
        <v>1054</v>
      </c>
      <c r="B372" s="4" t="s">
        <v>1055</v>
      </c>
      <c r="C372" s="4" t="s">
        <v>1056</v>
      </c>
      <c r="D372" s="5">
        <v>5570.0</v>
      </c>
      <c r="E372" s="6">
        <f t="shared" si="7"/>
        <v>1024</v>
      </c>
      <c r="F372" s="7">
        <f t="shared" ref="F372:G372" si="2234">ROUND(RAND(),2)</f>
        <v>0.27</v>
      </c>
      <c r="G372" s="7">
        <f t="shared" si="2234"/>
        <v>0.91</v>
      </c>
      <c r="H372" s="7">
        <f t="shared" si="9"/>
        <v>2</v>
      </c>
      <c r="I372" s="7">
        <f t="shared" si="10"/>
        <v>24708</v>
      </c>
      <c r="J372" s="7">
        <f t="shared" si="11"/>
        <v>63749</v>
      </c>
      <c r="K372" s="7" t="str">
        <f t="shared" si="12"/>
        <v>C</v>
      </c>
      <c r="L372" s="7" t="str">
        <f t="shared" si="13"/>
        <v>Transformative change</v>
      </c>
      <c r="M372" s="7" t="str">
        <f t="shared" si="14"/>
        <v>Medium</v>
      </c>
      <c r="N372" s="7">
        <f t="shared" si="15"/>
        <v>182222</v>
      </c>
      <c r="O372" s="7">
        <f t="shared" si="16"/>
        <v>165136.2279</v>
      </c>
      <c r="P372" s="7">
        <f t="shared" ref="P372:Q372" si="2235">RANDBETWEEN(0,22)</f>
        <v>6</v>
      </c>
      <c r="Q372" s="7">
        <f t="shared" si="2235"/>
        <v>4</v>
      </c>
      <c r="R372" s="7">
        <f t="shared" ref="R372:T372" si="2236">IF(S372=1,1,RANDBETWEEN(0,1))</f>
        <v>1</v>
      </c>
      <c r="S372" s="7">
        <f t="shared" si="2236"/>
        <v>1</v>
      </c>
      <c r="T372" s="7">
        <f t="shared" si="2236"/>
        <v>1</v>
      </c>
      <c r="U372" s="7">
        <f t="shared" si="19"/>
        <v>0</v>
      </c>
      <c r="V372" s="7">
        <f t="shared" ref="V372:X372" si="2237">IF(W372=1,1,RANDBETWEEN(0,1))</f>
        <v>0</v>
      </c>
      <c r="W372" s="7">
        <f t="shared" si="2237"/>
        <v>0</v>
      </c>
      <c r="X372" s="7">
        <f t="shared" si="2237"/>
        <v>0</v>
      </c>
      <c r="Y372" s="7">
        <f t="shared" si="21"/>
        <v>0</v>
      </c>
      <c r="Z372" s="7">
        <f t="shared" ref="Z372:AB372" si="2238">IF(AA372=1,1,RANDBETWEEN(0,1))</f>
        <v>1</v>
      </c>
      <c r="AA372" s="7">
        <f t="shared" si="2238"/>
        <v>1</v>
      </c>
      <c r="AB372" s="7">
        <f t="shared" si="2238"/>
        <v>1</v>
      </c>
      <c r="AC372" s="7">
        <f t="shared" si="23"/>
        <v>1</v>
      </c>
      <c r="AD372" s="7">
        <f t="shared" ref="AD372:AF372" si="2239">IF(AE372=1,1,RANDBETWEEN(0,1))</f>
        <v>1</v>
      </c>
      <c r="AE372" s="7">
        <f t="shared" si="2239"/>
        <v>1</v>
      </c>
      <c r="AF372" s="7">
        <f t="shared" si="2239"/>
        <v>1</v>
      </c>
      <c r="AG372" s="7">
        <f t="shared" si="25"/>
        <v>1</v>
      </c>
    </row>
    <row r="373">
      <c r="A373" s="4" t="s">
        <v>1057</v>
      </c>
      <c r="B373" s="4" t="s">
        <v>1058</v>
      </c>
      <c r="C373" s="4" t="s">
        <v>1059</v>
      </c>
      <c r="D373" s="5">
        <v>141755.0</v>
      </c>
      <c r="E373" s="6">
        <f t="shared" si="7"/>
        <v>1097</v>
      </c>
      <c r="F373" s="7">
        <f t="shared" ref="F373:G373" si="2240">ROUND(RAND(),2)</f>
        <v>0.98</v>
      </c>
      <c r="G373" s="7">
        <f t="shared" si="2240"/>
        <v>0.81</v>
      </c>
      <c r="H373" s="7">
        <f t="shared" si="9"/>
        <v>4</v>
      </c>
      <c r="I373" s="7">
        <f t="shared" si="10"/>
        <v>66823</v>
      </c>
      <c r="J373" s="7">
        <f t="shared" si="11"/>
        <v>47179</v>
      </c>
      <c r="K373" s="7" t="str">
        <f t="shared" si="12"/>
        <v>F</v>
      </c>
      <c r="L373" s="7" t="str">
        <f t="shared" si="13"/>
        <v>Transformative change</v>
      </c>
      <c r="M373" s="7" t="str">
        <f t="shared" si="14"/>
        <v>High</v>
      </c>
      <c r="N373" s="7">
        <f t="shared" si="15"/>
        <v>1841262</v>
      </c>
      <c r="O373" s="7">
        <f t="shared" si="16"/>
        <v>1719162.724</v>
      </c>
      <c r="P373" s="7">
        <f t="shared" ref="P373:Q373" si="2241">RANDBETWEEN(0,22)</f>
        <v>1</v>
      </c>
      <c r="Q373" s="7">
        <f t="shared" si="2241"/>
        <v>1</v>
      </c>
      <c r="R373" s="7">
        <f t="shared" ref="R373:T373" si="2242">IF(S373=1,1,RANDBETWEEN(0,1))</f>
        <v>1</v>
      </c>
      <c r="S373" s="7">
        <f t="shared" si="2242"/>
        <v>1</v>
      </c>
      <c r="T373" s="7">
        <f t="shared" si="2242"/>
        <v>1</v>
      </c>
      <c r="U373" s="7">
        <f t="shared" si="19"/>
        <v>1</v>
      </c>
      <c r="V373" s="7">
        <f t="shared" ref="V373:X373" si="2243">IF(W373=1,1,RANDBETWEEN(0,1))</f>
        <v>0</v>
      </c>
      <c r="W373" s="7">
        <f t="shared" si="2243"/>
        <v>0</v>
      </c>
      <c r="X373" s="7">
        <f t="shared" si="2243"/>
        <v>0</v>
      </c>
      <c r="Y373" s="7">
        <f t="shared" si="21"/>
        <v>0</v>
      </c>
      <c r="Z373" s="7">
        <f t="shared" ref="Z373:AB373" si="2244">IF(AA373=1,1,RANDBETWEEN(0,1))</f>
        <v>1</v>
      </c>
      <c r="AA373" s="7">
        <f t="shared" si="2244"/>
        <v>0</v>
      </c>
      <c r="AB373" s="7">
        <f t="shared" si="2244"/>
        <v>0</v>
      </c>
      <c r="AC373" s="7">
        <f t="shared" si="23"/>
        <v>0</v>
      </c>
      <c r="AD373" s="7">
        <f t="shared" ref="AD373:AF373" si="2245">IF(AE373=1,1,RANDBETWEEN(0,1))</f>
        <v>1</v>
      </c>
      <c r="AE373" s="7">
        <f t="shared" si="2245"/>
        <v>1</v>
      </c>
      <c r="AF373" s="7">
        <f t="shared" si="2245"/>
        <v>1</v>
      </c>
      <c r="AG373" s="7">
        <f t="shared" si="25"/>
        <v>1</v>
      </c>
    </row>
    <row r="374">
      <c r="A374" s="4" t="s">
        <v>1060</v>
      </c>
      <c r="B374" s="4" t="s">
        <v>1061</v>
      </c>
      <c r="C374" s="4" t="s">
        <v>1062</v>
      </c>
      <c r="D374" s="5">
        <v>13521.0</v>
      </c>
      <c r="E374" s="6">
        <f t="shared" si="7"/>
        <v>844</v>
      </c>
      <c r="F374" s="7">
        <f t="shared" ref="F374:G374" si="2246">ROUND(RAND(),2)</f>
        <v>0.86</v>
      </c>
      <c r="G374" s="7">
        <f t="shared" si="2246"/>
        <v>0.04</v>
      </c>
      <c r="H374" s="7">
        <f t="shared" si="9"/>
        <v>2</v>
      </c>
      <c r="I374" s="7">
        <f t="shared" si="10"/>
        <v>3527</v>
      </c>
      <c r="J374" s="7">
        <f t="shared" si="11"/>
        <v>27696</v>
      </c>
      <c r="K374" s="7" t="str">
        <f t="shared" si="12"/>
        <v>F</v>
      </c>
      <c r="L374" s="7" t="str">
        <f t="shared" si="13"/>
        <v>High ambition</v>
      </c>
      <c r="M374" s="7" t="str">
        <f t="shared" si="14"/>
        <v>High</v>
      </c>
      <c r="N374" s="7">
        <f t="shared" si="15"/>
        <v>804842</v>
      </c>
      <c r="O374" s="7">
        <f t="shared" si="16"/>
        <v>95157.58567</v>
      </c>
      <c r="P374" s="7">
        <f t="shared" ref="P374:Q374" si="2247">RANDBETWEEN(0,22)</f>
        <v>22</v>
      </c>
      <c r="Q374" s="7">
        <f t="shared" si="2247"/>
        <v>19</v>
      </c>
      <c r="R374" s="7">
        <f t="shared" ref="R374:T374" si="2248">IF(S374=1,1,RANDBETWEEN(0,1))</f>
        <v>1</v>
      </c>
      <c r="S374" s="7">
        <f t="shared" si="2248"/>
        <v>1</v>
      </c>
      <c r="T374" s="7">
        <f t="shared" si="2248"/>
        <v>1</v>
      </c>
      <c r="U374" s="7">
        <f t="shared" si="19"/>
        <v>1</v>
      </c>
      <c r="V374" s="7">
        <f t="shared" ref="V374:X374" si="2249">IF(W374=1,1,RANDBETWEEN(0,1))</f>
        <v>1</v>
      </c>
      <c r="W374" s="7">
        <f t="shared" si="2249"/>
        <v>1</v>
      </c>
      <c r="X374" s="7">
        <f t="shared" si="2249"/>
        <v>1</v>
      </c>
      <c r="Y374" s="7">
        <f t="shared" si="21"/>
        <v>1</v>
      </c>
      <c r="Z374" s="7">
        <f t="shared" ref="Z374:AB374" si="2250">IF(AA374=1,1,RANDBETWEEN(0,1))</f>
        <v>1</v>
      </c>
      <c r="AA374" s="7">
        <f t="shared" si="2250"/>
        <v>1</v>
      </c>
      <c r="AB374" s="7">
        <f t="shared" si="2250"/>
        <v>1</v>
      </c>
      <c r="AC374" s="7">
        <f t="shared" si="23"/>
        <v>1</v>
      </c>
      <c r="AD374" s="7">
        <f t="shared" ref="AD374:AF374" si="2251">IF(AE374=1,1,RANDBETWEEN(0,1))</f>
        <v>1</v>
      </c>
      <c r="AE374" s="7">
        <f t="shared" si="2251"/>
        <v>1</v>
      </c>
      <c r="AF374" s="7">
        <f t="shared" si="2251"/>
        <v>1</v>
      </c>
      <c r="AG374" s="7">
        <f t="shared" si="25"/>
        <v>0</v>
      </c>
    </row>
    <row r="375">
      <c r="A375" s="4" t="s">
        <v>121</v>
      </c>
      <c r="B375" s="4" t="s">
        <v>1063</v>
      </c>
      <c r="C375" s="4" t="s">
        <v>1064</v>
      </c>
      <c r="D375" s="5">
        <v>464599.0</v>
      </c>
      <c r="E375" s="6">
        <f t="shared" si="7"/>
        <v>1508.44</v>
      </c>
      <c r="F375" s="7">
        <f t="shared" ref="F375:G375" si="2252">ROUND(RAND(),2)</f>
        <v>0.5</v>
      </c>
      <c r="G375" s="7">
        <f t="shared" si="2252"/>
        <v>0.14</v>
      </c>
      <c r="H375" s="7">
        <f t="shared" si="9"/>
        <v>2</v>
      </c>
      <c r="I375" s="7">
        <f t="shared" si="10"/>
        <v>69992</v>
      </c>
      <c r="J375" s="7">
        <f t="shared" si="11"/>
        <v>40690</v>
      </c>
      <c r="K375" s="7" t="str">
        <f t="shared" si="12"/>
        <v>F</v>
      </c>
      <c r="L375" s="7" t="str">
        <f t="shared" si="13"/>
        <v>Transformative change</v>
      </c>
      <c r="M375" s="7" t="str">
        <f t="shared" si="14"/>
        <v>Medium</v>
      </c>
      <c r="N375" s="7">
        <f t="shared" si="15"/>
        <v>2123037</v>
      </c>
      <c r="O375" s="7">
        <f t="shared" si="16"/>
        <v>144886.7635</v>
      </c>
      <c r="P375" s="7">
        <f t="shared" ref="P375:Q375" si="2253">RANDBETWEEN(0,22)</f>
        <v>0</v>
      </c>
      <c r="Q375" s="7">
        <f t="shared" si="2253"/>
        <v>16</v>
      </c>
      <c r="R375" s="7">
        <f t="shared" ref="R375:T375" si="2254">IF(S375=1,1,RANDBETWEEN(0,1))</f>
        <v>1</v>
      </c>
      <c r="S375" s="7">
        <f t="shared" si="2254"/>
        <v>1</v>
      </c>
      <c r="T375" s="7">
        <f t="shared" si="2254"/>
        <v>1</v>
      </c>
      <c r="U375" s="7">
        <f t="shared" si="19"/>
        <v>1</v>
      </c>
      <c r="V375" s="7">
        <f t="shared" ref="V375:X375" si="2255">IF(W375=1,1,RANDBETWEEN(0,1))</f>
        <v>1</v>
      </c>
      <c r="W375" s="7">
        <f t="shared" si="2255"/>
        <v>0</v>
      </c>
      <c r="X375" s="7">
        <f t="shared" si="2255"/>
        <v>0</v>
      </c>
      <c r="Y375" s="7">
        <f t="shared" si="21"/>
        <v>0</v>
      </c>
      <c r="Z375" s="7">
        <f t="shared" ref="Z375:AB375" si="2256">IF(AA375=1,1,RANDBETWEEN(0,1))</f>
        <v>1</v>
      </c>
      <c r="AA375" s="7">
        <f t="shared" si="2256"/>
        <v>1</v>
      </c>
      <c r="AB375" s="7">
        <f t="shared" si="2256"/>
        <v>1</v>
      </c>
      <c r="AC375" s="7">
        <f t="shared" si="23"/>
        <v>1</v>
      </c>
      <c r="AD375" s="7">
        <f t="shared" ref="AD375:AF375" si="2257">IF(AE375=1,1,RANDBETWEEN(0,1))</f>
        <v>1</v>
      </c>
      <c r="AE375" s="7">
        <f t="shared" si="2257"/>
        <v>0</v>
      </c>
      <c r="AF375" s="7">
        <f t="shared" si="2257"/>
        <v>0</v>
      </c>
      <c r="AG375" s="7">
        <f t="shared" si="25"/>
        <v>0</v>
      </c>
    </row>
    <row r="376">
      <c r="A376" s="4" t="s">
        <v>1065</v>
      </c>
      <c r="B376" s="4" t="s">
        <v>1066</v>
      </c>
      <c r="C376" s="4" t="s">
        <v>1067</v>
      </c>
      <c r="D376" s="5">
        <v>9542.0</v>
      </c>
      <c r="E376" s="6">
        <f t="shared" si="7"/>
        <v>965</v>
      </c>
      <c r="F376" s="7">
        <f t="shared" ref="F376:G376" si="2258">ROUND(RAND(),2)</f>
        <v>0.76</v>
      </c>
      <c r="G376" s="7">
        <f t="shared" si="2258"/>
        <v>0.43</v>
      </c>
      <c r="H376" s="7">
        <f t="shared" si="9"/>
        <v>1</v>
      </c>
      <c r="I376" s="7">
        <f t="shared" si="10"/>
        <v>34790</v>
      </c>
      <c r="J376" s="7">
        <f t="shared" si="11"/>
        <v>42093</v>
      </c>
      <c r="K376" s="7" t="str">
        <f t="shared" si="12"/>
        <v>C</v>
      </c>
      <c r="L376" s="7" t="str">
        <f t="shared" si="13"/>
        <v>Transformative change</v>
      </c>
      <c r="M376" s="7" t="str">
        <f t="shared" si="14"/>
        <v>Medium</v>
      </c>
      <c r="N376" s="7">
        <f t="shared" si="15"/>
        <v>3855108</v>
      </c>
      <c r="O376" s="7">
        <f t="shared" si="16"/>
        <v>910656.9036</v>
      </c>
      <c r="P376" s="7">
        <f t="shared" ref="P376:Q376" si="2259">RANDBETWEEN(0,22)</f>
        <v>22</v>
      </c>
      <c r="Q376" s="7">
        <f t="shared" si="2259"/>
        <v>21</v>
      </c>
      <c r="R376" s="7">
        <f t="shared" ref="R376:T376" si="2260">IF(S376=1,1,RANDBETWEEN(0,1))</f>
        <v>1</v>
      </c>
      <c r="S376" s="7">
        <f t="shared" si="2260"/>
        <v>1</v>
      </c>
      <c r="T376" s="7">
        <f t="shared" si="2260"/>
        <v>1</v>
      </c>
      <c r="U376" s="7">
        <f t="shared" si="19"/>
        <v>1</v>
      </c>
      <c r="V376" s="7">
        <f t="shared" ref="V376:X376" si="2261">IF(W376=1,1,RANDBETWEEN(0,1))</f>
        <v>1</v>
      </c>
      <c r="W376" s="7">
        <f t="shared" si="2261"/>
        <v>1</v>
      </c>
      <c r="X376" s="7">
        <f t="shared" si="2261"/>
        <v>0</v>
      </c>
      <c r="Y376" s="7">
        <f t="shared" si="21"/>
        <v>0</v>
      </c>
      <c r="Z376" s="7">
        <f t="shared" ref="Z376:AB376" si="2262">IF(AA376=1,1,RANDBETWEEN(0,1))</f>
        <v>1</v>
      </c>
      <c r="AA376" s="7">
        <f t="shared" si="2262"/>
        <v>1</v>
      </c>
      <c r="AB376" s="7">
        <f t="shared" si="2262"/>
        <v>1</v>
      </c>
      <c r="AC376" s="7">
        <f t="shared" si="23"/>
        <v>0</v>
      </c>
      <c r="AD376" s="7">
        <f t="shared" ref="AD376:AF376" si="2263">IF(AE376=1,1,RANDBETWEEN(0,1))</f>
        <v>1</v>
      </c>
      <c r="AE376" s="7">
        <f t="shared" si="2263"/>
        <v>1</v>
      </c>
      <c r="AF376" s="7">
        <f t="shared" si="2263"/>
        <v>1</v>
      </c>
      <c r="AG376" s="7">
        <f t="shared" si="25"/>
        <v>1</v>
      </c>
    </row>
    <row r="377">
      <c r="A377" s="4" t="s">
        <v>1068</v>
      </c>
      <c r="B377" s="4" t="s">
        <v>1069</v>
      </c>
      <c r="C377" s="4" t="s">
        <v>1070</v>
      </c>
      <c r="D377" s="5">
        <v>15563.0</v>
      </c>
      <c r="E377" s="6">
        <f t="shared" si="7"/>
        <v>1074</v>
      </c>
      <c r="F377" s="7">
        <f t="shared" ref="F377:G377" si="2264">ROUND(RAND(),2)</f>
        <v>0.69</v>
      </c>
      <c r="G377" s="7">
        <f t="shared" si="2264"/>
        <v>0.81</v>
      </c>
      <c r="H377" s="7">
        <f t="shared" si="9"/>
        <v>2</v>
      </c>
      <c r="I377" s="7">
        <f t="shared" si="10"/>
        <v>49035</v>
      </c>
      <c r="J377" s="7">
        <f t="shared" si="11"/>
        <v>12820</v>
      </c>
      <c r="K377" s="7" t="str">
        <f t="shared" si="12"/>
        <v>F</v>
      </c>
      <c r="L377" s="7" t="str">
        <f t="shared" si="13"/>
        <v>High ambition</v>
      </c>
      <c r="M377" s="7" t="str">
        <f t="shared" si="14"/>
        <v>High</v>
      </c>
      <c r="N377" s="7">
        <f t="shared" si="15"/>
        <v>2238452</v>
      </c>
      <c r="O377" s="7">
        <f t="shared" si="16"/>
        <v>2090080.636</v>
      </c>
      <c r="P377" s="7">
        <f t="shared" ref="P377:Q377" si="2265">RANDBETWEEN(0,22)</f>
        <v>16</v>
      </c>
      <c r="Q377" s="7">
        <f t="shared" si="2265"/>
        <v>22</v>
      </c>
      <c r="R377" s="7">
        <f t="shared" ref="R377:T377" si="2266">IF(S377=1,1,RANDBETWEEN(0,1))</f>
        <v>0</v>
      </c>
      <c r="S377" s="7">
        <f t="shared" si="2266"/>
        <v>0</v>
      </c>
      <c r="T377" s="7">
        <f t="shared" si="2266"/>
        <v>0</v>
      </c>
      <c r="U377" s="7">
        <f t="shared" si="19"/>
        <v>0</v>
      </c>
      <c r="V377" s="7">
        <f t="shared" ref="V377:X377" si="2267">IF(W377=1,1,RANDBETWEEN(0,1))</f>
        <v>1</v>
      </c>
      <c r="W377" s="7">
        <f t="shared" si="2267"/>
        <v>1</v>
      </c>
      <c r="X377" s="7">
        <f t="shared" si="2267"/>
        <v>0</v>
      </c>
      <c r="Y377" s="7">
        <f t="shared" si="21"/>
        <v>0</v>
      </c>
      <c r="Z377" s="7">
        <f t="shared" ref="Z377:AB377" si="2268">IF(AA377=1,1,RANDBETWEEN(0,1))</f>
        <v>1</v>
      </c>
      <c r="AA377" s="7">
        <f t="shared" si="2268"/>
        <v>1</v>
      </c>
      <c r="AB377" s="7">
        <f t="shared" si="2268"/>
        <v>1</v>
      </c>
      <c r="AC377" s="7">
        <f t="shared" si="23"/>
        <v>1</v>
      </c>
      <c r="AD377" s="7">
        <f t="shared" ref="AD377:AF377" si="2269">IF(AE377=1,1,RANDBETWEEN(0,1))</f>
        <v>1</v>
      </c>
      <c r="AE377" s="7">
        <f t="shared" si="2269"/>
        <v>1</v>
      </c>
      <c r="AF377" s="7">
        <f t="shared" si="2269"/>
        <v>1</v>
      </c>
      <c r="AG377" s="7">
        <f t="shared" si="25"/>
        <v>0</v>
      </c>
    </row>
    <row r="378">
      <c r="A378" s="4" t="s">
        <v>1071</v>
      </c>
      <c r="B378" s="4" t="s">
        <v>1072</v>
      </c>
      <c r="C378" s="4" t="s">
        <v>1073</v>
      </c>
      <c r="D378" s="5">
        <v>16296.0</v>
      </c>
      <c r="E378" s="6">
        <f t="shared" si="7"/>
        <v>860</v>
      </c>
      <c r="F378" s="7">
        <f t="shared" ref="F378:G378" si="2270">ROUND(RAND(),2)</f>
        <v>0.41</v>
      </c>
      <c r="G378" s="7">
        <f t="shared" si="2270"/>
        <v>0.99</v>
      </c>
      <c r="H378" s="7">
        <f t="shared" si="9"/>
        <v>2</v>
      </c>
      <c r="I378" s="7">
        <f t="shared" si="10"/>
        <v>64291</v>
      </c>
      <c r="J378" s="7">
        <f t="shared" si="11"/>
        <v>43627</v>
      </c>
      <c r="K378" s="7" t="str">
        <f t="shared" si="12"/>
        <v>B</v>
      </c>
      <c r="L378" s="7" t="str">
        <f t="shared" si="13"/>
        <v>High ambition</v>
      </c>
      <c r="M378" s="7" t="str">
        <f t="shared" si="14"/>
        <v>Medium</v>
      </c>
      <c r="N378" s="7">
        <f t="shared" si="15"/>
        <v>619455</v>
      </c>
      <c r="O378" s="7">
        <f t="shared" si="16"/>
        <v>179651.1388</v>
      </c>
      <c r="P378" s="7">
        <f t="shared" ref="P378:Q378" si="2271">RANDBETWEEN(0,22)</f>
        <v>9</v>
      </c>
      <c r="Q378" s="7">
        <f t="shared" si="2271"/>
        <v>6</v>
      </c>
      <c r="R378" s="7">
        <f t="shared" ref="R378:T378" si="2272">IF(S378=1,1,RANDBETWEEN(0,1))</f>
        <v>1</v>
      </c>
      <c r="S378" s="7">
        <f t="shared" si="2272"/>
        <v>1</v>
      </c>
      <c r="T378" s="7">
        <f t="shared" si="2272"/>
        <v>0</v>
      </c>
      <c r="U378" s="7">
        <f t="shared" si="19"/>
        <v>0</v>
      </c>
      <c r="V378" s="7">
        <f t="shared" ref="V378:X378" si="2273">IF(W378=1,1,RANDBETWEEN(0,1))</f>
        <v>1</v>
      </c>
      <c r="W378" s="7">
        <f t="shared" si="2273"/>
        <v>1</v>
      </c>
      <c r="X378" s="7">
        <f t="shared" si="2273"/>
        <v>1</v>
      </c>
      <c r="Y378" s="7">
        <f t="shared" si="21"/>
        <v>1</v>
      </c>
      <c r="Z378" s="7">
        <f t="shared" ref="Z378:AB378" si="2274">IF(AA378=1,1,RANDBETWEEN(0,1))</f>
        <v>0</v>
      </c>
      <c r="AA378" s="7">
        <f t="shared" si="2274"/>
        <v>0</v>
      </c>
      <c r="AB378" s="7">
        <f t="shared" si="2274"/>
        <v>0</v>
      </c>
      <c r="AC378" s="7">
        <f t="shared" si="23"/>
        <v>0</v>
      </c>
      <c r="AD378" s="7">
        <f t="shared" ref="AD378:AF378" si="2275">IF(AE378=1,1,RANDBETWEEN(0,1))</f>
        <v>1</v>
      </c>
      <c r="AE378" s="7">
        <f t="shared" si="2275"/>
        <v>1</v>
      </c>
      <c r="AF378" s="7">
        <f t="shared" si="2275"/>
        <v>1</v>
      </c>
      <c r="AG378" s="7">
        <f t="shared" si="25"/>
        <v>1</v>
      </c>
    </row>
    <row r="379">
      <c r="A379" s="4" t="s">
        <v>1074</v>
      </c>
      <c r="B379" s="4" t="s">
        <v>713</v>
      </c>
      <c r="C379" s="4" t="s">
        <v>1075</v>
      </c>
      <c r="D379" s="5">
        <v>12170.0</v>
      </c>
      <c r="E379" s="6">
        <f t="shared" si="7"/>
        <v>958</v>
      </c>
      <c r="F379" s="7">
        <f t="shared" ref="F379:G379" si="2276">ROUND(RAND(),2)</f>
        <v>0.64</v>
      </c>
      <c r="G379" s="7">
        <f t="shared" si="2276"/>
        <v>0.67</v>
      </c>
      <c r="H379" s="7">
        <f t="shared" si="9"/>
        <v>1</v>
      </c>
      <c r="I379" s="7">
        <f t="shared" si="10"/>
        <v>94660</v>
      </c>
      <c r="J379" s="7">
        <f t="shared" si="11"/>
        <v>48137</v>
      </c>
      <c r="K379" s="7" t="str">
        <f t="shared" si="12"/>
        <v>E</v>
      </c>
      <c r="L379" s="7" t="str">
        <f t="shared" si="13"/>
        <v>Transformative change</v>
      </c>
      <c r="M379" s="7" t="str">
        <f t="shared" si="14"/>
        <v>Low</v>
      </c>
      <c r="N379" s="7">
        <f t="shared" si="15"/>
        <v>3360752</v>
      </c>
      <c r="O379" s="7">
        <f t="shared" si="16"/>
        <v>1547181.564</v>
      </c>
      <c r="P379" s="7">
        <f t="shared" ref="P379:Q379" si="2277">RANDBETWEEN(0,22)</f>
        <v>18</v>
      </c>
      <c r="Q379" s="7">
        <f t="shared" si="2277"/>
        <v>13</v>
      </c>
      <c r="R379" s="7">
        <f t="shared" ref="R379:T379" si="2278">IF(S379=1,1,RANDBETWEEN(0,1))</f>
        <v>1</v>
      </c>
      <c r="S379" s="7">
        <f t="shared" si="2278"/>
        <v>1</v>
      </c>
      <c r="T379" s="7">
        <f t="shared" si="2278"/>
        <v>1</v>
      </c>
      <c r="U379" s="7">
        <f t="shared" si="19"/>
        <v>0</v>
      </c>
      <c r="V379" s="7">
        <f t="shared" ref="V379:X379" si="2279">IF(W379=1,1,RANDBETWEEN(0,1))</f>
        <v>1</v>
      </c>
      <c r="W379" s="7">
        <f t="shared" si="2279"/>
        <v>1</v>
      </c>
      <c r="X379" s="7">
        <f t="shared" si="2279"/>
        <v>1</v>
      </c>
      <c r="Y379" s="7">
        <f t="shared" si="21"/>
        <v>1</v>
      </c>
      <c r="Z379" s="7">
        <f t="shared" ref="Z379:AB379" si="2280">IF(AA379=1,1,RANDBETWEEN(0,1))</f>
        <v>1</v>
      </c>
      <c r="AA379" s="7">
        <f t="shared" si="2280"/>
        <v>1</v>
      </c>
      <c r="AB379" s="7">
        <f t="shared" si="2280"/>
        <v>1</v>
      </c>
      <c r="AC379" s="7">
        <f t="shared" si="23"/>
        <v>0</v>
      </c>
      <c r="AD379" s="7">
        <f t="shared" ref="AD379:AF379" si="2281">IF(AE379=1,1,RANDBETWEEN(0,1))</f>
        <v>1</v>
      </c>
      <c r="AE379" s="7">
        <f t="shared" si="2281"/>
        <v>1</v>
      </c>
      <c r="AF379" s="7">
        <f t="shared" si="2281"/>
        <v>1</v>
      </c>
      <c r="AG379" s="7">
        <f t="shared" si="25"/>
        <v>1</v>
      </c>
    </row>
    <row r="380">
      <c r="A380" s="4" t="s">
        <v>1076</v>
      </c>
      <c r="B380" s="4" t="s">
        <v>1077</v>
      </c>
      <c r="C380" s="4" t="s">
        <v>1078</v>
      </c>
      <c r="D380" s="5">
        <v>6997.0</v>
      </c>
      <c r="E380" s="6">
        <f t="shared" si="7"/>
        <v>1012</v>
      </c>
      <c r="F380" s="7">
        <f t="shared" ref="F380:G380" si="2282">ROUND(RAND(),2)</f>
        <v>0.52</v>
      </c>
      <c r="G380" s="7">
        <f t="shared" si="2282"/>
        <v>0.65</v>
      </c>
      <c r="H380" s="7">
        <f t="shared" si="9"/>
        <v>1</v>
      </c>
      <c r="I380" s="7">
        <f t="shared" si="10"/>
        <v>68797</v>
      </c>
      <c r="J380" s="7">
        <f t="shared" si="11"/>
        <v>57065</v>
      </c>
      <c r="K380" s="7" t="str">
        <f t="shared" si="12"/>
        <v>B</v>
      </c>
      <c r="L380" s="7" t="str">
        <f t="shared" si="13"/>
        <v>Transformative change</v>
      </c>
      <c r="M380" s="7" t="str">
        <f t="shared" si="14"/>
        <v>Low</v>
      </c>
      <c r="N380" s="7">
        <f t="shared" si="15"/>
        <v>123724</v>
      </c>
      <c r="O380" s="7">
        <f t="shared" si="16"/>
        <v>73761.86313</v>
      </c>
      <c r="P380" s="7">
        <f t="shared" ref="P380:Q380" si="2283">RANDBETWEEN(0,22)</f>
        <v>1</v>
      </c>
      <c r="Q380" s="7">
        <f t="shared" si="2283"/>
        <v>17</v>
      </c>
      <c r="R380" s="7">
        <f t="shared" ref="R380:T380" si="2284">IF(S380=1,1,RANDBETWEEN(0,1))</f>
        <v>1</v>
      </c>
      <c r="S380" s="7">
        <f t="shared" si="2284"/>
        <v>1</v>
      </c>
      <c r="T380" s="7">
        <f t="shared" si="2284"/>
        <v>1</v>
      </c>
      <c r="U380" s="7">
        <f t="shared" si="19"/>
        <v>1</v>
      </c>
      <c r="V380" s="7">
        <f t="shared" ref="V380:X380" si="2285">IF(W380=1,1,RANDBETWEEN(0,1))</f>
        <v>1</v>
      </c>
      <c r="W380" s="7">
        <f t="shared" si="2285"/>
        <v>1</v>
      </c>
      <c r="X380" s="7">
        <f t="shared" si="2285"/>
        <v>1</v>
      </c>
      <c r="Y380" s="7">
        <f t="shared" si="21"/>
        <v>0</v>
      </c>
      <c r="Z380" s="7">
        <f t="shared" ref="Z380:AB380" si="2286">IF(AA380=1,1,RANDBETWEEN(0,1))</f>
        <v>1</v>
      </c>
      <c r="AA380" s="7">
        <f t="shared" si="2286"/>
        <v>1</v>
      </c>
      <c r="AB380" s="7">
        <f t="shared" si="2286"/>
        <v>1</v>
      </c>
      <c r="AC380" s="7">
        <f t="shared" si="23"/>
        <v>0</v>
      </c>
      <c r="AD380" s="7">
        <f t="shared" ref="AD380:AF380" si="2287">IF(AE380=1,1,RANDBETWEEN(0,1))</f>
        <v>1</v>
      </c>
      <c r="AE380" s="7">
        <f t="shared" si="2287"/>
        <v>1</v>
      </c>
      <c r="AF380" s="7">
        <f t="shared" si="2287"/>
        <v>1</v>
      </c>
      <c r="AG380" s="7">
        <f t="shared" si="25"/>
        <v>1</v>
      </c>
    </row>
    <row r="381">
      <c r="A381" s="4" t="s">
        <v>1079</v>
      </c>
      <c r="B381" s="4" t="s">
        <v>1080</v>
      </c>
      <c r="C381" s="4" t="s">
        <v>1081</v>
      </c>
      <c r="D381" s="5">
        <v>12751.0</v>
      </c>
      <c r="E381" s="6">
        <f t="shared" si="7"/>
        <v>1077</v>
      </c>
      <c r="F381" s="7">
        <f t="shared" ref="F381:G381" si="2288">ROUND(RAND(),2)</f>
        <v>0.68</v>
      </c>
      <c r="G381" s="7">
        <f t="shared" si="2288"/>
        <v>0.63</v>
      </c>
      <c r="H381" s="7">
        <f t="shared" si="9"/>
        <v>3</v>
      </c>
      <c r="I381" s="7">
        <f t="shared" si="10"/>
        <v>78706</v>
      </c>
      <c r="J381" s="7">
        <f t="shared" si="11"/>
        <v>52382</v>
      </c>
      <c r="K381" s="7" t="str">
        <f t="shared" si="12"/>
        <v>F</v>
      </c>
      <c r="L381" s="7" t="str">
        <f t="shared" si="13"/>
        <v>Transformative change</v>
      </c>
      <c r="M381" s="7" t="str">
        <f t="shared" si="14"/>
        <v>High</v>
      </c>
      <c r="N381" s="7">
        <f t="shared" si="15"/>
        <v>2266314</v>
      </c>
      <c r="O381" s="7">
        <f t="shared" si="16"/>
        <v>1779256.815</v>
      </c>
      <c r="P381" s="7">
        <f t="shared" ref="P381:Q381" si="2289">RANDBETWEEN(0,22)</f>
        <v>1</v>
      </c>
      <c r="Q381" s="7">
        <f t="shared" si="2289"/>
        <v>8</v>
      </c>
      <c r="R381" s="7">
        <f t="shared" ref="R381:T381" si="2290">IF(S381=1,1,RANDBETWEEN(0,1))</f>
        <v>1</v>
      </c>
      <c r="S381" s="7">
        <f t="shared" si="2290"/>
        <v>0</v>
      </c>
      <c r="T381" s="7">
        <f t="shared" si="2290"/>
        <v>0</v>
      </c>
      <c r="U381" s="7">
        <f t="shared" si="19"/>
        <v>0</v>
      </c>
      <c r="V381" s="7">
        <f t="shared" ref="V381:X381" si="2291">IF(W381=1,1,RANDBETWEEN(0,1))</f>
        <v>1</v>
      </c>
      <c r="W381" s="7">
        <f t="shared" si="2291"/>
        <v>1</v>
      </c>
      <c r="X381" s="7">
        <f t="shared" si="2291"/>
        <v>1</v>
      </c>
      <c r="Y381" s="7">
        <f t="shared" si="21"/>
        <v>0</v>
      </c>
      <c r="Z381" s="7">
        <f t="shared" ref="Z381:AB381" si="2292">IF(AA381=1,1,RANDBETWEEN(0,1))</f>
        <v>1</v>
      </c>
      <c r="AA381" s="7">
        <f t="shared" si="2292"/>
        <v>1</v>
      </c>
      <c r="AB381" s="7">
        <f t="shared" si="2292"/>
        <v>1</v>
      </c>
      <c r="AC381" s="7">
        <f t="shared" si="23"/>
        <v>1</v>
      </c>
      <c r="AD381" s="7">
        <f t="shared" ref="AD381:AF381" si="2293">IF(AE381=1,1,RANDBETWEEN(0,1))</f>
        <v>0</v>
      </c>
      <c r="AE381" s="7">
        <f t="shared" si="2293"/>
        <v>0</v>
      </c>
      <c r="AF381" s="7">
        <f t="shared" si="2293"/>
        <v>0</v>
      </c>
      <c r="AG381" s="7">
        <f t="shared" si="25"/>
        <v>0</v>
      </c>
    </row>
    <row r="382">
      <c r="A382" s="4" t="s">
        <v>1082</v>
      </c>
      <c r="B382" s="4" t="s">
        <v>801</v>
      </c>
      <c r="C382" s="4" t="s">
        <v>95</v>
      </c>
      <c r="D382" s="5">
        <v>56086.0</v>
      </c>
      <c r="E382" s="6">
        <f t="shared" si="7"/>
        <v>861</v>
      </c>
      <c r="F382" s="7">
        <f t="shared" ref="F382:G382" si="2294">ROUND(RAND(),2)</f>
        <v>0.99</v>
      </c>
      <c r="G382" s="7">
        <f t="shared" si="2294"/>
        <v>0.86</v>
      </c>
      <c r="H382" s="7">
        <f t="shared" si="9"/>
        <v>1</v>
      </c>
      <c r="I382" s="7">
        <f t="shared" si="10"/>
        <v>19646</v>
      </c>
      <c r="J382" s="7">
        <f t="shared" si="11"/>
        <v>14215</v>
      </c>
      <c r="K382" s="7" t="str">
        <f t="shared" si="12"/>
        <v>G</v>
      </c>
      <c r="L382" s="7" t="str">
        <f t="shared" si="13"/>
        <v>Transformative change</v>
      </c>
      <c r="M382" s="7" t="str">
        <f t="shared" si="14"/>
        <v>Low</v>
      </c>
      <c r="N382" s="7">
        <f t="shared" si="15"/>
        <v>1782853</v>
      </c>
      <c r="O382" s="7">
        <f t="shared" si="16"/>
        <v>1757013.804</v>
      </c>
      <c r="P382" s="7">
        <f t="shared" ref="P382:Q382" si="2295">RANDBETWEEN(0,22)</f>
        <v>17</v>
      </c>
      <c r="Q382" s="7">
        <f t="shared" si="2295"/>
        <v>18</v>
      </c>
      <c r="R382" s="7">
        <f t="shared" ref="R382:T382" si="2296">IF(S382=1,1,RANDBETWEEN(0,1))</f>
        <v>1</v>
      </c>
      <c r="S382" s="7">
        <f t="shared" si="2296"/>
        <v>1</v>
      </c>
      <c r="T382" s="7">
        <f t="shared" si="2296"/>
        <v>1</v>
      </c>
      <c r="U382" s="7">
        <f t="shared" si="19"/>
        <v>1</v>
      </c>
      <c r="V382" s="7">
        <f t="shared" ref="V382:X382" si="2297">IF(W382=1,1,RANDBETWEEN(0,1))</f>
        <v>1</v>
      </c>
      <c r="W382" s="7">
        <f t="shared" si="2297"/>
        <v>1</v>
      </c>
      <c r="X382" s="7">
        <f t="shared" si="2297"/>
        <v>1</v>
      </c>
      <c r="Y382" s="7">
        <f t="shared" si="21"/>
        <v>1</v>
      </c>
      <c r="Z382" s="7">
        <f t="shared" ref="Z382:AB382" si="2298">IF(AA382=1,1,RANDBETWEEN(0,1))</f>
        <v>1</v>
      </c>
      <c r="AA382" s="7">
        <f t="shared" si="2298"/>
        <v>0</v>
      </c>
      <c r="AB382" s="7">
        <f t="shared" si="2298"/>
        <v>0</v>
      </c>
      <c r="AC382" s="7">
        <f t="shared" si="23"/>
        <v>0</v>
      </c>
      <c r="AD382" s="7">
        <f t="shared" ref="AD382:AF382" si="2299">IF(AE382=1,1,RANDBETWEEN(0,1))</f>
        <v>1</v>
      </c>
      <c r="AE382" s="7">
        <f t="shared" si="2299"/>
        <v>1</v>
      </c>
      <c r="AF382" s="7">
        <f t="shared" si="2299"/>
        <v>1</v>
      </c>
      <c r="AG382" s="7">
        <f t="shared" si="25"/>
        <v>1</v>
      </c>
    </row>
    <row r="383">
      <c r="A383" s="4" t="s">
        <v>1083</v>
      </c>
      <c r="B383" s="4" t="s">
        <v>1084</v>
      </c>
      <c r="C383" s="4" t="s">
        <v>1085</v>
      </c>
      <c r="D383" s="5">
        <v>937345.0</v>
      </c>
      <c r="E383" s="6">
        <f t="shared" si="7"/>
        <v>4734.07</v>
      </c>
      <c r="F383" s="7">
        <f t="shared" ref="F383:G383" si="2300">ROUND(RAND(),2)</f>
        <v>0.17</v>
      </c>
      <c r="G383" s="7">
        <f t="shared" si="2300"/>
        <v>0.09</v>
      </c>
      <c r="H383" s="7">
        <f t="shared" si="9"/>
        <v>1</v>
      </c>
      <c r="I383" s="7">
        <f t="shared" si="10"/>
        <v>92677</v>
      </c>
      <c r="J383" s="7">
        <f t="shared" si="11"/>
        <v>35674</v>
      </c>
      <c r="K383" s="7" t="str">
        <f t="shared" si="12"/>
        <v>C</v>
      </c>
      <c r="L383" s="7" t="str">
        <f t="shared" si="13"/>
        <v>High ambition</v>
      </c>
      <c r="M383" s="7" t="str">
        <f t="shared" si="14"/>
        <v>Low</v>
      </c>
      <c r="N383" s="7">
        <f t="shared" si="15"/>
        <v>3699407</v>
      </c>
      <c r="O383" s="7">
        <f t="shared" si="16"/>
        <v>522109.6717</v>
      </c>
      <c r="P383" s="7">
        <f t="shared" ref="P383:Q383" si="2301">RANDBETWEEN(0,22)</f>
        <v>7</v>
      </c>
      <c r="Q383" s="7">
        <f t="shared" si="2301"/>
        <v>4</v>
      </c>
      <c r="R383" s="7">
        <f t="shared" ref="R383:T383" si="2302">IF(S383=1,1,RANDBETWEEN(0,1))</f>
        <v>1</v>
      </c>
      <c r="S383" s="7">
        <f t="shared" si="2302"/>
        <v>1</v>
      </c>
      <c r="T383" s="7">
        <f t="shared" si="2302"/>
        <v>1</v>
      </c>
      <c r="U383" s="7">
        <f t="shared" si="19"/>
        <v>0</v>
      </c>
      <c r="V383" s="7">
        <f t="shared" ref="V383:X383" si="2303">IF(W383=1,1,RANDBETWEEN(0,1))</f>
        <v>1</v>
      </c>
      <c r="W383" s="7">
        <f t="shared" si="2303"/>
        <v>1</v>
      </c>
      <c r="X383" s="7">
        <f t="shared" si="2303"/>
        <v>1</v>
      </c>
      <c r="Y383" s="7">
        <f t="shared" si="21"/>
        <v>0</v>
      </c>
      <c r="Z383" s="7">
        <f t="shared" ref="Z383:AB383" si="2304">IF(AA383=1,1,RANDBETWEEN(0,1))</f>
        <v>1</v>
      </c>
      <c r="AA383" s="7">
        <f t="shared" si="2304"/>
        <v>1</v>
      </c>
      <c r="AB383" s="7">
        <f t="shared" si="2304"/>
        <v>1</v>
      </c>
      <c r="AC383" s="7">
        <f t="shared" si="23"/>
        <v>1</v>
      </c>
      <c r="AD383" s="7">
        <f t="shared" ref="AD383:AF383" si="2305">IF(AE383=1,1,RANDBETWEEN(0,1))</f>
        <v>1</v>
      </c>
      <c r="AE383" s="7">
        <f t="shared" si="2305"/>
        <v>1</v>
      </c>
      <c r="AF383" s="7">
        <f t="shared" si="2305"/>
        <v>1</v>
      </c>
      <c r="AG383" s="7">
        <f t="shared" si="25"/>
        <v>1</v>
      </c>
    </row>
    <row r="384">
      <c r="A384" s="4" t="s">
        <v>1086</v>
      </c>
      <c r="B384" s="4" t="s">
        <v>1087</v>
      </c>
      <c r="C384" s="4" t="s">
        <v>1088</v>
      </c>
      <c r="D384" s="5">
        <v>17411.0</v>
      </c>
      <c r="E384" s="6">
        <f t="shared" si="7"/>
        <v>987</v>
      </c>
      <c r="F384" s="7">
        <f t="shared" ref="F384:G384" si="2306">ROUND(RAND(),2)</f>
        <v>0.68</v>
      </c>
      <c r="G384" s="7">
        <f t="shared" si="2306"/>
        <v>0.58</v>
      </c>
      <c r="H384" s="7">
        <f t="shared" si="9"/>
        <v>2</v>
      </c>
      <c r="I384" s="7">
        <f t="shared" si="10"/>
        <v>32310</v>
      </c>
      <c r="J384" s="7">
        <f t="shared" si="11"/>
        <v>1748</v>
      </c>
      <c r="K384" s="7" t="str">
        <f t="shared" si="12"/>
        <v>E</v>
      </c>
      <c r="L384" s="7" t="str">
        <f t="shared" si="13"/>
        <v>Transformative change</v>
      </c>
      <c r="M384" s="7" t="str">
        <f t="shared" si="14"/>
        <v>High</v>
      </c>
      <c r="N384" s="7">
        <f t="shared" si="15"/>
        <v>3809284</v>
      </c>
      <c r="O384" s="7">
        <f t="shared" si="16"/>
        <v>1055858.335</v>
      </c>
      <c r="P384" s="7">
        <f t="shared" ref="P384:Q384" si="2307">RANDBETWEEN(0,22)</f>
        <v>12</v>
      </c>
      <c r="Q384" s="7">
        <f t="shared" si="2307"/>
        <v>13</v>
      </c>
      <c r="R384" s="7">
        <f t="shared" ref="R384:T384" si="2308">IF(S384=1,1,RANDBETWEEN(0,1))</f>
        <v>1</v>
      </c>
      <c r="S384" s="7">
        <f t="shared" si="2308"/>
        <v>1</v>
      </c>
      <c r="T384" s="7">
        <f t="shared" si="2308"/>
        <v>0</v>
      </c>
      <c r="U384" s="7">
        <f t="shared" si="19"/>
        <v>0</v>
      </c>
      <c r="V384" s="7">
        <f t="shared" ref="V384:X384" si="2309">IF(W384=1,1,RANDBETWEEN(0,1))</f>
        <v>1</v>
      </c>
      <c r="W384" s="7">
        <f t="shared" si="2309"/>
        <v>1</v>
      </c>
      <c r="X384" s="7">
        <f t="shared" si="2309"/>
        <v>1</v>
      </c>
      <c r="Y384" s="7">
        <f t="shared" si="21"/>
        <v>1</v>
      </c>
      <c r="Z384" s="7">
        <f t="shared" ref="Z384:AB384" si="2310">IF(AA384=1,1,RANDBETWEEN(0,1))</f>
        <v>1</v>
      </c>
      <c r="AA384" s="7">
        <f t="shared" si="2310"/>
        <v>1</v>
      </c>
      <c r="AB384" s="7">
        <f t="shared" si="2310"/>
        <v>1</v>
      </c>
      <c r="AC384" s="7">
        <f t="shared" si="23"/>
        <v>1</v>
      </c>
      <c r="AD384" s="7">
        <f t="shared" ref="AD384:AF384" si="2311">IF(AE384=1,1,RANDBETWEEN(0,1))</f>
        <v>1</v>
      </c>
      <c r="AE384" s="7">
        <f t="shared" si="2311"/>
        <v>1</v>
      </c>
      <c r="AF384" s="7">
        <f t="shared" si="2311"/>
        <v>1</v>
      </c>
      <c r="AG384" s="7">
        <f t="shared" si="25"/>
        <v>0</v>
      </c>
    </row>
    <row r="385">
      <c r="A385" s="4" t="s">
        <v>1089</v>
      </c>
      <c r="B385" s="4" t="s">
        <v>1090</v>
      </c>
      <c r="C385" s="4" t="s">
        <v>95</v>
      </c>
      <c r="D385" s="5">
        <v>16834.0</v>
      </c>
      <c r="E385" s="6">
        <f t="shared" si="7"/>
        <v>1060</v>
      </c>
      <c r="F385" s="7">
        <f t="shared" ref="F385:G385" si="2312">ROUND(RAND(),2)</f>
        <v>0.37</v>
      </c>
      <c r="G385" s="7">
        <f t="shared" si="2312"/>
        <v>0.8</v>
      </c>
      <c r="H385" s="7">
        <f t="shared" si="9"/>
        <v>2</v>
      </c>
      <c r="I385" s="7">
        <f t="shared" si="10"/>
        <v>45122</v>
      </c>
      <c r="J385" s="7">
        <f t="shared" si="11"/>
        <v>15587</v>
      </c>
      <c r="K385" s="7" t="str">
        <f t="shared" si="12"/>
        <v>A</v>
      </c>
      <c r="L385" s="7" t="str">
        <f t="shared" si="13"/>
        <v>Transformative change</v>
      </c>
      <c r="M385" s="7" t="str">
        <f t="shared" si="14"/>
        <v>Low</v>
      </c>
      <c r="N385" s="7">
        <f t="shared" si="15"/>
        <v>1915991</v>
      </c>
      <c r="O385" s="7">
        <f t="shared" si="16"/>
        <v>314546.9852</v>
      </c>
      <c r="P385" s="7">
        <f t="shared" ref="P385:Q385" si="2313">RANDBETWEEN(0,22)</f>
        <v>7</v>
      </c>
      <c r="Q385" s="7">
        <f t="shared" si="2313"/>
        <v>0</v>
      </c>
      <c r="R385" s="7">
        <f t="shared" ref="R385:T385" si="2314">IF(S385=1,1,RANDBETWEEN(0,1))</f>
        <v>1</v>
      </c>
      <c r="S385" s="7">
        <f t="shared" si="2314"/>
        <v>1</v>
      </c>
      <c r="T385" s="7">
        <f t="shared" si="2314"/>
        <v>1</v>
      </c>
      <c r="U385" s="7">
        <f t="shared" si="19"/>
        <v>0</v>
      </c>
      <c r="V385" s="7">
        <f t="shared" ref="V385:X385" si="2315">IF(W385=1,1,RANDBETWEEN(0,1))</f>
        <v>1</v>
      </c>
      <c r="W385" s="7">
        <f t="shared" si="2315"/>
        <v>1</v>
      </c>
      <c r="X385" s="7">
        <f t="shared" si="2315"/>
        <v>1</v>
      </c>
      <c r="Y385" s="7">
        <f t="shared" si="21"/>
        <v>0</v>
      </c>
      <c r="Z385" s="7">
        <f t="shared" ref="Z385:AB385" si="2316">IF(AA385=1,1,RANDBETWEEN(0,1))</f>
        <v>1</v>
      </c>
      <c r="AA385" s="7">
        <f t="shared" si="2316"/>
        <v>1</v>
      </c>
      <c r="AB385" s="7">
        <f t="shared" si="2316"/>
        <v>0</v>
      </c>
      <c r="AC385" s="7">
        <f t="shared" si="23"/>
        <v>0</v>
      </c>
      <c r="AD385" s="7">
        <f t="shared" ref="AD385:AF385" si="2317">IF(AE385=1,1,RANDBETWEEN(0,1))</f>
        <v>1</v>
      </c>
      <c r="AE385" s="7">
        <f t="shared" si="2317"/>
        <v>1</v>
      </c>
      <c r="AF385" s="7">
        <f t="shared" si="2317"/>
        <v>1</v>
      </c>
      <c r="AG385" s="7">
        <f t="shared" si="25"/>
        <v>1</v>
      </c>
    </row>
    <row r="386">
      <c r="A386" s="4" t="s">
        <v>1091</v>
      </c>
      <c r="B386" s="4" t="s">
        <v>1092</v>
      </c>
      <c r="C386" s="4" t="s">
        <v>95</v>
      </c>
      <c r="D386" s="5">
        <v>159598.0</v>
      </c>
      <c r="E386" s="6">
        <f t="shared" si="7"/>
        <v>1059</v>
      </c>
      <c r="F386" s="7">
        <f t="shared" ref="F386:G386" si="2318">ROUND(RAND(),2)</f>
        <v>0.75</v>
      </c>
      <c r="G386" s="7">
        <f t="shared" si="2318"/>
        <v>0.71</v>
      </c>
      <c r="H386" s="7">
        <f t="shared" si="9"/>
        <v>2</v>
      </c>
      <c r="I386" s="7">
        <f t="shared" si="10"/>
        <v>45238</v>
      </c>
      <c r="J386" s="7">
        <f t="shared" si="11"/>
        <v>16835</v>
      </c>
      <c r="K386" s="7" t="str">
        <f t="shared" si="12"/>
        <v>F</v>
      </c>
      <c r="L386" s="7" t="str">
        <f t="shared" si="13"/>
        <v>Transformative change</v>
      </c>
      <c r="M386" s="7" t="str">
        <f t="shared" si="14"/>
        <v>Low</v>
      </c>
      <c r="N386" s="7">
        <f t="shared" si="15"/>
        <v>3727006</v>
      </c>
      <c r="O386" s="7">
        <f t="shared" si="16"/>
        <v>2893256.031</v>
      </c>
      <c r="P386" s="7">
        <f t="shared" ref="P386:Q386" si="2319">RANDBETWEEN(0,22)</f>
        <v>5</v>
      </c>
      <c r="Q386" s="7">
        <f t="shared" si="2319"/>
        <v>17</v>
      </c>
      <c r="R386" s="7">
        <f t="shared" ref="R386:T386" si="2320">IF(S386=1,1,RANDBETWEEN(0,1))</f>
        <v>1</v>
      </c>
      <c r="S386" s="7">
        <f t="shared" si="2320"/>
        <v>1</v>
      </c>
      <c r="T386" s="7">
        <f t="shared" si="2320"/>
        <v>1</v>
      </c>
      <c r="U386" s="7">
        <f t="shared" si="19"/>
        <v>0</v>
      </c>
      <c r="V386" s="7">
        <f t="shared" ref="V386:X386" si="2321">IF(W386=1,1,RANDBETWEEN(0,1))</f>
        <v>1</v>
      </c>
      <c r="W386" s="7">
        <f t="shared" si="2321"/>
        <v>1</v>
      </c>
      <c r="X386" s="7">
        <f t="shared" si="2321"/>
        <v>1</v>
      </c>
      <c r="Y386" s="7">
        <f t="shared" si="21"/>
        <v>1</v>
      </c>
      <c r="Z386" s="7">
        <f t="shared" ref="Z386:AB386" si="2322">IF(AA386=1,1,RANDBETWEEN(0,1))</f>
        <v>1</v>
      </c>
      <c r="AA386" s="7">
        <f t="shared" si="2322"/>
        <v>1</v>
      </c>
      <c r="AB386" s="7">
        <f t="shared" si="2322"/>
        <v>1</v>
      </c>
      <c r="AC386" s="7">
        <f t="shared" si="23"/>
        <v>1</v>
      </c>
      <c r="AD386" s="7">
        <f t="shared" ref="AD386:AF386" si="2323">IF(AE386=1,1,RANDBETWEEN(0,1))</f>
        <v>1</v>
      </c>
      <c r="AE386" s="7">
        <f t="shared" si="2323"/>
        <v>1</v>
      </c>
      <c r="AF386" s="7">
        <f t="shared" si="2323"/>
        <v>1</v>
      </c>
      <c r="AG386" s="7">
        <f t="shared" si="25"/>
        <v>1</v>
      </c>
    </row>
    <row r="387">
      <c r="A387" s="4" t="s">
        <v>1093</v>
      </c>
      <c r="B387" s="4" t="s">
        <v>1094</v>
      </c>
      <c r="C387" s="4" t="s">
        <v>1095</v>
      </c>
      <c r="D387" s="5">
        <v>9603.0</v>
      </c>
      <c r="E387" s="6">
        <f t="shared" si="7"/>
        <v>997</v>
      </c>
      <c r="F387" s="7">
        <f t="shared" ref="F387:G387" si="2324">ROUND(RAND(),2)</f>
        <v>0.38</v>
      </c>
      <c r="G387" s="7">
        <f t="shared" si="2324"/>
        <v>0.61</v>
      </c>
      <c r="H387" s="7">
        <f t="shared" si="9"/>
        <v>3</v>
      </c>
      <c r="I387" s="7">
        <f t="shared" si="10"/>
        <v>47085</v>
      </c>
      <c r="J387" s="7">
        <f t="shared" si="11"/>
        <v>36102</v>
      </c>
      <c r="K387" s="7" t="str">
        <f t="shared" si="12"/>
        <v>C</v>
      </c>
      <c r="L387" s="7" t="str">
        <f t="shared" si="13"/>
        <v>Transformative change</v>
      </c>
      <c r="M387" s="7" t="str">
        <f t="shared" si="14"/>
        <v>Low</v>
      </c>
      <c r="N387" s="7">
        <f t="shared" si="15"/>
        <v>1058129</v>
      </c>
      <c r="O387" s="7">
        <f t="shared" si="16"/>
        <v>720387.4148</v>
      </c>
      <c r="P387" s="7">
        <f t="shared" ref="P387:Q387" si="2325">RANDBETWEEN(0,22)</f>
        <v>20</v>
      </c>
      <c r="Q387" s="7">
        <f t="shared" si="2325"/>
        <v>20</v>
      </c>
      <c r="R387" s="7">
        <f t="shared" ref="R387:T387" si="2326">IF(S387=1,1,RANDBETWEEN(0,1))</f>
        <v>1</v>
      </c>
      <c r="S387" s="7">
        <f t="shared" si="2326"/>
        <v>1</v>
      </c>
      <c r="T387" s="7">
        <f t="shared" si="2326"/>
        <v>1</v>
      </c>
      <c r="U387" s="7">
        <f t="shared" si="19"/>
        <v>1</v>
      </c>
      <c r="V387" s="7">
        <f t="shared" ref="V387:X387" si="2327">IF(W387=1,1,RANDBETWEEN(0,1))</f>
        <v>1</v>
      </c>
      <c r="W387" s="7">
        <f t="shared" si="2327"/>
        <v>1</v>
      </c>
      <c r="X387" s="7">
        <f t="shared" si="2327"/>
        <v>1</v>
      </c>
      <c r="Y387" s="7">
        <f t="shared" si="21"/>
        <v>1</v>
      </c>
      <c r="Z387" s="7">
        <f t="shared" ref="Z387:AB387" si="2328">IF(AA387=1,1,RANDBETWEEN(0,1))</f>
        <v>1</v>
      </c>
      <c r="AA387" s="7">
        <f t="shared" si="2328"/>
        <v>1</v>
      </c>
      <c r="AB387" s="7">
        <f t="shared" si="2328"/>
        <v>0</v>
      </c>
      <c r="AC387" s="7">
        <f t="shared" si="23"/>
        <v>0</v>
      </c>
      <c r="AD387" s="7">
        <f t="shared" ref="AD387:AF387" si="2329">IF(AE387=1,1,RANDBETWEEN(0,1))</f>
        <v>1</v>
      </c>
      <c r="AE387" s="7">
        <f t="shared" si="2329"/>
        <v>1</v>
      </c>
      <c r="AF387" s="7">
        <f t="shared" si="2329"/>
        <v>1</v>
      </c>
      <c r="AG387" s="7">
        <f t="shared" si="25"/>
        <v>0</v>
      </c>
    </row>
    <row r="388">
      <c r="A388" s="4" t="s">
        <v>1096</v>
      </c>
      <c r="B388" s="4" t="s">
        <v>1097</v>
      </c>
      <c r="C388" s="4" t="s">
        <v>95</v>
      </c>
      <c r="D388" s="5">
        <v>7334.0</v>
      </c>
      <c r="E388" s="6">
        <f t="shared" si="7"/>
        <v>864</v>
      </c>
      <c r="F388" s="7">
        <f t="shared" ref="F388:G388" si="2330">ROUND(RAND(),2)</f>
        <v>0.16</v>
      </c>
      <c r="G388" s="7">
        <f t="shared" si="2330"/>
        <v>0.04</v>
      </c>
      <c r="H388" s="7">
        <f t="shared" si="9"/>
        <v>2</v>
      </c>
      <c r="I388" s="7">
        <f t="shared" si="10"/>
        <v>13331</v>
      </c>
      <c r="J388" s="7">
        <f t="shared" si="11"/>
        <v>70823</v>
      </c>
      <c r="K388" s="7" t="str">
        <f t="shared" si="12"/>
        <v>G</v>
      </c>
      <c r="L388" s="7" t="str">
        <f t="shared" si="13"/>
        <v>Transformative change</v>
      </c>
      <c r="M388" s="7" t="str">
        <f t="shared" si="14"/>
        <v>Medium</v>
      </c>
      <c r="N388" s="7">
        <f t="shared" si="15"/>
        <v>2347267</v>
      </c>
      <c r="O388" s="7">
        <f t="shared" si="16"/>
        <v>2219566.345</v>
      </c>
      <c r="P388" s="7">
        <f t="shared" ref="P388:Q388" si="2331">RANDBETWEEN(0,22)</f>
        <v>15</v>
      </c>
      <c r="Q388" s="7">
        <f t="shared" si="2331"/>
        <v>20</v>
      </c>
      <c r="R388" s="7">
        <f t="shared" ref="R388:T388" si="2332">IF(S388=1,1,RANDBETWEEN(0,1))</f>
        <v>1</v>
      </c>
      <c r="S388" s="7">
        <f t="shared" si="2332"/>
        <v>1</v>
      </c>
      <c r="T388" s="7">
        <f t="shared" si="2332"/>
        <v>0</v>
      </c>
      <c r="U388" s="7">
        <f t="shared" si="19"/>
        <v>0</v>
      </c>
      <c r="V388" s="7">
        <f t="shared" ref="V388:X388" si="2333">IF(W388=1,1,RANDBETWEEN(0,1))</f>
        <v>1</v>
      </c>
      <c r="W388" s="7">
        <f t="shared" si="2333"/>
        <v>1</v>
      </c>
      <c r="X388" s="7">
        <f t="shared" si="2333"/>
        <v>1</v>
      </c>
      <c r="Y388" s="7">
        <f t="shared" si="21"/>
        <v>1</v>
      </c>
      <c r="Z388" s="7">
        <f t="shared" ref="Z388:AB388" si="2334">IF(AA388=1,1,RANDBETWEEN(0,1))</f>
        <v>1</v>
      </c>
      <c r="AA388" s="7">
        <f t="shared" si="2334"/>
        <v>1</v>
      </c>
      <c r="AB388" s="7">
        <f t="shared" si="2334"/>
        <v>1</v>
      </c>
      <c r="AC388" s="7">
        <f t="shared" si="23"/>
        <v>0</v>
      </c>
      <c r="AD388" s="7">
        <f t="shared" ref="AD388:AF388" si="2335">IF(AE388=1,1,RANDBETWEEN(0,1))</f>
        <v>1</v>
      </c>
      <c r="AE388" s="7">
        <f t="shared" si="2335"/>
        <v>1</v>
      </c>
      <c r="AF388" s="7">
        <f t="shared" si="2335"/>
        <v>1</v>
      </c>
      <c r="AG388" s="7">
        <f t="shared" si="25"/>
        <v>1</v>
      </c>
    </row>
    <row r="389">
      <c r="A389" s="4" t="s">
        <v>1098</v>
      </c>
      <c r="B389" s="4" t="s">
        <v>1099</v>
      </c>
      <c r="C389" s="4" t="s">
        <v>1100</v>
      </c>
      <c r="D389" s="5">
        <v>11022.0</v>
      </c>
      <c r="E389" s="6">
        <f t="shared" si="7"/>
        <v>849</v>
      </c>
      <c r="F389" s="7">
        <f t="shared" ref="F389:G389" si="2336">ROUND(RAND(),2)</f>
        <v>0.09</v>
      </c>
      <c r="G389" s="7">
        <f t="shared" si="2336"/>
        <v>0.06</v>
      </c>
      <c r="H389" s="7">
        <f t="shared" si="9"/>
        <v>1</v>
      </c>
      <c r="I389" s="7">
        <f t="shared" si="10"/>
        <v>59570</v>
      </c>
      <c r="J389" s="7">
        <f t="shared" si="11"/>
        <v>40141</v>
      </c>
      <c r="K389" s="7" t="str">
        <f t="shared" si="12"/>
        <v>D</v>
      </c>
      <c r="L389" s="7" t="str">
        <f t="shared" si="13"/>
        <v>Transformative change</v>
      </c>
      <c r="M389" s="7" t="str">
        <f t="shared" si="14"/>
        <v>Low</v>
      </c>
      <c r="N389" s="7">
        <f t="shared" si="15"/>
        <v>2307671</v>
      </c>
      <c r="O389" s="7">
        <f t="shared" si="16"/>
        <v>979561.4235</v>
      </c>
      <c r="P389" s="7">
        <f t="shared" ref="P389:Q389" si="2337">RANDBETWEEN(0,22)</f>
        <v>19</v>
      </c>
      <c r="Q389" s="7">
        <f t="shared" si="2337"/>
        <v>6</v>
      </c>
      <c r="R389" s="7">
        <f t="shared" ref="R389:T389" si="2338">IF(S389=1,1,RANDBETWEEN(0,1))</f>
        <v>1</v>
      </c>
      <c r="S389" s="7">
        <f t="shared" si="2338"/>
        <v>1</v>
      </c>
      <c r="T389" s="7">
        <f t="shared" si="2338"/>
        <v>1</v>
      </c>
      <c r="U389" s="7">
        <f t="shared" si="19"/>
        <v>1</v>
      </c>
      <c r="V389" s="7">
        <f t="shared" ref="V389:X389" si="2339">IF(W389=1,1,RANDBETWEEN(0,1))</f>
        <v>0</v>
      </c>
      <c r="W389" s="7">
        <f t="shared" si="2339"/>
        <v>0</v>
      </c>
      <c r="X389" s="7">
        <f t="shared" si="2339"/>
        <v>0</v>
      </c>
      <c r="Y389" s="7">
        <f t="shared" si="21"/>
        <v>0</v>
      </c>
      <c r="Z389" s="7">
        <f t="shared" ref="Z389:AB389" si="2340">IF(AA389=1,1,RANDBETWEEN(0,1))</f>
        <v>1</v>
      </c>
      <c r="AA389" s="7">
        <f t="shared" si="2340"/>
        <v>1</v>
      </c>
      <c r="AB389" s="7">
        <f t="shared" si="2340"/>
        <v>1</v>
      </c>
      <c r="AC389" s="7">
        <f t="shared" si="23"/>
        <v>0</v>
      </c>
      <c r="AD389" s="7">
        <f t="shared" ref="AD389:AF389" si="2341">IF(AE389=1,1,RANDBETWEEN(0,1))</f>
        <v>0</v>
      </c>
      <c r="AE389" s="7">
        <f t="shared" si="2341"/>
        <v>0</v>
      </c>
      <c r="AF389" s="7">
        <f t="shared" si="2341"/>
        <v>0</v>
      </c>
      <c r="AG389" s="7">
        <f t="shared" si="25"/>
        <v>0</v>
      </c>
    </row>
    <row r="390">
      <c r="A390" s="4" t="s">
        <v>1101</v>
      </c>
      <c r="B390" s="4" t="s">
        <v>952</v>
      </c>
      <c r="C390" s="4" t="s">
        <v>1102</v>
      </c>
      <c r="D390" s="5">
        <v>17705.0</v>
      </c>
      <c r="E390" s="6">
        <f t="shared" si="7"/>
        <v>989</v>
      </c>
      <c r="F390" s="7">
        <f t="shared" ref="F390:G390" si="2342">ROUND(RAND(),2)</f>
        <v>0.31</v>
      </c>
      <c r="G390" s="7">
        <f t="shared" si="2342"/>
        <v>0.26</v>
      </c>
      <c r="H390" s="7">
        <f t="shared" si="9"/>
        <v>4</v>
      </c>
      <c r="I390" s="7">
        <f t="shared" si="10"/>
        <v>47222</v>
      </c>
      <c r="J390" s="7">
        <f t="shared" si="11"/>
        <v>10654</v>
      </c>
      <c r="K390" s="7" t="str">
        <f t="shared" si="12"/>
        <v>G</v>
      </c>
      <c r="L390" s="7" t="str">
        <f t="shared" si="13"/>
        <v>Transformative change</v>
      </c>
      <c r="M390" s="7" t="str">
        <f t="shared" si="14"/>
        <v>Medium</v>
      </c>
      <c r="N390" s="7">
        <f t="shared" si="15"/>
        <v>1684262</v>
      </c>
      <c r="O390" s="7">
        <f t="shared" si="16"/>
        <v>376994.5315</v>
      </c>
      <c r="P390" s="7">
        <f t="shared" ref="P390:Q390" si="2343">RANDBETWEEN(0,22)</f>
        <v>7</v>
      </c>
      <c r="Q390" s="7">
        <f t="shared" si="2343"/>
        <v>8</v>
      </c>
      <c r="R390" s="7">
        <f t="shared" ref="R390:T390" si="2344">IF(S390=1,1,RANDBETWEEN(0,1))</f>
        <v>1</v>
      </c>
      <c r="S390" s="7">
        <f t="shared" si="2344"/>
        <v>1</v>
      </c>
      <c r="T390" s="7">
        <f t="shared" si="2344"/>
        <v>1</v>
      </c>
      <c r="U390" s="7">
        <f t="shared" si="19"/>
        <v>1</v>
      </c>
      <c r="V390" s="7">
        <f t="shared" ref="V390:X390" si="2345">IF(W390=1,1,RANDBETWEEN(0,1))</f>
        <v>1</v>
      </c>
      <c r="W390" s="7">
        <f t="shared" si="2345"/>
        <v>1</v>
      </c>
      <c r="X390" s="7">
        <f t="shared" si="2345"/>
        <v>1</v>
      </c>
      <c r="Y390" s="7">
        <f t="shared" si="21"/>
        <v>1</v>
      </c>
      <c r="Z390" s="7">
        <f t="shared" ref="Z390:AB390" si="2346">IF(AA390=1,1,RANDBETWEEN(0,1))</f>
        <v>1</v>
      </c>
      <c r="AA390" s="7">
        <f t="shared" si="2346"/>
        <v>1</v>
      </c>
      <c r="AB390" s="7">
        <f t="shared" si="2346"/>
        <v>1</v>
      </c>
      <c r="AC390" s="7">
        <f t="shared" si="23"/>
        <v>0</v>
      </c>
      <c r="AD390" s="7">
        <f t="shared" ref="AD390:AF390" si="2347">IF(AE390=1,1,RANDBETWEEN(0,1))</f>
        <v>1</v>
      </c>
      <c r="AE390" s="7">
        <f t="shared" si="2347"/>
        <v>1</v>
      </c>
      <c r="AF390" s="7">
        <f t="shared" si="2347"/>
        <v>1</v>
      </c>
      <c r="AG390" s="7">
        <f t="shared" si="25"/>
        <v>1</v>
      </c>
    </row>
    <row r="391">
      <c r="A391" s="4" t="s">
        <v>1103</v>
      </c>
      <c r="B391" s="4" t="s">
        <v>1104</v>
      </c>
      <c r="C391" s="4" t="s">
        <v>1105</v>
      </c>
      <c r="D391" s="5">
        <v>63457.0</v>
      </c>
      <c r="E391" s="6">
        <f t="shared" si="7"/>
        <v>815</v>
      </c>
      <c r="F391" s="7">
        <f t="shared" ref="F391:G391" si="2348">ROUND(RAND(),2)</f>
        <v>0.57</v>
      </c>
      <c r="G391" s="7">
        <f t="shared" si="2348"/>
        <v>0.4</v>
      </c>
      <c r="H391" s="7">
        <f t="shared" si="9"/>
        <v>4</v>
      </c>
      <c r="I391" s="7">
        <f t="shared" si="10"/>
        <v>32453</v>
      </c>
      <c r="J391" s="7">
        <f t="shared" si="11"/>
        <v>50496</v>
      </c>
      <c r="K391" s="7" t="str">
        <f t="shared" si="12"/>
        <v>F</v>
      </c>
      <c r="L391" s="7" t="str">
        <f t="shared" si="13"/>
        <v>Transformative change</v>
      </c>
      <c r="M391" s="7" t="str">
        <f t="shared" si="14"/>
        <v>Low</v>
      </c>
      <c r="N391" s="7">
        <f t="shared" si="15"/>
        <v>2177718</v>
      </c>
      <c r="O391" s="7">
        <f t="shared" si="16"/>
        <v>1352455.513</v>
      </c>
      <c r="P391" s="7">
        <f t="shared" ref="P391:Q391" si="2349">RANDBETWEEN(0,22)</f>
        <v>20</v>
      </c>
      <c r="Q391" s="7">
        <f t="shared" si="2349"/>
        <v>14</v>
      </c>
      <c r="R391" s="7">
        <f t="shared" ref="R391:T391" si="2350">IF(S391=1,1,RANDBETWEEN(0,1))</f>
        <v>1</v>
      </c>
      <c r="S391" s="7">
        <f t="shared" si="2350"/>
        <v>1</v>
      </c>
      <c r="T391" s="7">
        <f t="shared" si="2350"/>
        <v>0</v>
      </c>
      <c r="U391" s="7">
        <f t="shared" si="19"/>
        <v>0</v>
      </c>
      <c r="V391" s="7">
        <f t="shared" ref="V391:X391" si="2351">IF(W391=1,1,RANDBETWEEN(0,1))</f>
        <v>1</v>
      </c>
      <c r="W391" s="7">
        <f t="shared" si="2351"/>
        <v>1</v>
      </c>
      <c r="X391" s="7">
        <f t="shared" si="2351"/>
        <v>1</v>
      </c>
      <c r="Y391" s="7">
        <f t="shared" si="21"/>
        <v>1</v>
      </c>
      <c r="Z391" s="7">
        <f t="shared" ref="Z391:AB391" si="2352">IF(AA391=1,1,RANDBETWEEN(0,1))</f>
        <v>1</v>
      </c>
      <c r="AA391" s="7">
        <f t="shared" si="2352"/>
        <v>1</v>
      </c>
      <c r="AB391" s="7">
        <f t="shared" si="2352"/>
        <v>1</v>
      </c>
      <c r="AC391" s="7">
        <f t="shared" si="23"/>
        <v>0</v>
      </c>
      <c r="AD391" s="7">
        <f t="shared" ref="AD391:AF391" si="2353">IF(AE391=1,1,RANDBETWEEN(0,1))</f>
        <v>1</v>
      </c>
      <c r="AE391" s="7">
        <f t="shared" si="2353"/>
        <v>1</v>
      </c>
      <c r="AF391" s="7">
        <f t="shared" si="2353"/>
        <v>1</v>
      </c>
      <c r="AG391" s="7">
        <f t="shared" si="25"/>
        <v>1</v>
      </c>
    </row>
    <row r="392">
      <c r="A392" s="4" t="s">
        <v>1106</v>
      </c>
      <c r="B392" s="4" t="s">
        <v>1107</v>
      </c>
      <c r="C392" s="4" t="s">
        <v>112</v>
      </c>
      <c r="D392" s="5">
        <v>10291.0</v>
      </c>
      <c r="E392" s="6">
        <f t="shared" si="7"/>
        <v>956</v>
      </c>
      <c r="F392" s="7">
        <f t="shared" ref="F392:G392" si="2354">ROUND(RAND(),2)</f>
        <v>0.01</v>
      </c>
      <c r="G392" s="7">
        <f t="shared" si="2354"/>
        <v>0.34</v>
      </c>
      <c r="H392" s="7">
        <f t="shared" si="9"/>
        <v>5</v>
      </c>
      <c r="I392" s="7">
        <f t="shared" si="10"/>
        <v>16049</v>
      </c>
      <c r="J392" s="7">
        <f t="shared" si="11"/>
        <v>23438</v>
      </c>
      <c r="K392" s="7" t="str">
        <f t="shared" si="12"/>
        <v>A</v>
      </c>
      <c r="L392" s="7" t="str">
        <f t="shared" si="13"/>
        <v>Transformative change</v>
      </c>
      <c r="M392" s="7" t="str">
        <f t="shared" si="14"/>
        <v>Low</v>
      </c>
      <c r="N392" s="7">
        <f t="shared" si="15"/>
        <v>3675562</v>
      </c>
      <c r="O392" s="7">
        <f t="shared" si="16"/>
        <v>777280.6986</v>
      </c>
      <c r="P392" s="7">
        <f t="shared" ref="P392:Q392" si="2355">RANDBETWEEN(0,22)</f>
        <v>7</v>
      </c>
      <c r="Q392" s="7">
        <f t="shared" si="2355"/>
        <v>5</v>
      </c>
      <c r="R392" s="7">
        <f t="shared" ref="R392:T392" si="2356">IF(S392=1,1,RANDBETWEEN(0,1))</f>
        <v>1</v>
      </c>
      <c r="S392" s="7">
        <f t="shared" si="2356"/>
        <v>1</v>
      </c>
      <c r="T392" s="7">
        <f t="shared" si="2356"/>
        <v>1</v>
      </c>
      <c r="U392" s="7">
        <f t="shared" si="19"/>
        <v>1</v>
      </c>
      <c r="V392" s="7">
        <f t="shared" ref="V392:X392" si="2357">IF(W392=1,1,RANDBETWEEN(0,1))</f>
        <v>1</v>
      </c>
      <c r="W392" s="7">
        <f t="shared" si="2357"/>
        <v>1</v>
      </c>
      <c r="X392" s="7">
        <f t="shared" si="2357"/>
        <v>1</v>
      </c>
      <c r="Y392" s="7">
        <f t="shared" si="21"/>
        <v>1</v>
      </c>
      <c r="Z392" s="7">
        <f t="shared" ref="Z392:AB392" si="2358">IF(AA392=1,1,RANDBETWEEN(0,1))</f>
        <v>1</v>
      </c>
      <c r="AA392" s="7">
        <f t="shared" si="2358"/>
        <v>1</v>
      </c>
      <c r="AB392" s="7">
        <f t="shared" si="2358"/>
        <v>1</v>
      </c>
      <c r="AC392" s="7">
        <f t="shared" si="23"/>
        <v>1</v>
      </c>
      <c r="AD392" s="7">
        <f t="shared" ref="AD392:AF392" si="2359">IF(AE392=1,1,RANDBETWEEN(0,1))</f>
        <v>1</v>
      </c>
      <c r="AE392" s="7">
        <f t="shared" si="2359"/>
        <v>1</v>
      </c>
      <c r="AF392" s="7">
        <f t="shared" si="2359"/>
        <v>1</v>
      </c>
      <c r="AG392" s="7">
        <f t="shared" si="25"/>
        <v>0</v>
      </c>
    </row>
    <row r="393">
      <c r="A393" s="4" t="s">
        <v>1108</v>
      </c>
      <c r="B393" s="4" t="s">
        <v>1109</v>
      </c>
      <c r="C393" s="4" t="s">
        <v>1110</v>
      </c>
      <c r="D393" s="5">
        <v>8806.0</v>
      </c>
      <c r="E393" s="6">
        <f t="shared" si="7"/>
        <v>1008</v>
      </c>
      <c r="F393" s="7">
        <f t="shared" ref="F393:G393" si="2360">ROUND(RAND(),2)</f>
        <v>0.82</v>
      </c>
      <c r="G393" s="7">
        <f t="shared" si="2360"/>
        <v>0.21</v>
      </c>
      <c r="H393" s="7">
        <f t="shared" si="9"/>
        <v>4</v>
      </c>
      <c r="I393" s="7">
        <f t="shared" si="10"/>
        <v>39662</v>
      </c>
      <c r="J393" s="7">
        <f t="shared" si="11"/>
        <v>28011</v>
      </c>
      <c r="K393" s="7" t="str">
        <f t="shared" si="12"/>
        <v>C</v>
      </c>
      <c r="L393" s="7" t="str">
        <f t="shared" si="13"/>
        <v>Transformative change</v>
      </c>
      <c r="M393" s="7" t="str">
        <f t="shared" si="14"/>
        <v>High</v>
      </c>
      <c r="N393" s="7">
        <f t="shared" si="15"/>
        <v>3440758</v>
      </c>
      <c r="O393" s="7">
        <f t="shared" si="16"/>
        <v>3398713.427</v>
      </c>
      <c r="P393" s="7">
        <f t="shared" ref="P393:Q393" si="2361">RANDBETWEEN(0,22)</f>
        <v>22</v>
      </c>
      <c r="Q393" s="7">
        <f t="shared" si="2361"/>
        <v>5</v>
      </c>
      <c r="R393" s="7">
        <f t="shared" ref="R393:T393" si="2362">IF(S393=1,1,RANDBETWEEN(0,1))</f>
        <v>1</v>
      </c>
      <c r="S393" s="7">
        <f t="shared" si="2362"/>
        <v>1</v>
      </c>
      <c r="T393" s="7">
        <f t="shared" si="2362"/>
        <v>1</v>
      </c>
      <c r="U393" s="7">
        <f t="shared" si="19"/>
        <v>1</v>
      </c>
      <c r="V393" s="7">
        <f t="shared" ref="V393:X393" si="2363">IF(W393=1,1,RANDBETWEEN(0,1))</f>
        <v>1</v>
      </c>
      <c r="W393" s="7">
        <f t="shared" si="2363"/>
        <v>1</v>
      </c>
      <c r="X393" s="7">
        <f t="shared" si="2363"/>
        <v>1</v>
      </c>
      <c r="Y393" s="7">
        <f t="shared" si="21"/>
        <v>1</v>
      </c>
      <c r="Z393" s="7">
        <f t="shared" ref="Z393:AB393" si="2364">IF(AA393=1,1,RANDBETWEEN(0,1))</f>
        <v>1</v>
      </c>
      <c r="AA393" s="7">
        <f t="shared" si="2364"/>
        <v>1</v>
      </c>
      <c r="AB393" s="7">
        <f t="shared" si="2364"/>
        <v>0</v>
      </c>
      <c r="AC393" s="7">
        <f t="shared" si="23"/>
        <v>0</v>
      </c>
      <c r="AD393" s="7">
        <f t="shared" ref="AD393:AF393" si="2365">IF(AE393=1,1,RANDBETWEEN(0,1))</f>
        <v>1</v>
      </c>
      <c r="AE393" s="7">
        <f t="shared" si="2365"/>
        <v>1</v>
      </c>
      <c r="AF393" s="7">
        <f t="shared" si="2365"/>
        <v>1</v>
      </c>
      <c r="AG393" s="7">
        <f t="shared" si="25"/>
        <v>1</v>
      </c>
    </row>
    <row r="394">
      <c r="A394" s="4" t="s">
        <v>1111</v>
      </c>
      <c r="B394" s="4" t="s">
        <v>1112</v>
      </c>
      <c r="C394" s="4" t="s">
        <v>1113</v>
      </c>
      <c r="D394" s="5">
        <v>75602.0</v>
      </c>
      <c r="E394" s="6">
        <f t="shared" si="7"/>
        <v>983</v>
      </c>
      <c r="F394" s="7">
        <f t="shared" ref="F394:G394" si="2366">ROUND(RAND(),2)</f>
        <v>0.6</v>
      </c>
      <c r="G394" s="7">
        <f t="shared" si="2366"/>
        <v>0.48</v>
      </c>
      <c r="H394" s="7">
        <f t="shared" si="9"/>
        <v>5</v>
      </c>
      <c r="I394" s="7">
        <f t="shared" si="10"/>
        <v>59480</v>
      </c>
      <c r="J394" s="7">
        <f t="shared" si="11"/>
        <v>41759</v>
      </c>
      <c r="K394" s="7" t="str">
        <f t="shared" si="12"/>
        <v>C</v>
      </c>
      <c r="L394" s="7" t="str">
        <f t="shared" si="13"/>
        <v>Transformative change</v>
      </c>
      <c r="M394" s="7" t="str">
        <f t="shared" si="14"/>
        <v>Medium</v>
      </c>
      <c r="N394" s="7">
        <f t="shared" si="15"/>
        <v>2720552</v>
      </c>
      <c r="O394" s="7">
        <f t="shared" si="16"/>
        <v>1252217.867</v>
      </c>
      <c r="P394" s="7">
        <f t="shared" ref="P394:Q394" si="2367">RANDBETWEEN(0,22)</f>
        <v>17</v>
      </c>
      <c r="Q394" s="7">
        <f t="shared" si="2367"/>
        <v>3</v>
      </c>
      <c r="R394" s="7">
        <f t="shared" ref="R394:T394" si="2368">IF(S394=1,1,RANDBETWEEN(0,1))</f>
        <v>1</v>
      </c>
      <c r="S394" s="7">
        <f t="shared" si="2368"/>
        <v>1</v>
      </c>
      <c r="T394" s="7">
        <f t="shared" si="2368"/>
        <v>1</v>
      </c>
      <c r="U394" s="7">
        <f t="shared" si="19"/>
        <v>1</v>
      </c>
      <c r="V394" s="7">
        <f t="shared" ref="V394:X394" si="2369">IF(W394=1,1,RANDBETWEEN(0,1))</f>
        <v>1</v>
      </c>
      <c r="W394" s="7">
        <f t="shared" si="2369"/>
        <v>1</v>
      </c>
      <c r="X394" s="7">
        <f t="shared" si="2369"/>
        <v>1</v>
      </c>
      <c r="Y394" s="7">
        <f t="shared" si="21"/>
        <v>0</v>
      </c>
      <c r="Z394" s="7">
        <f t="shared" ref="Z394:AB394" si="2370">IF(AA394=1,1,RANDBETWEEN(0,1))</f>
        <v>1</v>
      </c>
      <c r="AA394" s="7">
        <f t="shared" si="2370"/>
        <v>1</v>
      </c>
      <c r="AB394" s="7">
        <f t="shared" si="2370"/>
        <v>0</v>
      </c>
      <c r="AC394" s="7">
        <f t="shared" si="23"/>
        <v>0</v>
      </c>
      <c r="AD394" s="7">
        <f t="shared" ref="AD394:AF394" si="2371">IF(AE394=1,1,RANDBETWEEN(0,1))</f>
        <v>1</v>
      </c>
      <c r="AE394" s="7">
        <f t="shared" si="2371"/>
        <v>1</v>
      </c>
      <c r="AF394" s="7">
        <f t="shared" si="2371"/>
        <v>1</v>
      </c>
      <c r="AG394" s="7">
        <f t="shared" si="25"/>
        <v>1</v>
      </c>
    </row>
    <row r="395">
      <c r="A395" s="4" t="s">
        <v>1114</v>
      </c>
      <c r="B395" s="4" t="s">
        <v>1115</v>
      </c>
      <c r="C395" s="4" t="s">
        <v>1116</v>
      </c>
      <c r="D395" s="5">
        <v>5906.0</v>
      </c>
      <c r="E395" s="6">
        <f t="shared" si="7"/>
        <v>876</v>
      </c>
      <c r="F395" s="7">
        <f t="shared" ref="F395:G395" si="2372">ROUND(RAND(),2)</f>
        <v>0.73</v>
      </c>
      <c r="G395" s="7">
        <f t="shared" si="2372"/>
        <v>0.38</v>
      </c>
      <c r="H395" s="7">
        <f t="shared" si="9"/>
        <v>5</v>
      </c>
      <c r="I395" s="7">
        <f t="shared" si="10"/>
        <v>82194</v>
      </c>
      <c r="J395" s="7">
        <f t="shared" si="11"/>
        <v>81248</v>
      </c>
      <c r="K395" s="7" t="str">
        <f t="shared" si="12"/>
        <v>E</v>
      </c>
      <c r="L395" s="7" t="str">
        <f t="shared" si="13"/>
        <v>Transformative change</v>
      </c>
      <c r="M395" s="7" t="str">
        <f t="shared" si="14"/>
        <v>High</v>
      </c>
      <c r="N395" s="7">
        <f t="shared" si="15"/>
        <v>1708840</v>
      </c>
      <c r="O395" s="7">
        <f t="shared" si="16"/>
        <v>1526777.949</v>
      </c>
      <c r="P395" s="7">
        <f t="shared" ref="P395:Q395" si="2373">RANDBETWEEN(0,22)</f>
        <v>21</v>
      </c>
      <c r="Q395" s="7">
        <f t="shared" si="2373"/>
        <v>14</v>
      </c>
      <c r="R395" s="7">
        <f t="shared" ref="R395:T395" si="2374">IF(S395=1,1,RANDBETWEEN(0,1))</f>
        <v>1</v>
      </c>
      <c r="S395" s="7">
        <f t="shared" si="2374"/>
        <v>1</v>
      </c>
      <c r="T395" s="7">
        <f t="shared" si="2374"/>
        <v>1</v>
      </c>
      <c r="U395" s="7">
        <f t="shared" si="19"/>
        <v>1</v>
      </c>
      <c r="V395" s="7">
        <f t="shared" ref="V395:X395" si="2375">IF(W395=1,1,RANDBETWEEN(0,1))</f>
        <v>1</v>
      </c>
      <c r="W395" s="7">
        <f t="shared" si="2375"/>
        <v>1</v>
      </c>
      <c r="X395" s="7">
        <f t="shared" si="2375"/>
        <v>1</v>
      </c>
      <c r="Y395" s="7">
        <f t="shared" si="21"/>
        <v>1</v>
      </c>
      <c r="Z395" s="7">
        <f t="shared" ref="Z395:AB395" si="2376">IF(AA395=1,1,RANDBETWEEN(0,1))</f>
        <v>1</v>
      </c>
      <c r="AA395" s="7">
        <f t="shared" si="2376"/>
        <v>1</v>
      </c>
      <c r="AB395" s="7">
        <f t="shared" si="2376"/>
        <v>1</v>
      </c>
      <c r="AC395" s="7">
        <f t="shared" si="23"/>
        <v>1</v>
      </c>
      <c r="AD395" s="7">
        <f t="shared" ref="AD395:AF395" si="2377">IF(AE395=1,1,RANDBETWEEN(0,1))</f>
        <v>1</v>
      </c>
      <c r="AE395" s="7">
        <f t="shared" si="2377"/>
        <v>1</v>
      </c>
      <c r="AF395" s="7">
        <f t="shared" si="2377"/>
        <v>1</v>
      </c>
      <c r="AG395" s="7">
        <f t="shared" si="25"/>
        <v>1</v>
      </c>
    </row>
    <row r="396">
      <c r="A396" s="4" t="s">
        <v>1117</v>
      </c>
      <c r="B396" s="4" t="s">
        <v>1118</v>
      </c>
      <c r="C396" s="4" t="s">
        <v>95</v>
      </c>
      <c r="D396" s="5">
        <v>16650.0</v>
      </c>
      <c r="E396" s="6">
        <f t="shared" si="7"/>
        <v>1098</v>
      </c>
      <c r="F396" s="7">
        <f t="shared" ref="F396:G396" si="2378">ROUND(RAND(),2)</f>
        <v>0.4</v>
      </c>
      <c r="G396" s="7">
        <f t="shared" si="2378"/>
        <v>0.15</v>
      </c>
      <c r="H396" s="7">
        <f t="shared" si="9"/>
        <v>3</v>
      </c>
      <c r="I396" s="7">
        <f t="shared" si="10"/>
        <v>11700</v>
      </c>
      <c r="J396" s="7">
        <f t="shared" si="11"/>
        <v>29390</v>
      </c>
      <c r="K396" s="7" t="str">
        <f t="shared" si="12"/>
        <v>E</v>
      </c>
      <c r="L396" s="7" t="str">
        <f t="shared" si="13"/>
        <v>High ambition</v>
      </c>
      <c r="M396" s="7" t="str">
        <f t="shared" si="14"/>
        <v>Low</v>
      </c>
      <c r="N396" s="7">
        <f t="shared" si="15"/>
        <v>2228193</v>
      </c>
      <c r="O396" s="7">
        <f t="shared" si="16"/>
        <v>1441288.269</v>
      </c>
      <c r="P396" s="7">
        <f t="shared" ref="P396:Q396" si="2379">RANDBETWEEN(0,22)</f>
        <v>1</v>
      </c>
      <c r="Q396" s="7">
        <f t="shared" si="2379"/>
        <v>17</v>
      </c>
      <c r="R396" s="7">
        <f t="shared" ref="R396:T396" si="2380">IF(S396=1,1,RANDBETWEEN(0,1))</f>
        <v>1</v>
      </c>
      <c r="S396" s="7">
        <f t="shared" si="2380"/>
        <v>1</v>
      </c>
      <c r="T396" s="7">
        <f t="shared" si="2380"/>
        <v>1</v>
      </c>
      <c r="U396" s="7">
        <f t="shared" si="19"/>
        <v>0</v>
      </c>
      <c r="V396" s="7">
        <f t="shared" ref="V396:X396" si="2381">IF(W396=1,1,RANDBETWEEN(0,1))</f>
        <v>1</v>
      </c>
      <c r="W396" s="7">
        <f t="shared" si="2381"/>
        <v>1</v>
      </c>
      <c r="X396" s="7">
        <f t="shared" si="2381"/>
        <v>1</v>
      </c>
      <c r="Y396" s="7">
        <f t="shared" si="21"/>
        <v>1</v>
      </c>
      <c r="Z396" s="7">
        <f t="shared" ref="Z396:AB396" si="2382">IF(AA396=1,1,RANDBETWEEN(0,1))</f>
        <v>1</v>
      </c>
      <c r="AA396" s="7">
        <f t="shared" si="2382"/>
        <v>1</v>
      </c>
      <c r="AB396" s="7">
        <f t="shared" si="2382"/>
        <v>1</v>
      </c>
      <c r="AC396" s="7">
        <f t="shared" si="23"/>
        <v>1</v>
      </c>
      <c r="AD396" s="7">
        <f t="shared" ref="AD396:AF396" si="2383">IF(AE396=1,1,RANDBETWEEN(0,1))</f>
        <v>1</v>
      </c>
      <c r="AE396" s="7">
        <f t="shared" si="2383"/>
        <v>1</v>
      </c>
      <c r="AF396" s="7">
        <f t="shared" si="2383"/>
        <v>0</v>
      </c>
      <c r="AG396" s="7">
        <f t="shared" si="25"/>
        <v>0</v>
      </c>
    </row>
    <row r="397">
      <c r="A397" s="4" t="s">
        <v>1119</v>
      </c>
      <c r="B397" s="4" t="s">
        <v>1120</v>
      </c>
      <c r="C397" s="4" t="s">
        <v>1121</v>
      </c>
      <c r="D397" s="5">
        <v>20381.0</v>
      </c>
      <c r="E397" s="6">
        <f t="shared" si="7"/>
        <v>1007</v>
      </c>
      <c r="F397" s="7">
        <f t="shared" ref="F397:G397" si="2384">ROUND(RAND(),2)</f>
        <v>0.03</v>
      </c>
      <c r="G397" s="7">
        <f t="shared" si="2384"/>
        <v>0.43</v>
      </c>
      <c r="H397" s="7">
        <f t="shared" si="9"/>
        <v>4</v>
      </c>
      <c r="I397" s="7">
        <f t="shared" si="10"/>
        <v>26813</v>
      </c>
      <c r="J397" s="7">
        <f t="shared" si="11"/>
        <v>13458</v>
      </c>
      <c r="K397" s="7" t="str">
        <f t="shared" si="12"/>
        <v>A</v>
      </c>
      <c r="L397" s="7" t="str">
        <f t="shared" si="13"/>
        <v>Transformative change</v>
      </c>
      <c r="M397" s="7" t="str">
        <f t="shared" si="14"/>
        <v>High</v>
      </c>
      <c r="N397" s="7">
        <f t="shared" si="15"/>
        <v>1687322</v>
      </c>
      <c r="O397" s="7">
        <f t="shared" si="16"/>
        <v>803946.0519</v>
      </c>
      <c r="P397" s="7">
        <f t="shared" ref="P397:Q397" si="2385">RANDBETWEEN(0,22)</f>
        <v>19</v>
      </c>
      <c r="Q397" s="7">
        <f t="shared" si="2385"/>
        <v>15</v>
      </c>
      <c r="R397" s="7">
        <f t="shared" ref="R397:T397" si="2386">IF(S397=1,1,RANDBETWEEN(0,1))</f>
        <v>1</v>
      </c>
      <c r="S397" s="7">
        <f t="shared" si="2386"/>
        <v>1</v>
      </c>
      <c r="T397" s="7">
        <f t="shared" si="2386"/>
        <v>1</v>
      </c>
      <c r="U397" s="7">
        <f t="shared" si="19"/>
        <v>1</v>
      </c>
      <c r="V397" s="7">
        <f t="shared" ref="V397:X397" si="2387">IF(W397=1,1,RANDBETWEEN(0,1))</f>
        <v>1</v>
      </c>
      <c r="W397" s="7">
        <f t="shared" si="2387"/>
        <v>1</v>
      </c>
      <c r="X397" s="7">
        <f t="shared" si="2387"/>
        <v>1</v>
      </c>
      <c r="Y397" s="7">
        <f t="shared" si="21"/>
        <v>1</v>
      </c>
      <c r="Z397" s="7">
        <f t="shared" ref="Z397:AB397" si="2388">IF(AA397=1,1,RANDBETWEEN(0,1))</f>
        <v>1</v>
      </c>
      <c r="AA397" s="7">
        <f t="shared" si="2388"/>
        <v>1</v>
      </c>
      <c r="AB397" s="7">
        <f t="shared" si="2388"/>
        <v>1</v>
      </c>
      <c r="AC397" s="7">
        <f t="shared" si="23"/>
        <v>0</v>
      </c>
      <c r="AD397" s="7">
        <f t="shared" ref="AD397:AF397" si="2389">IF(AE397=1,1,RANDBETWEEN(0,1))</f>
        <v>1</v>
      </c>
      <c r="AE397" s="7">
        <f t="shared" si="2389"/>
        <v>1</v>
      </c>
      <c r="AF397" s="7">
        <f t="shared" si="2389"/>
        <v>1</v>
      </c>
      <c r="AG397" s="7">
        <f t="shared" si="25"/>
        <v>1</v>
      </c>
    </row>
    <row r="398">
      <c r="A398" s="4" t="s">
        <v>1122</v>
      </c>
      <c r="B398" s="4" t="s">
        <v>442</v>
      </c>
      <c r="C398" s="4" t="s">
        <v>1123</v>
      </c>
      <c r="D398" s="5">
        <v>16866.0</v>
      </c>
      <c r="E398" s="6">
        <f t="shared" si="7"/>
        <v>975</v>
      </c>
      <c r="F398" s="7">
        <f t="shared" ref="F398:G398" si="2390">ROUND(RAND(),2)</f>
        <v>0.01</v>
      </c>
      <c r="G398" s="7">
        <f t="shared" si="2390"/>
        <v>0.05</v>
      </c>
      <c r="H398" s="7">
        <f t="shared" si="9"/>
        <v>3</v>
      </c>
      <c r="I398" s="7">
        <f t="shared" si="10"/>
        <v>7884</v>
      </c>
      <c r="J398" s="7">
        <f t="shared" si="11"/>
        <v>71913</v>
      </c>
      <c r="K398" s="7" t="str">
        <f t="shared" si="12"/>
        <v>D</v>
      </c>
      <c r="L398" s="7" t="str">
        <f t="shared" si="13"/>
        <v>Transformative change</v>
      </c>
      <c r="M398" s="7" t="str">
        <f t="shared" si="14"/>
        <v>Medium</v>
      </c>
      <c r="N398" s="7">
        <f t="shared" si="15"/>
        <v>1468809</v>
      </c>
      <c r="O398" s="7">
        <f t="shared" si="16"/>
        <v>74406.89766</v>
      </c>
      <c r="P398" s="7">
        <f t="shared" ref="P398:Q398" si="2391">RANDBETWEEN(0,22)</f>
        <v>7</v>
      </c>
      <c r="Q398" s="7">
        <f t="shared" si="2391"/>
        <v>14</v>
      </c>
      <c r="R398" s="7">
        <f t="shared" ref="R398:T398" si="2392">IF(S398=1,1,RANDBETWEEN(0,1))</f>
        <v>1</v>
      </c>
      <c r="S398" s="7">
        <f t="shared" si="2392"/>
        <v>1</v>
      </c>
      <c r="T398" s="7">
        <f t="shared" si="2392"/>
        <v>1</v>
      </c>
      <c r="U398" s="7">
        <f t="shared" si="19"/>
        <v>1</v>
      </c>
      <c r="V398" s="7">
        <f t="shared" ref="V398:X398" si="2393">IF(W398=1,1,RANDBETWEEN(0,1))</f>
        <v>1</v>
      </c>
      <c r="W398" s="7">
        <f t="shared" si="2393"/>
        <v>1</v>
      </c>
      <c r="X398" s="7">
        <f t="shared" si="2393"/>
        <v>1</v>
      </c>
      <c r="Y398" s="7">
        <f t="shared" si="21"/>
        <v>1</v>
      </c>
      <c r="Z398" s="7">
        <f t="shared" ref="Z398:AB398" si="2394">IF(AA398=1,1,RANDBETWEEN(0,1))</f>
        <v>1</v>
      </c>
      <c r="AA398" s="7">
        <f t="shared" si="2394"/>
        <v>1</v>
      </c>
      <c r="AB398" s="7">
        <f t="shared" si="2394"/>
        <v>1</v>
      </c>
      <c r="AC398" s="7">
        <f t="shared" si="23"/>
        <v>1</v>
      </c>
      <c r="AD398" s="7">
        <f t="shared" ref="AD398:AF398" si="2395">IF(AE398=1,1,RANDBETWEEN(0,1))</f>
        <v>1</v>
      </c>
      <c r="AE398" s="7">
        <f t="shared" si="2395"/>
        <v>1</v>
      </c>
      <c r="AF398" s="7">
        <f t="shared" si="2395"/>
        <v>1</v>
      </c>
      <c r="AG398" s="7">
        <f t="shared" si="25"/>
        <v>0</v>
      </c>
    </row>
    <row r="399">
      <c r="A399" s="4" t="s">
        <v>1124</v>
      </c>
      <c r="B399" s="4" t="s">
        <v>1125</v>
      </c>
      <c r="C399" s="4" t="s">
        <v>95</v>
      </c>
      <c r="D399" s="5">
        <v>11250.0</v>
      </c>
      <c r="E399" s="6">
        <f t="shared" si="7"/>
        <v>1092</v>
      </c>
      <c r="F399" s="7">
        <f t="shared" ref="F399:G399" si="2396">ROUND(RAND(),2)</f>
        <v>0.17</v>
      </c>
      <c r="G399" s="7">
        <f t="shared" si="2396"/>
        <v>0.97</v>
      </c>
      <c r="H399" s="7">
        <f t="shared" si="9"/>
        <v>2</v>
      </c>
      <c r="I399" s="7">
        <f t="shared" si="10"/>
        <v>9438</v>
      </c>
      <c r="J399" s="7">
        <f t="shared" si="11"/>
        <v>46619</v>
      </c>
      <c r="K399" s="7" t="str">
        <f t="shared" si="12"/>
        <v>B</v>
      </c>
      <c r="L399" s="7" t="str">
        <f t="shared" si="13"/>
        <v>Transformative change</v>
      </c>
      <c r="M399" s="7" t="str">
        <f t="shared" si="14"/>
        <v>High</v>
      </c>
      <c r="N399" s="7">
        <f t="shared" si="15"/>
        <v>676079</v>
      </c>
      <c r="O399" s="7">
        <f t="shared" si="16"/>
        <v>558083.5174</v>
      </c>
      <c r="P399" s="7">
        <f t="shared" ref="P399:Q399" si="2397">RANDBETWEEN(0,22)</f>
        <v>6</v>
      </c>
      <c r="Q399" s="7">
        <f t="shared" si="2397"/>
        <v>19</v>
      </c>
      <c r="R399" s="7">
        <f t="shared" ref="R399:T399" si="2398">IF(S399=1,1,RANDBETWEEN(0,1))</f>
        <v>1</v>
      </c>
      <c r="S399" s="7">
        <f t="shared" si="2398"/>
        <v>1</v>
      </c>
      <c r="T399" s="7">
        <f t="shared" si="2398"/>
        <v>1</v>
      </c>
      <c r="U399" s="7">
        <f t="shared" si="19"/>
        <v>1</v>
      </c>
      <c r="V399" s="7">
        <f t="shared" ref="V399:X399" si="2399">IF(W399=1,1,RANDBETWEEN(0,1))</f>
        <v>1</v>
      </c>
      <c r="W399" s="7">
        <f t="shared" si="2399"/>
        <v>1</v>
      </c>
      <c r="X399" s="7">
        <f t="shared" si="2399"/>
        <v>1</v>
      </c>
      <c r="Y399" s="7">
        <f t="shared" si="21"/>
        <v>1</v>
      </c>
      <c r="Z399" s="7">
        <f t="shared" ref="Z399:AB399" si="2400">IF(AA399=1,1,RANDBETWEEN(0,1))</f>
        <v>1</v>
      </c>
      <c r="AA399" s="7">
        <f t="shared" si="2400"/>
        <v>1</v>
      </c>
      <c r="AB399" s="7">
        <f t="shared" si="2400"/>
        <v>1</v>
      </c>
      <c r="AC399" s="7">
        <f t="shared" si="23"/>
        <v>1</v>
      </c>
      <c r="AD399" s="7">
        <f t="shared" ref="AD399:AF399" si="2401">IF(AE399=1,1,RANDBETWEEN(0,1))</f>
        <v>1</v>
      </c>
      <c r="AE399" s="7">
        <f t="shared" si="2401"/>
        <v>1</v>
      </c>
      <c r="AF399" s="7">
        <f t="shared" si="2401"/>
        <v>1</v>
      </c>
      <c r="AG399" s="7">
        <f t="shared" si="25"/>
        <v>1</v>
      </c>
    </row>
    <row r="400">
      <c r="A400" s="4" t="s">
        <v>1126</v>
      </c>
      <c r="B400" s="4" t="s">
        <v>1127</v>
      </c>
      <c r="C400" s="4" t="s">
        <v>1128</v>
      </c>
      <c r="D400" s="5">
        <v>6928.0</v>
      </c>
      <c r="E400" s="6">
        <f t="shared" si="7"/>
        <v>901</v>
      </c>
      <c r="F400" s="7">
        <f t="shared" ref="F400:G400" si="2402">ROUND(RAND(),2)</f>
        <v>0.92</v>
      </c>
      <c r="G400" s="7">
        <f t="shared" si="2402"/>
        <v>0.86</v>
      </c>
      <c r="H400" s="7">
        <f t="shared" si="9"/>
        <v>3</v>
      </c>
      <c r="I400" s="7">
        <f t="shared" si="10"/>
        <v>39112</v>
      </c>
      <c r="J400" s="7">
        <f t="shared" si="11"/>
        <v>3075</v>
      </c>
      <c r="K400" s="7" t="str">
        <f t="shared" si="12"/>
        <v>D</v>
      </c>
      <c r="L400" s="7" t="str">
        <f t="shared" si="13"/>
        <v>Transformative change</v>
      </c>
      <c r="M400" s="7" t="str">
        <f t="shared" si="14"/>
        <v>Medium</v>
      </c>
      <c r="N400" s="7">
        <f t="shared" si="15"/>
        <v>704568</v>
      </c>
      <c r="O400" s="7">
        <f t="shared" si="16"/>
        <v>464343.486</v>
      </c>
      <c r="P400" s="7">
        <f t="shared" ref="P400:Q400" si="2403">RANDBETWEEN(0,22)</f>
        <v>19</v>
      </c>
      <c r="Q400" s="7">
        <f t="shared" si="2403"/>
        <v>0</v>
      </c>
      <c r="R400" s="7">
        <f t="shared" ref="R400:T400" si="2404">IF(S400=1,1,RANDBETWEEN(0,1))</f>
        <v>1</v>
      </c>
      <c r="S400" s="7">
        <f t="shared" si="2404"/>
        <v>1</v>
      </c>
      <c r="T400" s="7">
        <f t="shared" si="2404"/>
        <v>0</v>
      </c>
      <c r="U400" s="7">
        <f t="shared" si="19"/>
        <v>0</v>
      </c>
      <c r="V400" s="7">
        <f t="shared" ref="V400:X400" si="2405">IF(W400=1,1,RANDBETWEEN(0,1))</f>
        <v>1</v>
      </c>
      <c r="W400" s="7">
        <f t="shared" si="2405"/>
        <v>1</v>
      </c>
      <c r="X400" s="7">
        <f t="shared" si="2405"/>
        <v>0</v>
      </c>
      <c r="Y400" s="7">
        <f t="shared" si="21"/>
        <v>0</v>
      </c>
      <c r="Z400" s="7">
        <f t="shared" ref="Z400:AB400" si="2406">IF(AA400=1,1,RANDBETWEEN(0,1))</f>
        <v>1</v>
      </c>
      <c r="AA400" s="7">
        <f t="shared" si="2406"/>
        <v>0</v>
      </c>
      <c r="AB400" s="7">
        <f t="shared" si="2406"/>
        <v>0</v>
      </c>
      <c r="AC400" s="7">
        <f t="shared" si="23"/>
        <v>0</v>
      </c>
      <c r="AD400" s="7">
        <f t="shared" ref="AD400:AF400" si="2407">IF(AE400=1,1,RANDBETWEEN(0,1))</f>
        <v>1</v>
      </c>
      <c r="AE400" s="7">
        <f t="shared" si="2407"/>
        <v>1</v>
      </c>
      <c r="AF400" s="7">
        <f t="shared" si="2407"/>
        <v>1</v>
      </c>
      <c r="AG400" s="7">
        <f t="shared" si="25"/>
        <v>1</v>
      </c>
    </row>
    <row r="401">
      <c r="A401" s="4" t="s">
        <v>1129</v>
      </c>
      <c r="B401" s="4" t="s">
        <v>1130</v>
      </c>
      <c r="C401" s="4" t="s">
        <v>1131</v>
      </c>
      <c r="D401" s="5">
        <v>81393.0</v>
      </c>
      <c r="E401" s="6">
        <f t="shared" si="7"/>
        <v>844</v>
      </c>
      <c r="F401" s="7">
        <f t="shared" ref="F401:G401" si="2408">ROUND(RAND(),2)</f>
        <v>0.54</v>
      </c>
      <c r="G401" s="7">
        <f t="shared" si="2408"/>
        <v>0.09</v>
      </c>
      <c r="H401" s="7">
        <f t="shared" si="9"/>
        <v>3</v>
      </c>
      <c r="I401" s="7">
        <f t="shared" si="10"/>
        <v>81506</v>
      </c>
      <c r="J401" s="7">
        <f t="shared" si="11"/>
        <v>12266</v>
      </c>
      <c r="K401" s="7" t="str">
        <f t="shared" si="12"/>
        <v>F</v>
      </c>
      <c r="L401" s="7" t="str">
        <f t="shared" si="13"/>
        <v>Transformative change</v>
      </c>
      <c r="M401" s="7" t="str">
        <f t="shared" si="14"/>
        <v>Low</v>
      </c>
      <c r="N401" s="7">
        <f t="shared" si="15"/>
        <v>1091853</v>
      </c>
      <c r="O401" s="7">
        <f t="shared" si="16"/>
        <v>892112.2227</v>
      </c>
      <c r="P401" s="7">
        <f t="shared" ref="P401:Q401" si="2409">RANDBETWEEN(0,22)</f>
        <v>5</v>
      </c>
      <c r="Q401" s="7">
        <f t="shared" si="2409"/>
        <v>13</v>
      </c>
      <c r="R401" s="7">
        <f t="shared" ref="R401:T401" si="2410">IF(S401=1,1,RANDBETWEEN(0,1))</f>
        <v>0</v>
      </c>
      <c r="S401" s="7">
        <f t="shared" si="2410"/>
        <v>0</v>
      </c>
      <c r="T401" s="7">
        <f t="shared" si="2410"/>
        <v>0</v>
      </c>
      <c r="U401" s="7">
        <f t="shared" si="19"/>
        <v>0</v>
      </c>
      <c r="V401" s="7">
        <f t="shared" ref="V401:X401" si="2411">IF(W401=1,1,RANDBETWEEN(0,1))</f>
        <v>1</v>
      </c>
      <c r="W401" s="7">
        <f t="shared" si="2411"/>
        <v>1</v>
      </c>
      <c r="X401" s="7">
        <f t="shared" si="2411"/>
        <v>1</v>
      </c>
      <c r="Y401" s="7">
        <f t="shared" si="21"/>
        <v>0</v>
      </c>
      <c r="Z401" s="7">
        <f t="shared" ref="Z401:AB401" si="2412">IF(AA401=1,1,RANDBETWEEN(0,1))</f>
        <v>1</v>
      </c>
      <c r="AA401" s="7">
        <f t="shared" si="2412"/>
        <v>1</v>
      </c>
      <c r="AB401" s="7">
        <f t="shared" si="2412"/>
        <v>1</v>
      </c>
      <c r="AC401" s="7">
        <f t="shared" si="23"/>
        <v>0</v>
      </c>
      <c r="AD401" s="7">
        <f t="shared" ref="AD401:AF401" si="2413">IF(AE401=1,1,RANDBETWEEN(0,1))</f>
        <v>1</v>
      </c>
      <c r="AE401" s="7">
        <f t="shared" si="2413"/>
        <v>1</v>
      </c>
      <c r="AF401" s="7">
        <f t="shared" si="2413"/>
        <v>1</v>
      </c>
      <c r="AG401" s="7">
        <f t="shared" si="25"/>
        <v>1</v>
      </c>
    </row>
    <row r="402">
      <c r="A402" s="4" t="s">
        <v>1132</v>
      </c>
      <c r="B402" s="4" t="s">
        <v>1133</v>
      </c>
      <c r="C402" s="4" t="s">
        <v>1134</v>
      </c>
      <c r="D402" s="5">
        <v>29138.0</v>
      </c>
      <c r="E402" s="6">
        <f t="shared" si="7"/>
        <v>1011</v>
      </c>
      <c r="F402" s="7">
        <f t="shared" ref="F402:G402" si="2414">ROUND(RAND(),2)</f>
        <v>0.36</v>
      </c>
      <c r="G402" s="7">
        <f t="shared" si="2414"/>
        <v>0.61</v>
      </c>
      <c r="H402" s="7">
        <f t="shared" si="9"/>
        <v>4</v>
      </c>
      <c r="I402" s="7">
        <f t="shared" si="10"/>
        <v>26217</v>
      </c>
      <c r="J402" s="7">
        <f t="shared" si="11"/>
        <v>37724</v>
      </c>
      <c r="K402" s="7" t="str">
        <f t="shared" si="12"/>
        <v>E</v>
      </c>
      <c r="L402" s="7" t="str">
        <f t="shared" si="13"/>
        <v>Transformative change</v>
      </c>
      <c r="M402" s="7" t="str">
        <f t="shared" si="14"/>
        <v>High</v>
      </c>
      <c r="N402" s="7">
        <f t="shared" si="15"/>
        <v>1205768</v>
      </c>
      <c r="O402" s="7">
        <f t="shared" si="16"/>
        <v>948183.9474</v>
      </c>
      <c r="P402" s="7">
        <f t="shared" ref="P402:Q402" si="2415">RANDBETWEEN(0,22)</f>
        <v>12</v>
      </c>
      <c r="Q402" s="7">
        <f t="shared" si="2415"/>
        <v>4</v>
      </c>
      <c r="R402" s="7">
        <f t="shared" ref="R402:T402" si="2416">IF(S402=1,1,RANDBETWEEN(0,1))</f>
        <v>1</v>
      </c>
      <c r="S402" s="7">
        <f t="shared" si="2416"/>
        <v>1</v>
      </c>
      <c r="T402" s="7">
        <f t="shared" si="2416"/>
        <v>1</v>
      </c>
      <c r="U402" s="7">
        <f t="shared" si="19"/>
        <v>0</v>
      </c>
      <c r="V402" s="7">
        <f t="shared" ref="V402:X402" si="2417">IF(W402=1,1,RANDBETWEEN(0,1))</f>
        <v>1</v>
      </c>
      <c r="W402" s="7">
        <f t="shared" si="2417"/>
        <v>1</v>
      </c>
      <c r="X402" s="7">
        <f t="shared" si="2417"/>
        <v>1</v>
      </c>
      <c r="Y402" s="7">
        <f t="shared" si="21"/>
        <v>0</v>
      </c>
      <c r="Z402" s="7">
        <f t="shared" ref="Z402:AB402" si="2418">IF(AA402=1,1,RANDBETWEEN(0,1))</f>
        <v>1</v>
      </c>
      <c r="AA402" s="7">
        <f t="shared" si="2418"/>
        <v>1</v>
      </c>
      <c r="AB402" s="7">
        <f t="shared" si="2418"/>
        <v>1</v>
      </c>
      <c r="AC402" s="7">
        <f t="shared" si="23"/>
        <v>1</v>
      </c>
      <c r="AD402" s="7">
        <f t="shared" ref="AD402:AF402" si="2419">IF(AE402=1,1,RANDBETWEEN(0,1))</f>
        <v>1</v>
      </c>
      <c r="AE402" s="7">
        <f t="shared" si="2419"/>
        <v>1</v>
      </c>
      <c r="AF402" s="7">
        <f t="shared" si="2419"/>
        <v>1</v>
      </c>
      <c r="AG402" s="7">
        <f t="shared" si="25"/>
        <v>0</v>
      </c>
    </row>
    <row r="403">
      <c r="A403" s="4" t="s">
        <v>1135</v>
      </c>
      <c r="B403" s="4" t="s">
        <v>1136</v>
      </c>
      <c r="C403" s="4" t="s">
        <v>1137</v>
      </c>
      <c r="D403" s="5">
        <v>14588.0</v>
      </c>
      <c r="E403" s="6">
        <f t="shared" si="7"/>
        <v>804</v>
      </c>
      <c r="F403" s="7">
        <f t="shared" ref="F403:G403" si="2420">ROUND(RAND(),2)</f>
        <v>0.54</v>
      </c>
      <c r="G403" s="7">
        <f t="shared" si="2420"/>
        <v>0.47</v>
      </c>
      <c r="H403" s="7">
        <f t="shared" si="9"/>
        <v>1</v>
      </c>
      <c r="I403" s="7">
        <f t="shared" si="10"/>
        <v>75246</v>
      </c>
      <c r="J403" s="7">
        <f t="shared" si="11"/>
        <v>67916</v>
      </c>
      <c r="K403" s="7" t="str">
        <f t="shared" si="12"/>
        <v>B</v>
      </c>
      <c r="L403" s="7" t="str">
        <f t="shared" si="13"/>
        <v>Transformative change</v>
      </c>
      <c r="M403" s="7" t="str">
        <f t="shared" si="14"/>
        <v>Medium</v>
      </c>
      <c r="N403" s="7">
        <f t="shared" si="15"/>
        <v>3610287</v>
      </c>
      <c r="O403" s="7">
        <f t="shared" si="16"/>
        <v>2905829.524</v>
      </c>
      <c r="P403" s="7">
        <f t="shared" ref="P403:Q403" si="2421">RANDBETWEEN(0,22)</f>
        <v>9</v>
      </c>
      <c r="Q403" s="7">
        <f t="shared" si="2421"/>
        <v>14</v>
      </c>
      <c r="R403" s="7">
        <f t="shared" ref="R403:T403" si="2422">IF(S403=1,1,RANDBETWEEN(0,1))</f>
        <v>1</v>
      </c>
      <c r="S403" s="7">
        <f t="shared" si="2422"/>
        <v>1</v>
      </c>
      <c r="T403" s="7">
        <f t="shared" si="2422"/>
        <v>1</v>
      </c>
      <c r="U403" s="7">
        <f t="shared" si="19"/>
        <v>1</v>
      </c>
      <c r="V403" s="7">
        <f t="shared" ref="V403:X403" si="2423">IF(W403=1,1,RANDBETWEEN(0,1))</f>
        <v>1</v>
      </c>
      <c r="W403" s="7">
        <f t="shared" si="2423"/>
        <v>1</v>
      </c>
      <c r="X403" s="7">
        <f t="shared" si="2423"/>
        <v>0</v>
      </c>
      <c r="Y403" s="7">
        <f t="shared" si="21"/>
        <v>0</v>
      </c>
      <c r="Z403" s="7">
        <f t="shared" ref="Z403:AB403" si="2424">IF(AA403=1,1,RANDBETWEEN(0,1))</f>
        <v>1</v>
      </c>
      <c r="AA403" s="7">
        <f t="shared" si="2424"/>
        <v>1</v>
      </c>
      <c r="AB403" s="7">
        <f t="shared" si="2424"/>
        <v>0</v>
      </c>
      <c r="AC403" s="7">
        <f t="shared" si="23"/>
        <v>0</v>
      </c>
      <c r="AD403" s="7">
        <f t="shared" ref="AD403:AF403" si="2425">IF(AE403=1,1,RANDBETWEEN(0,1))</f>
        <v>1</v>
      </c>
      <c r="AE403" s="7">
        <f t="shared" si="2425"/>
        <v>1</v>
      </c>
      <c r="AF403" s="7">
        <f t="shared" si="2425"/>
        <v>1</v>
      </c>
      <c r="AG403" s="7">
        <f t="shared" si="25"/>
        <v>1</v>
      </c>
    </row>
    <row r="404">
      <c r="A404" s="4" t="s">
        <v>1138</v>
      </c>
      <c r="B404" s="4" t="s">
        <v>1139</v>
      </c>
      <c r="C404" s="4" t="s">
        <v>259</v>
      </c>
      <c r="D404" s="5">
        <v>12118.0</v>
      </c>
      <c r="E404" s="6">
        <f t="shared" si="7"/>
        <v>921</v>
      </c>
      <c r="F404" s="7">
        <f t="shared" ref="F404:G404" si="2426">ROUND(RAND(),2)</f>
        <v>0.89</v>
      </c>
      <c r="G404" s="7">
        <f t="shared" si="2426"/>
        <v>0.88</v>
      </c>
      <c r="H404" s="7">
        <f t="shared" si="9"/>
        <v>1</v>
      </c>
      <c r="I404" s="7">
        <f t="shared" si="10"/>
        <v>75151</v>
      </c>
      <c r="J404" s="7">
        <f t="shared" si="11"/>
        <v>11241</v>
      </c>
      <c r="K404" s="7" t="str">
        <f t="shared" si="12"/>
        <v>D</v>
      </c>
      <c r="L404" s="7" t="str">
        <f t="shared" si="13"/>
        <v>Transformative change</v>
      </c>
      <c r="M404" s="7" t="str">
        <f t="shared" si="14"/>
        <v>Low</v>
      </c>
      <c r="N404" s="7">
        <f t="shared" si="15"/>
        <v>2561159</v>
      </c>
      <c r="O404" s="7">
        <f t="shared" si="16"/>
        <v>289201.2007</v>
      </c>
      <c r="P404" s="7">
        <f t="shared" ref="P404:Q404" si="2427">RANDBETWEEN(0,22)</f>
        <v>10</v>
      </c>
      <c r="Q404" s="7">
        <f t="shared" si="2427"/>
        <v>17</v>
      </c>
      <c r="R404" s="7">
        <f t="shared" ref="R404:T404" si="2428">IF(S404=1,1,RANDBETWEEN(0,1))</f>
        <v>1</v>
      </c>
      <c r="S404" s="7">
        <f t="shared" si="2428"/>
        <v>1</v>
      </c>
      <c r="T404" s="7">
        <f t="shared" si="2428"/>
        <v>1</v>
      </c>
      <c r="U404" s="7">
        <f t="shared" si="19"/>
        <v>0</v>
      </c>
      <c r="V404" s="7">
        <f t="shared" ref="V404:X404" si="2429">IF(W404=1,1,RANDBETWEEN(0,1))</f>
        <v>1</v>
      </c>
      <c r="W404" s="7">
        <f t="shared" si="2429"/>
        <v>1</v>
      </c>
      <c r="X404" s="7">
        <f t="shared" si="2429"/>
        <v>0</v>
      </c>
      <c r="Y404" s="7">
        <f t="shared" si="21"/>
        <v>0</v>
      </c>
      <c r="Z404" s="7">
        <f t="shared" ref="Z404:AB404" si="2430">IF(AA404=1,1,RANDBETWEEN(0,1))</f>
        <v>1</v>
      </c>
      <c r="AA404" s="7">
        <f t="shared" si="2430"/>
        <v>1</v>
      </c>
      <c r="AB404" s="7">
        <f t="shared" si="2430"/>
        <v>1</v>
      </c>
      <c r="AC404" s="7">
        <f t="shared" si="23"/>
        <v>0</v>
      </c>
      <c r="AD404" s="7">
        <f t="shared" ref="AD404:AF404" si="2431">IF(AE404=1,1,RANDBETWEEN(0,1))</f>
        <v>1</v>
      </c>
      <c r="AE404" s="7">
        <f t="shared" si="2431"/>
        <v>1</v>
      </c>
      <c r="AF404" s="7">
        <f t="shared" si="2431"/>
        <v>1</v>
      </c>
      <c r="AG404" s="7">
        <f t="shared" si="25"/>
        <v>1</v>
      </c>
    </row>
    <row r="405">
      <c r="A405" s="4" t="s">
        <v>1140</v>
      </c>
      <c r="B405" s="4" t="s">
        <v>1141</v>
      </c>
      <c r="C405" s="4" t="s">
        <v>1142</v>
      </c>
      <c r="D405" s="5">
        <v>237340.0</v>
      </c>
      <c r="E405" s="6">
        <f t="shared" si="7"/>
        <v>899</v>
      </c>
      <c r="F405" s="7">
        <f t="shared" ref="F405:G405" si="2432">ROUND(RAND(),2)</f>
        <v>0.14</v>
      </c>
      <c r="G405" s="7">
        <f t="shared" si="2432"/>
        <v>0.17</v>
      </c>
      <c r="H405" s="7">
        <f t="shared" si="9"/>
        <v>3</v>
      </c>
      <c r="I405" s="7">
        <f t="shared" si="10"/>
        <v>60877</v>
      </c>
      <c r="J405" s="7">
        <f t="shared" si="11"/>
        <v>25527</v>
      </c>
      <c r="K405" s="7" t="str">
        <f t="shared" si="12"/>
        <v>C</v>
      </c>
      <c r="L405" s="7" t="str">
        <f t="shared" si="13"/>
        <v>Transformative change</v>
      </c>
      <c r="M405" s="7" t="str">
        <f t="shared" si="14"/>
        <v>High</v>
      </c>
      <c r="N405" s="7">
        <f t="shared" si="15"/>
        <v>3519850</v>
      </c>
      <c r="O405" s="7">
        <f t="shared" si="16"/>
        <v>997353.8981</v>
      </c>
      <c r="P405" s="7">
        <f t="shared" ref="P405:Q405" si="2433">RANDBETWEEN(0,22)</f>
        <v>18</v>
      </c>
      <c r="Q405" s="7">
        <f t="shared" si="2433"/>
        <v>6</v>
      </c>
      <c r="R405" s="7">
        <f t="shared" ref="R405:T405" si="2434">IF(S405=1,1,RANDBETWEEN(0,1))</f>
        <v>1</v>
      </c>
      <c r="S405" s="7">
        <f t="shared" si="2434"/>
        <v>1</v>
      </c>
      <c r="T405" s="7">
        <f t="shared" si="2434"/>
        <v>1</v>
      </c>
      <c r="U405" s="7">
        <f t="shared" si="19"/>
        <v>0</v>
      </c>
      <c r="V405" s="7">
        <f t="shared" ref="V405:X405" si="2435">IF(W405=1,1,RANDBETWEEN(0,1))</f>
        <v>0</v>
      </c>
      <c r="W405" s="7">
        <f t="shared" si="2435"/>
        <v>0</v>
      </c>
      <c r="X405" s="7">
        <f t="shared" si="2435"/>
        <v>0</v>
      </c>
      <c r="Y405" s="7">
        <f t="shared" si="21"/>
        <v>0</v>
      </c>
      <c r="Z405" s="7">
        <f t="shared" ref="Z405:AB405" si="2436">IF(AA405=1,1,RANDBETWEEN(0,1))</f>
        <v>1</v>
      </c>
      <c r="AA405" s="7">
        <f t="shared" si="2436"/>
        <v>1</v>
      </c>
      <c r="AB405" s="7">
        <f t="shared" si="2436"/>
        <v>1</v>
      </c>
      <c r="AC405" s="7">
        <f t="shared" si="23"/>
        <v>0</v>
      </c>
      <c r="AD405" s="7">
        <f t="shared" ref="AD405:AF405" si="2437">IF(AE405=1,1,RANDBETWEEN(0,1))</f>
        <v>1</v>
      </c>
      <c r="AE405" s="7">
        <f t="shared" si="2437"/>
        <v>1</v>
      </c>
      <c r="AF405" s="7">
        <f t="shared" si="2437"/>
        <v>1</v>
      </c>
      <c r="AG405" s="7">
        <f t="shared" si="25"/>
        <v>0</v>
      </c>
    </row>
    <row r="406">
      <c r="A406" s="4" t="s">
        <v>1143</v>
      </c>
      <c r="B406" s="4" t="s">
        <v>1144</v>
      </c>
      <c r="C406" s="4" t="s">
        <v>1145</v>
      </c>
      <c r="D406" s="5">
        <v>10126.0</v>
      </c>
      <c r="E406" s="6">
        <f t="shared" si="7"/>
        <v>853</v>
      </c>
      <c r="F406" s="7">
        <f t="shared" ref="F406:G406" si="2438">ROUND(RAND(),2)</f>
        <v>0.06</v>
      </c>
      <c r="G406" s="7">
        <f t="shared" si="2438"/>
        <v>0.97</v>
      </c>
      <c r="H406" s="7">
        <f t="shared" si="9"/>
        <v>5</v>
      </c>
      <c r="I406" s="7">
        <f t="shared" si="10"/>
        <v>93215</v>
      </c>
      <c r="J406" s="7">
        <f t="shared" si="11"/>
        <v>30190</v>
      </c>
      <c r="K406" s="7" t="str">
        <f t="shared" si="12"/>
        <v>B</v>
      </c>
      <c r="L406" s="7" t="str">
        <f t="shared" si="13"/>
        <v>Transformative change</v>
      </c>
      <c r="M406" s="7" t="str">
        <f t="shared" si="14"/>
        <v>Medium</v>
      </c>
      <c r="N406" s="7">
        <f t="shared" si="15"/>
        <v>3191795</v>
      </c>
      <c r="O406" s="7">
        <f t="shared" si="16"/>
        <v>2238790.646</v>
      </c>
      <c r="P406" s="7">
        <f t="shared" ref="P406:Q406" si="2439">RANDBETWEEN(0,22)</f>
        <v>17</v>
      </c>
      <c r="Q406" s="7">
        <f t="shared" si="2439"/>
        <v>19</v>
      </c>
      <c r="R406" s="7">
        <f t="shared" ref="R406:T406" si="2440">IF(S406=1,1,RANDBETWEEN(0,1))</f>
        <v>1</v>
      </c>
      <c r="S406" s="7">
        <f t="shared" si="2440"/>
        <v>1</v>
      </c>
      <c r="T406" s="7">
        <f t="shared" si="2440"/>
        <v>1</v>
      </c>
      <c r="U406" s="7">
        <f t="shared" si="19"/>
        <v>1</v>
      </c>
      <c r="V406" s="7">
        <f t="shared" ref="V406:X406" si="2441">IF(W406=1,1,RANDBETWEEN(0,1))</f>
        <v>1</v>
      </c>
      <c r="W406" s="7">
        <f t="shared" si="2441"/>
        <v>1</v>
      </c>
      <c r="X406" s="7">
        <f t="shared" si="2441"/>
        <v>1</v>
      </c>
      <c r="Y406" s="7">
        <f t="shared" si="21"/>
        <v>1</v>
      </c>
      <c r="Z406" s="7">
        <f t="shared" ref="Z406:AB406" si="2442">IF(AA406=1,1,RANDBETWEEN(0,1))</f>
        <v>0</v>
      </c>
      <c r="AA406" s="7">
        <f t="shared" si="2442"/>
        <v>0</v>
      </c>
      <c r="AB406" s="7">
        <f t="shared" si="2442"/>
        <v>0</v>
      </c>
      <c r="AC406" s="7">
        <f t="shared" si="23"/>
        <v>0</v>
      </c>
      <c r="AD406" s="7">
        <f t="shared" ref="AD406:AF406" si="2443">IF(AE406=1,1,RANDBETWEEN(0,1))</f>
        <v>1</v>
      </c>
      <c r="AE406" s="7">
        <f t="shared" si="2443"/>
        <v>0</v>
      </c>
      <c r="AF406" s="7">
        <f t="shared" si="2443"/>
        <v>0</v>
      </c>
      <c r="AG406" s="7">
        <f t="shared" si="25"/>
        <v>0</v>
      </c>
    </row>
    <row r="407">
      <c r="A407" s="4" t="s">
        <v>1146</v>
      </c>
      <c r="B407" s="4" t="s">
        <v>1147</v>
      </c>
      <c r="C407" s="4" t="s">
        <v>1148</v>
      </c>
      <c r="D407" s="5">
        <v>16726.0</v>
      </c>
      <c r="E407" s="6">
        <f t="shared" si="7"/>
        <v>811</v>
      </c>
      <c r="F407" s="7">
        <f t="shared" ref="F407:G407" si="2444">ROUND(RAND(),2)</f>
        <v>0.19</v>
      </c>
      <c r="G407" s="7">
        <f t="shared" si="2444"/>
        <v>0.42</v>
      </c>
      <c r="H407" s="7">
        <f t="shared" si="9"/>
        <v>3</v>
      </c>
      <c r="I407" s="7">
        <f t="shared" si="10"/>
        <v>35523</v>
      </c>
      <c r="J407" s="7">
        <f t="shared" si="11"/>
        <v>36149</v>
      </c>
      <c r="K407" s="7" t="str">
        <f t="shared" si="12"/>
        <v>D</v>
      </c>
      <c r="L407" s="7" t="str">
        <f t="shared" si="13"/>
        <v>Transformative change</v>
      </c>
      <c r="M407" s="7" t="str">
        <f t="shared" si="14"/>
        <v>Low</v>
      </c>
      <c r="N407" s="7">
        <f t="shared" si="15"/>
        <v>589029</v>
      </c>
      <c r="O407" s="7">
        <f t="shared" si="16"/>
        <v>319476.4209</v>
      </c>
      <c r="P407" s="7">
        <f t="shared" ref="P407:Q407" si="2445">RANDBETWEEN(0,22)</f>
        <v>10</v>
      </c>
      <c r="Q407" s="7">
        <f t="shared" si="2445"/>
        <v>5</v>
      </c>
      <c r="R407" s="7">
        <f t="shared" ref="R407:T407" si="2446">IF(S407=1,1,RANDBETWEEN(0,1))</f>
        <v>1</v>
      </c>
      <c r="S407" s="7">
        <f t="shared" si="2446"/>
        <v>1</v>
      </c>
      <c r="T407" s="7">
        <f t="shared" si="2446"/>
        <v>0</v>
      </c>
      <c r="U407" s="7">
        <f t="shared" si="19"/>
        <v>0</v>
      </c>
      <c r="V407" s="7">
        <f t="shared" ref="V407:X407" si="2447">IF(W407=1,1,RANDBETWEEN(0,1))</f>
        <v>1</v>
      </c>
      <c r="W407" s="7">
        <f t="shared" si="2447"/>
        <v>1</v>
      </c>
      <c r="X407" s="7">
        <f t="shared" si="2447"/>
        <v>0</v>
      </c>
      <c r="Y407" s="7">
        <f t="shared" si="21"/>
        <v>0</v>
      </c>
      <c r="Z407" s="7">
        <f t="shared" ref="Z407:AB407" si="2448">IF(AA407=1,1,RANDBETWEEN(0,1))</f>
        <v>1</v>
      </c>
      <c r="AA407" s="7">
        <f t="shared" si="2448"/>
        <v>1</v>
      </c>
      <c r="AB407" s="7">
        <f t="shared" si="2448"/>
        <v>1</v>
      </c>
      <c r="AC407" s="7">
        <f t="shared" si="23"/>
        <v>1</v>
      </c>
      <c r="AD407" s="7">
        <f t="shared" ref="AD407:AF407" si="2449">IF(AE407=1,1,RANDBETWEEN(0,1))</f>
        <v>1</v>
      </c>
      <c r="AE407" s="7">
        <f t="shared" si="2449"/>
        <v>1</v>
      </c>
      <c r="AF407" s="7">
        <f t="shared" si="2449"/>
        <v>1</v>
      </c>
      <c r="AG407" s="7">
        <f t="shared" si="25"/>
        <v>1</v>
      </c>
    </row>
    <row r="408">
      <c r="A408" s="4" t="s">
        <v>1149</v>
      </c>
      <c r="B408" s="4" t="s">
        <v>1150</v>
      </c>
      <c r="C408" s="4" t="s">
        <v>1151</v>
      </c>
      <c r="D408" s="5">
        <v>8266.0</v>
      </c>
      <c r="E408" s="6">
        <f t="shared" si="7"/>
        <v>1076</v>
      </c>
      <c r="F408" s="7">
        <f t="shared" ref="F408:G408" si="2450">ROUND(RAND(),2)</f>
        <v>0.42</v>
      </c>
      <c r="G408" s="7">
        <f t="shared" si="2450"/>
        <v>0.47</v>
      </c>
      <c r="H408" s="7">
        <f t="shared" si="9"/>
        <v>1</v>
      </c>
      <c r="I408" s="7">
        <f t="shared" si="10"/>
        <v>64152</v>
      </c>
      <c r="J408" s="7">
        <f t="shared" si="11"/>
        <v>35674</v>
      </c>
      <c r="K408" s="7" t="str">
        <f t="shared" si="12"/>
        <v>F</v>
      </c>
      <c r="L408" s="7" t="str">
        <f t="shared" si="13"/>
        <v>Transformative change</v>
      </c>
      <c r="M408" s="7" t="str">
        <f t="shared" si="14"/>
        <v>Medium</v>
      </c>
      <c r="N408" s="7">
        <f t="shared" si="15"/>
        <v>2897985</v>
      </c>
      <c r="O408" s="7">
        <f t="shared" si="16"/>
        <v>2085253.643</v>
      </c>
      <c r="P408" s="7">
        <f t="shared" ref="P408:Q408" si="2451">RANDBETWEEN(0,22)</f>
        <v>11</v>
      </c>
      <c r="Q408" s="7">
        <f t="shared" si="2451"/>
        <v>19</v>
      </c>
      <c r="R408" s="7">
        <f t="shared" ref="R408:T408" si="2452">IF(S408=1,1,RANDBETWEEN(0,1))</f>
        <v>1</v>
      </c>
      <c r="S408" s="7">
        <f t="shared" si="2452"/>
        <v>0</v>
      </c>
      <c r="T408" s="7">
        <f t="shared" si="2452"/>
        <v>0</v>
      </c>
      <c r="U408" s="7">
        <f t="shared" si="19"/>
        <v>0</v>
      </c>
      <c r="V408" s="7">
        <f t="shared" ref="V408:X408" si="2453">IF(W408=1,1,RANDBETWEEN(0,1))</f>
        <v>1</v>
      </c>
      <c r="W408" s="7">
        <f t="shared" si="2453"/>
        <v>1</v>
      </c>
      <c r="X408" s="7">
        <f t="shared" si="2453"/>
        <v>1</v>
      </c>
      <c r="Y408" s="7">
        <f t="shared" si="21"/>
        <v>0</v>
      </c>
      <c r="Z408" s="7">
        <f t="shared" ref="Z408:AB408" si="2454">IF(AA408=1,1,RANDBETWEEN(0,1))</f>
        <v>1</v>
      </c>
      <c r="AA408" s="7">
        <f t="shared" si="2454"/>
        <v>1</v>
      </c>
      <c r="AB408" s="7">
        <f t="shared" si="2454"/>
        <v>1</v>
      </c>
      <c r="AC408" s="7">
        <f t="shared" si="23"/>
        <v>1</v>
      </c>
      <c r="AD408" s="7">
        <f t="shared" ref="AD408:AF408" si="2455">IF(AE408=1,1,RANDBETWEEN(0,1))</f>
        <v>1</v>
      </c>
      <c r="AE408" s="7">
        <f t="shared" si="2455"/>
        <v>1</v>
      </c>
      <c r="AF408" s="7">
        <f t="shared" si="2455"/>
        <v>1</v>
      </c>
      <c r="AG408" s="7">
        <f t="shared" si="25"/>
        <v>0</v>
      </c>
    </row>
    <row r="409">
      <c r="A409" s="4" t="s">
        <v>1152</v>
      </c>
      <c r="B409" s="4" t="s">
        <v>1153</v>
      </c>
      <c r="C409" s="4" t="s">
        <v>1154</v>
      </c>
      <c r="D409" s="5">
        <v>12733.0</v>
      </c>
      <c r="E409" s="6">
        <f t="shared" si="7"/>
        <v>940</v>
      </c>
      <c r="F409" s="7">
        <f t="shared" ref="F409:G409" si="2456">ROUND(RAND(),2)</f>
        <v>0.89</v>
      </c>
      <c r="G409" s="7">
        <f t="shared" si="2456"/>
        <v>0.81</v>
      </c>
      <c r="H409" s="7">
        <f t="shared" si="9"/>
        <v>2</v>
      </c>
      <c r="I409" s="7">
        <f t="shared" si="10"/>
        <v>36956</v>
      </c>
      <c r="J409" s="7">
        <f t="shared" si="11"/>
        <v>15939</v>
      </c>
      <c r="K409" s="7" t="str">
        <f t="shared" si="12"/>
        <v>G</v>
      </c>
      <c r="L409" s="7" t="str">
        <f t="shared" si="13"/>
        <v>Transformative change</v>
      </c>
      <c r="M409" s="7" t="str">
        <f t="shared" si="14"/>
        <v>High</v>
      </c>
      <c r="N409" s="7">
        <f t="shared" si="15"/>
        <v>732318</v>
      </c>
      <c r="O409" s="7">
        <f t="shared" si="16"/>
        <v>707511.5054</v>
      </c>
      <c r="P409" s="7">
        <f t="shared" ref="P409:Q409" si="2457">RANDBETWEEN(0,22)</f>
        <v>3</v>
      </c>
      <c r="Q409" s="7">
        <f t="shared" si="2457"/>
        <v>4</v>
      </c>
      <c r="R409" s="7">
        <f t="shared" ref="R409:T409" si="2458">IF(S409=1,1,RANDBETWEEN(0,1))</f>
        <v>1</v>
      </c>
      <c r="S409" s="7">
        <f t="shared" si="2458"/>
        <v>1</v>
      </c>
      <c r="T409" s="7">
        <f t="shared" si="2458"/>
        <v>1</v>
      </c>
      <c r="U409" s="7">
        <f t="shared" si="19"/>
        <v>0</v>
      </c>
      <c r="V409" s="7">
        <f t="shared" ref="V409:X409" si="2459">IF(W409=1,1,RANDBETWEEN(0,1))</f>
        <v>1</v>
      </c>
      <c r="W409" s="7">
        <f t="shared" si="2459"/>
        <v>1</v>
      </c>
      <c r="X409" s="7">
        <f t="shared" si="2459"/>
        <v>1</v>
      </c>
      <c r="Y409" s="7">
        <f t="shared" si="21"/>
        <v>0</v>
      </c>
      <c r="Z409" s="7">
        <f t="shared" ref="Z409:AB409" si="2460">IF(AA409=1,1,RANDBETWEEN(0,1))</f>
        <v>1</v>
      </c>
      <c r="AA409" s="7">
        <f t="shared" si="2460"/>
        <v>1</v>
      </c>
      <c r="AB409" s="7">
        <f t="shared" si="2460"/>
        <v>1</v>
      </c>
      <c r="AC409" s="7">
        <f t="shared" si="23"/>
        <v>1</v>
      </c>
      <c r="AD409" s="7">
        <f t="shared" ref="AD409:AF409" si="2461">IF(AE409=1,1,RANDBETWEEN(0,1))</f>
        <v>0</v>
      </c>
      <c r="AE409" s="7">
        <f t="shared" si="2461"/>
        <v>0</v>
      </c>
      <c r="AF409" s="7">
        <f t="shared" si="2461"/>
        <v>0</v>
      </c>
      <c r="AG409" s="7">
        <f t="shared" si="25"/>
        <v>0</v>
      </c>
    </row>
    <row r="410">
      <c r="A410" s="4" t="s">
        <v>1155</v>
      </c>
      <c r="B410" s="4" t="s">
        <v>1156</v>
      </c>
      <c r="C410" s="4" t="s">
        <v>1157</v>
      </c>
      <c r="D410" s="5">
        <v>71022.0</v>
      </c>
      <c r="E410" s="6">
        <f t="shared" si="7"/>
        <v>834</v>
      </c>
      <c r="F410" s="7">
        <f t="shared" ref="F410:G410" si="2462">ROUND(RAND(),2)</f>
        <v>0.8</v>
      </c>
      <c r="G410" s="7">
        <f t="shared" si="2462"/>
        <v>0.15</v>
      </c>
      <c r="H410" s="7">
        <f t="shared" si="9"/>
        <v>1</v>
      </c>
      <c r="I410" s="7">
        <f t="shared" si="10"/>
        <v>85300</v>
      </c>
      <c r="J410" s="7">
        <f t="shared" si="11"/>
        <v>10272</v>
      </c>
      <c r="K410" s="7" t="str">
        <f t="shared" si="12"/>
        <v>B</v>
      </c>
      <c r="L410" s="7" t="str">
        <f t="shared" si="13"/>
        <v>Transformative change</v>
      </c>
      <c r="M410" s="7" t="str">
        <f t="shared" si="14"/>
        <v>Medium</v>
      </c>
      <c r="N410" s="7">
        <f t="shared" si="15"/>
        <v>798938</v>
      </c>
      <c r="O410" s="7">
        <f t="shared" si="16"/>
        <v>453671.4881</v>
      </c>
      <c r="P410" s="7">
        <f t="shared" ref="P410:Q410" si="2463">RANDBETWEEN(0,22)</f>
        <v>4</v>
      </c>
      <c r="Q410" s="7">
        <f t="shared" si="2463"/>
        <v>7</v>
      </c>
      <c r="R410" s="7">
        <f t="shared" ref="R410:T410" si="2464">IF(S410=1,1,RANDBETWEEN(0,1))</f>
        <v>1</v>
      </c>
      <c r="S410" s="7">
        <f t="shared" si="2464"/>
        <v>1</v>
      </c>
      <c r="T410" s="7">
        <f t="shared" si="2464"/>
        <v>1</v>
      </c>
      <c r="U410" s="7">
        <f t="shared" si="19"/>
        <v>1</v>
      </c>
      <c r="V410" s="7">
        <f t="shared" ref="V410:X410" si="2465">IF(W410=1,1,RANDBETWEEN(0,1))</f>
        <v>1</v>
      </c>
      <c r="W410" s="7">
        <f t="shared" si="2465"/>
        <v>1</v>
      </c>
      <c r="X410" s="7">
        <f t="shared" si="2465"/>
        <v>1</v>
      </c>
      <c r="Y410" s="7">
        <f t="shared" si="21"/>
        <v>1</v>
      </c>
      <c r="Z410" s="7">
        <f t="shared" ref="Z410:AB410" si="2466">IF(AA410=1,1,RANDBETWEEN(0,1))</f>
        <v>0</v>
      </c>
      <c r="AA410" s="7">
        <f t="shared" si="2466"/>
        <v>0</v>
      </c>
      <c r="AB410" s="7">
        <f t="shared" si="2466"/>
        <v>0</v>
      </c>
      <c r="AC410" s="7">
        <f t="shared" si="23"/>
        <v>0</v>
      </c>
      <c r="AD410" s="7">
        <f t="shared" ref="AD410:AF410" si="2467">IF(AE410=1,1,RANDBETWEEN(0,1))</f>
        <v>1</v>
      </c>
      <c r="AE410" s="7">
        <f t="shared" si="2467"/>
        <v>1</v>
      </c>
      <c r="AF410" s="7">
        <f t="shared" si="2467"/>
        <v>1</v>
      </c>
      <c r="AG410" s="7">
        <f t="shared" si="25"/>
        <v>1</v>
      </c>
    </row>
    <row r="411">
      <c r="A411" s="4" t="s">
        <v>1158</v>
      </c>
      <c r="B411" s="4" t="s">
        <v>1159</v>
      </c>
      <c r="C411" s="4" t="s">
        <v>95</v>
      </c>
      <c r="D411" s="5">
        <v>12576.0</v>
      </c>
      <c r="E411" s="6">
        <f t="shared" si="7"/>
        <v>939</v>
      </c>
      <c r="F411" s="7">
        <f t="shared" ref="F411:G411" si="2468">ROUND(RAND(),2)</f>
        <v>0.65</v>
      </c>
      <c r="G411" s="7">
        <f t="shared" si="2468"/>
        <v>0.63</v>
      </c>
      <c r="H411" s="7">
        <f t="shared" si="9"/>
        <v>3</v>
      </c>
      <c r="I411" s="7">
        <f t="shared" si="10"/>
        <v>22674</v>
      </c>
      <c r="J411" s="7">
        <f t="shared" si="11"/>
        <v>62907</v>
      </c>
      <c r="K411" s="7" t="str">
        <f t="shared" si="12"/>
        <v>A</v>
      </c>
      <c r="L411" s="7" t="str">
        <f t="shared" si="13"/>
        <v>Transformative change</v>
      </c>
      <c r="M411" s="7" t="str">
        <f t="shared" si="14"/>
        <v>High</v>
      </c>
      <c r="N411" s="7">
        <f t="shared" si="15"/>
        <v>1075235</v>
      </c>
      <c r="O411" s="7">
        <f t="shared" si="16"/>
        <v>499797.7914</v>
      </c>
      <c r="P411" s="7">
        <f t="shared" ref="P411:Q411" si="2469">RANDBETWEEN(0,22)</f>
        <v>12</v>
      </c>
      <c r="Q411" s="7">
        <f t="shared" si="2469"/>
        <v>16</v>
      </c>
      <c r="R411" s="7">
        <f t="shared" ref="R411:T411" si="2470">IF(S411=1,1,RANDBETWEEN(0,1))</f>
        <v>1</v>
      </c>
      <c r="S411" s="7">
        <f t="shared" si="2470"/>
        <v>1</v>
      </c>
      <c r="T411" s="7">
        <f t="shared" si="2470"/>
        <v>1</v>
      </c>
      <c r="U411" s="7">
        <f t="shared" si="19"/>
        <v>1</v>
      </c>
      <c r="V411" s="7">
        <f t="shared" ref="V411:X411" si="2471">IF(W411=1,1,RANDBETWEEN(0,1))</f>
        <v>1</v>
      </c>
      <c r="W411" s="7">
        <f t="shared" si="2471"/>
        <v>1</v>
      </c>
      <c r="X411" s="7">
        <f t="shared" si="2471"/>
        <v>1</v>
      </c>
      <c r="Y411" s="7">
        <f t="shared" si="21"/>
        <v>1</v>
      </c>
      <c r="Z411" s="7">
        <f t="shared" ref="Z411:AB411" si="2472">IF(AA411=1,1,RANDBETWEEN(0,1))</f>
        <v>1</v>
      </c>
      <c r="AA411" s="7">
        <f t="shared" si="2472"/>
        <v>1</v>
      </c>
      <c r="AB411" s="7">
        <f t="shared" si="2472"/>
        <v>1</v>
      </c>
      <c r="AC411" s="7">
        <f t="shared" si="23"/>
        <v>0</v>
      </c>
      <c r="AD411" s="7">
        <f t="shared" ref="AD411:AF411" si="2473">IF(AE411=1,1,RANDBETWEEN(0,1))</f>
        <v>1</v>
      </c>
      <c r="AE411" s="7">
        <f t="shared" si="2473"/>
        <v>1</v>
      </c>
      <c r="AF411" s="7">
        <f t="shared" si="2473"/>
        <v>1</v>
      </c>
      <c r="AG411" s="7">
        <f t="shared" si="25"/>
        <v>1</v>
      </c>
    </row>
    <row r="412">
      <c r="A412" s="4" t="s">
        <v>1160</v>
      </c>
      <c r="B412" s="4" t="s">
        <v>1161</v>
      </c>
      <c r="C412" s="4" t="s">
        <v>1162</v>
      </c>
      <c r="D412" s="5">
        <v>9477.0</v>
      </c>
      <c r="E412" s="6">
        <f t="shared" si="7"/>
        <v>974</v>
      </c>
      <c r="F412" s="7">
        <f t="shared" ref="F412:G412" si="2474">ROUND(RAND(),2)</f>
        <v>0.28</v>
      </c>
      <c r="G412" s="7">
        <f t="shared" si="2474"/>
        <v>0.62</v>
      </c>
      <c r="H412" s="7">
        <f t="shared" si="9"/>
        <v>3</v>
      </c>
      <c r="I412" s="7">
        <f t="shared" si="10"/>
        <v>78522</v>
      </c>
      <c r="J412" s="7">
        <f t="shared" si="11"/>
        <v>3566</v>
      </c>
      <c r="K412" s="7" t="str">
        <f t="shared" si="12"/>
        <v>A</v>
      </c>
      <c r="L412" s="7" t="str">
        <f t="shared" si="13"/>
        <v>Transformative change</v>
      </c>
      <c r="M412" s="7" t="str">
        <f t="shared" si="14"/>
        <v>High</v>
      </c>
      <c r="N412" s="7">
        <f t="shared" si="15"/>
        <v>1394007</v>
      </c>
      <c r="O412" s="7">
        <f t="shared" si="16"/>
        <v>174469.5364</v>
      </c>
      <c r="P412" s="7">
        <f t="shared" ref="P412:Q412" si="2475">RANDBETWEEN(0,22)</f>
        <v>5</v>
      </c>
      <c r="Q412" s="7">
        <f t="shared" si="2475"/>
        <v>22</v>
      </c>
      <c r="R412" s="7">
        <f t="shared" ref="R412:T412" si="2476">IF(S412=1,1,RANDBETWEEN(0,1))</f>
        <v>1</v>
      </c>
      <c r="S412" s="7">
        <f t="shared" si="2476"/>
        <v>1</v>
      </c>
      <c r="T412" s="7">
        <f t="shared" si="2476"/>
        <v>1</v>
      </c>
      <c r="U412" s="7">
        <f t="shared" si="19"/>
        <v>1</v>
      </c>
      <c r="V412" s="7">
        <f t="shared" ref="V412:X412" si="2477">IF(W412=1,1,RANDBETWEEN(0,1))</f>
        <v>1</v>
      </c>
      <c r="W412" s="7">
        <f t="shared" si="2477"/>
        <v>1</v>
      </c>
      <c r="X412" s="7">
        <f t="shared" si="2477"/>
        <v>1</v>
      </c>
      <c r="Y412" s="7">
        <f t="shared" si="21"/>
        <v>0</v>
      </c>
      <c r="Z412" s="7">
        <f t="shared" ref="Z412:AB412" si="2478">IF(AA412=1,1,RANDBETWEEN(0,1))</f>
        <v>1</v>
      </c>
      <c r="AA412" s="7">
        <f t="shared" si="2478"/>
        <v>1</v>
      </c>
      <c r="AB412" s="7">
        <f t="shared" si="2478"/>
        <v>1</v>
      </c>
      <c r="AC412" s="7">
        <f t="shared" si="23"/>
        <v>1</v>
      </c>
      <c r="AD412" s="7">
        <f t="shared" ref="AD412:AF412" si="2479">IF(AE412=1,1,RANDBETWEEN(0,1))</f>
        <v>1</v>
      </c>
      <c r="AE412" s="7">
        <f t="shared" si="2479"/>
        <v>1</v>
      </c>
      <c r="AF412" s="7">
        <f t="shared" si="2479"/>
        <v>1</v>
      </c>
      <c r="AG412" s="7">
        <f t="shared" si="25"/>
        <v>1</v>
      </c>
    </row>
    <row r="413">
      <c r="A413" s="4" t="s">
        <v>1163</v>
      </c>
      <c r="B413" s="4" t="s">
        <v>1164</v>
      </c>
      <c r="C413" s="4" t="s">
        <v>95</v>
      </c>
      <c r="D413" s="5">
        <v>16716.0</v>
      </c>
      <c r="E413" s="6">
        <f t="shared" si="7"/>
        <v>1001</v>
      </c>
      <c r="F413" s="7">
        <f t="shared" ref="F413:G413" si="2480">ROUND(RAND(),2)</f>
        <v>0.91</v>
      </c>
      <c r="G413" s="7">
        <f t="shared" si="2480"/>
        <v>0.85</v>
      </c>
      <c r="H413" s="7">
        <f t="shared" si="9"/>
        <v>3</v>
      </c>
      <c r="I413" s="7">
        <f t="shared" si="10"/>
        <v>34744</v>
      </c>
      <c r="J413" s="7">
        <f t="shared" si="11"/>
        <v>15908</v>
      </c>
      <c r="K413" s="7" t="str">
        <f t="shared" si="12"/>
        <v>E</v>
      </c>
      <c r="L413" s="7" t="str">
        <f t="shared" si="13"/>
        <v>Transformative change</v>
      </c>
      <c r="M413" s="7" t="str">
        <f t="shared" si="14"/>
        <v>Medium</v>
      </c>
      <c r="N413" s="7">
        <f t="shared" si="15"/>
        <v>693780</v>
      </c>
      <c r="O413" s="7">
        <f t="shared" si="16"/>
        <v>596310.3343</v>
      </c>
      <c r="P413" s="7">
        <f t="shared" ref="P413:Q413" si="2481">RANDBETWEEN(0,22)</f>
        <v>19</v>
      </c>
      <c r="Q413" s="7">
        <f t="shared" si="2481"/>
        <v>3</v>
      </c>
      <c r="R413" s="7">
        <f t="shared" ref="R413:T413" si="2482">IF(S413=1,1,RANDBETWEEN(0,1))</f>
        <v>1</v>
      </c>
      <c r="S413" s="7">
        <f t="shared" si="2482"/>
        <v>1</v>
      </c>
      <c r="T413" s="7">
        <f t="shared" si="2482"/>
        <v>1</v>
      </c>
      <c r="U413" s="7">
        <f t="shared" si="19"/>
        <v>0</v>
      </c>
      <c r="V413" s="7">
        <f t="shared" ref="V413:X413" si="2483">IF(W413=1,1,RANDBETWEEN(0,1))</f>
        <v>0</v>
      </c>
      <c r="W413" s="7">
        <f t="shared" si="2483"/>
        <v>0</v>
      </c>
      <c r="X413" s="7">
        <f t="shared" si="2483"/>
        <v>0</v>
      </c>
      <c r="Y413" s="7">
        <f t="shared" si="21"/>
        <v>0</v>
      </c>
      <c r="Z413" s="7">
        <f t="shared" ref="Z413:AB413" si="2484">IF(AA413=1,1,RANDBETWEEN(0,1))</f>
        <v>1</v>
      </c>
      <c r="AA413" s="7">
        <f t="shared" si="2484"/>
        <v>0</v>
      </c>
      <c r="AB413" s="7">
        <f t="shared" si="2484"/>
        <v>0</v>
      </c>
      <c r="AC413" s="7">
        <f t="shared" si="23"/>
        <v>0</v>
      </c>
      <c r="AD413" s="7">
        <f t="shared" ref="AD413:AF413" si="2485">IF(AE413=1,1,RANDBETWEEN(0,1))</f>
        <v>1</v>
      </c>
      <c r="AE413" s="7">
        <f t="shared" si="2485"/>
        <v>0</v>
      </c>
      <c r="AF413" s="7">
        <f t="shared" si="2485"/>
        <v>0</v>
      </c>
      <c r="AG413" s="7">
        <f t="shared" si="25"/>
        <v>0</v>
      </c>
    </row>
    <row r="414">
      <c r="A414" s="4" t="s">
        <v>280</v>
      </c>
      <c r="B414" s="4" t="s">
        <v>1165</v>
      </c>
      <c r="C414" s="4" t="s">
        <v>1166</v>
      </c>
      <c r="D414" s="5">
        <v>14804.0</v>
      </c>
      <c r="E414" s="6">
        <f t="shared" si="7"/>
        <v>976</v>
      </c>
      <c r="F414" s="7">
        <f t="shared" ref="F414:G414" si="2486">ROUND(RAND(),2)</f>
        <v>0.37</v>
      </c>
      <c r="G414" s="7">
        <f t="shared" si="2486"/>
        <v>0.33</v>
      </c>
      <c r="H414" s="7">
        <f t="shared" si="9"/>
        <v>3</v>
      </c>
      <c r="I414" s="7">
        <f t="shared" si="10"/>
        <v>80100</v>
      </c>
      <c r="J414" s="7">
        <f t="shared" si="11"/>
        <v>36178</v>
      </c>
      <c r="K414" s="7" t="str">
        <f t="shared" si="12"/>
        <v>C</v>
      </c>
      <c r="L414" s="7" t="str">
        <f t="shared" si="13"/>
        <v>Transformative change</v>
      </c>
      <c r="M414" s="7" t="str">
        <f t="shared" si="14"/>
        <v>High</v>
      </c>
      <c r="N414" s="7">
        <f t="shared" si="15"/>
        <v>2893681</v>
      </c>
      <c r="O414" s="7">
        <f t="shared" si="16"/>
        <v>208415.07</v>
      </c>
      <c r="P414" s="7">
        <f t="shared" ref="P414:Q414" si="2487">RANDBETWEEN(0,22)</f>
        <v>9</v>
      </c>
      <c r="Q414" s="7">
        <f t="shared" si="2487"/>
        <v>20</v>
      </c>
      <c r="R414" s="7">
        <f t="shared" ref="R414:T414" si="2488">IF(S414=1,1,RANDBETWEEN(0,1))</f>
        <v>0</v>
      </c>
      <c r="S414" s="7">
        <f t="shared" si="2488"/>
        <v>0</v>
      </c>
      <c r="T414" s="7">
        <f t="shared" si="2488"/>
        <v>0</v>
      </c>
      <c r="U414" s="7">
        <f t="shared" si="19"/>
        <v>0</v>
      </c>
      <c r="V414" s="7">
        <f t="shared" ref="V414:X414" si="2489">IF(W414=1,1,RANDBETWEEN(0,1))</f>
        <v>1</v>
      </c>
      <c r="W414" s="7">
        <f t="shared" si="2489"/>
        <v>1</v>
      </c>
      <c r="X414" s="7">
        <f t="shared" si="2489"/>
        <v>1</v>
      </c>
      <c r="Y414" s="7">
        <f t="shared" si="21"/>
        <v>0</v>
      </c>
      <c r="Z414" s="7">
        <f t="shared" ref="Z414:AB414" si="2490">IF(AA414=1,1,RANDBETWEEN(0,1))</f>
        <v>1</v>
      </c>
      <c r="AA414" s="7">
        <f t="shared" si="2490"/>
        <v>1</v>
      </c>
      <c r="AB414" s="7">
        <f t="shared" si="2490"/>
        <v>0</v>
      </c>
      <c r="AC414" s="7">
        <f t="shared" si="23"/>
        <v>0</v>
      </c>
      <c r="AD414" s="7">
        <f t="shared" ref="AD414:AF414" si="2491">IF(AE414=1,1,RANDBETWEEN(0,1))</f>
        <v>1</v>
      </c>
      <c r="AE414" s="7">
        <f t="shared" si="2491"/>
        <v>1</v>
      </c>
      <c r="AF414" s="7">
        <f t="shared" si="2491"/>
        <v>1</v>
      </c>
      <c r="AG414" s="7">
        <f t="shared" si="25"/>
        <v>1</v>
      </c>
    </row>
    <row r="415">
      <c r="A415" s="4" t="s">
        <v>1167</v>
      </c>
      <c r="B415" s="4" t="s">
        <v>1168</v>
      </c>
      <c r="C415" s="4" t="s">
        <v>1169</v>
      </c>
      <c r="D415" s="5">
        <v>15044.0</v>
      </c>
      <c r="E415" s="6">
        <f t="shared" si="7"/>
        <v>906</v>
      </c>
      <c r="F415" s="7">
        <f t="shared" ref="F415:G415" si="2492">ROUND(RAND(),2)</f>
        <v>0.15</v>
      </c>
      <c r="G415" s="7">
        <f t="shared" si="2492"/>
        <v>0.09</v>
      </c>
      <c r="H415" s="7">
        <f t="shared" si="9"/>
        <v>4</v>
      </c>
      <c r="I415" s="7">
        <f t="shared" si="10"/>
        <v>19307</v>
      </c>
      <c r="J415" s="7">
        <f t="shared" si="11"/>
        <v>53556</v>
      </c>
      <c r="K415" s="7" t="str">
        <f t="shared" si="12"/>
        <v>A</v>
      </c>
      <c r="L415" s="7" t="str">
        <f t="shared" si="13"/>
        <v>Transformative change</v>
      </c>
      <c r="M415" s="7" t="str">
        <f t="shared" si="14"/>
        <v>High</v>
      </c>
      <c r="N415" s="7">
        <f t="shared" si="15"/>
        <v>3044757</v>
      </c>
      <c r="O415" s="7">
        <f t="shared" si="16"/>
        <v>343863.2063</v>
      </c>
      <c r="P415" s="7">
        <f t="shared" ref="P415:Q415" si="2493">RANDBETWEEN(0,22)</f>
        <v>0</v>
      </c>
      <c r="Q415" s="7">
        <f t="shared" si="2493"/>
        <v>12</v>
      </c>
      <c r="R415" s="7">
        <f t="shared" ref="R415:T415" si="2494">IF(S415=1,1,RANDBETWEEN(0,1))</f>
        <v>0</v>
      </c>
      <c r="S415" s="7">
        <f t="shared" si="2494"/>
        <v>0</v>
      </c>
      <c r="T415" s="7">
        <f t="shared" si="2494"/>
        <v>0</v>
      </c>
      <c r="U415" s="7">
        <f t="shared" si="19"/>
        <v>0</v>
      </c>
      <c r="V415" s="7">
        <f t="shared" ref="V415:X415" si="2495">IF(W415=1,1,RANDBETWEEN(0,1))</f>
        <v>1</v>
      </c>
      <c r="W415" s="7">
        <f t="shared" si="2495"/>
        <v>1</v>
      </c>
      <c r="X415" s="7">
        <f t="shared" si="2495"/>
        <v>0</v>
      </c>
      <c r="Y415" s="7">
        <f t="shared" si="21"/>
        <v>0</v>
      </c>
      <c r="Z415" s="7">
        <f t="shared" ref="Z415:AB415" si="2496">IF(AA415=1,1,RANDBETWEEN(0,1))</f>
        <v>1</v>
      </c>
      <c r="AA415" s="7">
        <f t="shared" si="2496"/>
        <v>1</v>
      </c>
      <c r="AB415" s="7">
        <f t="shared" si="2496"/>
        <v>1</v>
      </c>
      <c r="AC415" s="7">
        <f t="shared" si="23"/>
        <v>1</v>
      </c>
      <c r="AD415" s="7">
        <f t="shared" ref="AD415:AF415" si="2497">IF(AE415=1,1,RANDBETWEEN(0,1))</f>
        <v>1</v>
      </c>
      <c r="AE415" s="7">
        <f t="shared" si="2497"/>
        <v>1</v>
      </c>
      <c r="AF415" s="7">
        <f t="shared" si="2497"/>
        <v>1</v>
      </c>
      <c r="AG415" s="7">
        <f t="shared" si="25"/>
        <v>0</v>
      </c>
    </row>
    <row r="416">
      <c r="A416" s="4" t="s">
        <v>1170</v>
      </c>
      <c r="B416" s="4" t="s">
        <v>1171</v>
      </c>
      <c r="C416" s="4" t="s">
        <v>1172</v>
      </c>
      <c r="D416" s="5">
        <v>11945.0</v>
      </c>
      <c r="E416" s="6">
        <f t="shared" si="7"/>
        <v>882</v>
      </c>
      <c r="F416" s="7">
        <f t="shared" ref="F416:G416" si="2498">ROUND(RAND(),2)</f>
        <v>0.21</v>
      </c>
      <c r="G416" s="7">
        <f t="shared" si="2498"/>
        <v>0.68</v>
      </c>
      <c r="H416" s="7">
        <f t="shared" si="9"/>
        <v>1</v>
      </c>
      <c r="I416" s="7">
        <f t="shared" si="10"/>
        <v>60236</v>
      </c>
      <c r="J416" s="7">
        <f t="shared" si="11"/>
        <v>29172</v>
      </c>
      <c r="K416" s="7" t="str">
        <f t="shared" si="12"/>
        <v>E</v>
      </c>
      <c r="L416" s="7" t="str">
        <f t="shared" si="13"/>
        <v>Transformative change</v>
      </c>
      <c r="M416" s="7" t="str">
        <f t="shared" si="14"/>
        <v>High</v>
      </c>
      <c r="N416" s="7">
        <f t="shared" si="15"/>
        <v>2854266</v>
      </c>
      <c r="O416" s="7">
        <f t="shared" si="16"/>
        <v>2197963.511</v>
      </c>
      <c r="P416" s="7">
        <f t="shared" ref="P416:Q416" si="2499">RANDBETWEEN(0,22)</f>
        <v>6</v>
      </c>
      <c r="Q416" s="7">
        <f t="shared" si="2499"/>
        <v>7</v>
      </c>
      <c r="R416" s="7">
        <f t="shared" ref="R416:T416" si="2500">IF(S416=1,1,RANDBETWEEN(0,1))</f>
        <v>1</v>
      </c>
      <c r="S416" s="7">
        <f t="shared" si="2500"/>
        <v>1</v>
      </c>
      <c r="T416" s="7">
        <f t="shared" si="2500"/>
        <v>1</v>
      </c>
      <c r="U416" s="7">
        <f t="shared" si="19"/>
        <v>1</v>
      </c>
      <c r="V416" s="7">
        <f t="shared" ref="V416:X416" si="2501">IF(W416=1,1,RANDBETWEEN(0,1))</f>
        <v>1</v>
      </c>
      <c r="W416" s="7">
        <f t="shared" si="2501"/>
        <v>1</v>
      </c>
      <c r="X416" s="7">
        <f t="shared" si="2501"/>
        <v>1</v>
      </c>
      <c r="Y416" s="7">
        <f t="shared" si="21"/>
        <v>1</v>
      </c>
      <c r="Z416" s="7">
        <f t="shared" ref="Z416:AB416" si="2502">IF(AA416=1,1,RANDBETWEEN(0,1))</f>
        <v>1</v>
      </c>
      <c r="AA416" s="7">
        <f t="shared" si="2502"/>
        <v>1</v>
      </c>
      <c r="AB416" s="7">
        <f t="shared" si="2502"/>
        <v>1</v>
      </c>
      <c r="AC416" s="7">
        <f t="shared" si="23"/>
        <v>0</v>
      </c>
      <c r="AD416" s="7">
        <f t="shared" ref="AD416:AF416" si="2503">IF(AE416=1,1,RANDBETWEEN(0,1))</f>
        <v>1</v>
      </c>
      <c r="AE416" s="7">
        <f t="shared" si="2503"/>
        <v>1</v>
      </c>
      <c r="AF416" s="7">
        <f t="shared" si="2503"/>
        <v>0</v>
      </c>
      <c r="AG416" s="7">
        <f t="shared" si="25"/>
        <v>0</v>
      </c>
    </row>
    <row r="417">
      <c r="A417" s="4" t="s">
        <v>1173</v>
      </c>
      <c r="B417" s="4" t="s">
        <v>1174</v>
      </c>
      <c r="C417" s="4" t="s">
        <v>1175</v>
      </c>
      <c r="D417" s="5">
        <v>20385.0</v>
      </c>
      <c r="E417" s="6">
        <f t="shared" si="7"/>
        <v>830</v>
      </c>
      <c r="F417" s="7">
        <f t="shared" ref="F417:G417" si="2504">ROUND(RAND(),2)</f>
        <v>0.47</v>
      </c>
      <c r="G417" s="7">
        <f t="shared" si="2504"/>
        <v>0.59</v>
      </c>
      <c r="H417" s="7">
        <f t="shared" si="9"/>
        <v>4</v>
      </c>
      <c r="I417" s="7">
        <f t="shared" si="10"/>
        <v>85700</v>
      </c>
      <c r="J417" s="7">
        <f t="shared" si="11"/>
        <v>63357</v>
      </c>
      <c r="K417" s="7" t="str">
        <f t="shared" si="12"/>
        <v>G</v>
      </c>
      <c r="L417" s="7" t="str">
        <f t="shared" si="13"/>
        <v>Transformative change</v>
      </c>
      <c r="M417" s="7" t="str">
        <f t="shared" si="14"/>
        <v>Low</v>
      </c>
      <c r="N417" s="7">
        <f t="shared" si="15"/>
        <v>3161022</v>
      </c>
      <c r="O417" s="7">
        <f t="shared" si="16"/>
        <v>67287.85543</v>
      </c>
      <c r="P417" s="7">
        <f t="shared" ref="P417:Q417" si="2505">RANDBETWEEN(0,22)</f>
        <v>13</v>
      </c>
      <c r="Q417" s="7">
        <f t="shared" si="2505"/>
        <v>9</v>
      </c>
      <c r="R417" s="7">
        <f t="shared" ref="R417:T417" si="2506">IF(S417=1,1,RANDBETWEEN(0,1))</f>
        <v>1</v>
      </c>
      <c r="S417" s="7">
        <f t="shared" si="2506"/>
        <v>1</v>
      </c>
      <c r="T417" s="7">
        <f t="shared" si="2506"/>
        <v>1</v>
      </c>
      <c r="U417" s="7">
        <f t="shared" si="19"/>
        <v>1</v>
      </c>
      <c r="V417" s="7">
        <f t="shared" ref="V417:X417" si="2507">IF(W417=1,1,RANDBETWEEN(0,1))</f>
        <v>1</v>
      </c>
      <c r="W417" s="7">
        <f t="shared" si="2507"/>
        <v>1</v>
      </c>
      <c r="X417" s="7">
        <f t="shared" si="2507"/>
        <v>1</v>
      </c>
      <c r="Y417" s="7">
        <f t="shared" si="21"/>
        <v>1</v>
      </c>
      <c r="Z417" s="7">
        <f t="shared" ref="Z417:AB417" si="2508">IF(AA417=1,1,RANDBETWEEN(0,1))</f>
        <v>1</v>
      </c>
      <c r="AA417" s="7">
        <f t="shared" si="2508"/>
        <v>1</v>
      </c>
      <c r="AB417" s="7">
        <f t="shared" si="2508"/>
        <v>1</v>
      </c>
      <c r="AC417" s="7">
        <f t="shared" si="23"/>
        <v>0</v>
      </c>
      <c r="AD417" s="7">
        <f t="shared" ref="AD417:AF417" si="2509">IF(AE417=1,1,RANDBETWEEN(0,1))</f>
        <v>1</v>
      </c>
      <c r="AE417" s="7">
        <f t="shared" si="2509"/>
        <v>1</v>
      </c>
      <c r="AF417" s="7">
        <f t="shared" si="2509"/>
        <v>1</v>
      </c>
      <c r="AG417" s="7">
        <f t="shared" si="25"/>
        <v>0</v>
      </c>
    </row>
    <row r="418">
      <c r="A418" s="4" t="s">
        <v>1176</v>
      </c>
      <c r="B418" s="4" t="s">
        <v>1177</v>
      </c>
      <c r="C418" s="4" t="s">
        <v>1178</v>
      </c>
      <c r="D418" s="5">
        <v>19573.0</v>
      </c>
      <c r="E418" s="6">
        <f t="shared" si="7"/>
        <v>857</v>
      </c>
      <c r="F418" s="7">
        <f t="shared" ref="F418:G418" si="2510">ROUND(RAND(),2)</f>
        <v>0.58</v>
      </c>
      <c r="G418" s="7">
        <f t="shared" si="2510"/>
        <v>0.43</v>
      </c>
      <c r="H418" s="7">
        <f t="shared" si="9"/>
        <v>4</v>
      </c>
      <c r="I418" s="7">
        <f t="shared" si="10"/>
        <v>58127</v>
      </c>
      <c r="J418" s="7">
        <f t="shared" si="11"/>
        <v>15869</v>
      </c>
      <c r="K418" s="7" t="str">
        <f t="shared" si="12"/>
        <v>G</v>
      </c>
      <c r="L418" s="7" t="str">
        <f t="shared" si="13"/>
        <v>Transformative change</v>
      </c>
      <c r="M418" s="7" t="str">
        <f t="shared" si="14"/>
        <v>Medium</v>
      </c>
      <c r="N418" s="7">
        <f t="shared" si="15"/>
        <v>3614289</v>
      </c>
      <c r="O418" s="7">
        <f t="shared" si="16"/>
        <v>3486817.173</v>
      </c>
      <c r="P418" s="7">
        <f t="shared" ref="P418:Q418" si="2511">RANDBETWEEN(0,22)</f>
        <v>21</v>
      </c>
      <c r="Q418" s="7">
        <f t="shared" si="2511"/>
        <v>21</v>
      </c>
      <c r="R418" s="7">
        <f t="shared" ref="R418:T418" si="2512">IF(S418=1,1,RANDBETWEEN(0,1))</f>
        <v>1</v>
      </c>
      <c r="S418" s="7">
        <f t="shared" si="2512"/>
        <v>1</v>
      </c>
      <c r="T418" s="7">
        <f t="shared" si="2512"/>
        <v>1</v>
      </c>
      <c r="U418" s="7">
        <f t="shared" si="19"/>
        <v>0</v>
      </c>
      <c r="V418" s="7">
        <f t="shared" ref="V418:X418" si="2513">IF(W418=1,1,RANDBETWEEN(0,1))</f>
        <v>1</v>
      </c>
      <c r="W418" s="7">
        <f t="shared" si="2513"/>
        <v>1</v>
      </c>
      <c r="X418" s="7">
        <f t="shared" si="2513"/>
        <v>1</v>
      </c>
      <c r="Y418" s="7">
        <f t="shared" si="21"/>
        <v>0</v>
      </c>
      <c r="Z418" s="7">
        <f t="shared" ref="Z418:AB418" si="2514">IF(AA418=1,1,RANDBETWEEN(0,1))</f>
        <v>1</v>
      </c>
      <c r="AA418" s="7">
        <f t="shared" si="2514"/>
        <v>1</v>
      </c>
      <c r="AB418" s="7">
        <f t="shared" si="2514"/>
        <v>1</v>
      </c>
      <c r="AC418" s="7">
        <f t="shared" si="23"/>
        <v>0</v>
      </c>
      <c r="AD418" s="7">
        <f t="shared" ref="AD418:AF418" si="2515">IF(AE418=1,1,RANDBETWEEN(0,1))</f>
        <v>1</v>
      </c>
      <c r="AE418" s="7">
        <f t="shared" si="2515"/>
        <v>1</v>
      </c>
      <c r="AF418" s="7">
        <f t="shared" si="2515"/>
        <v>1</v>
      </c>
      <c r="AG418" s="7">
        <f t="shared" si="25"/>
        <v>1</v>
      </c>
    </row>
    <row r="419">
      <c r="A419" s="4" t="s">
        <v>1179</v>
      </c>
      <c r="B419" s="4" t="s">
        <v>1180</v>
      </c>
      <c r="C419" s="4" t="s">
        <v>1181</v>
      </c>
      <c r="D419" s="5">
        <v>6907.0</v>
      </c>
      <c r="E419" s="6">
        <f t="shared" si="7"/>
        <v>1046</v>
      </c>
      <c r="F419" s="7">
        <f t="shared" ref="F419:G419" si="2516">ROUND(RAND(),2)</f>
        <v>0.79</v>
      </c>
      <c r="G419" s="7">
        <f t="shared" si="2516"/>
        <v>0.5</v>
      </c>
      <c r="H419" s="7">
        <f t="shared" si="9"/>
        <v>5</v>
      </c>
      <c r="I419" s="7">
        <f t="shared" si="10"/>
        <v>71343</v>
      </c>
      <c r="J419" s="7">
        <f t="shared" si="11"/>
        <v>70635</v>
      </c>
      <c r="K419" s="7" t="str">
        <f t="shared" si="12"/>
        <v>F</v>
      </c>
      <c r="L419" s="7" t="str">
        <f t="shared" si="13"/>
        <v>Transformative change</v>
      </c>
      <c r="M419" s="7" t="str">
        <f t="shared" si="14"/>
        <v>Low</v>
      </c>
      <c r="N419" s="7">
        <f t="shared" si="15"/>
        <v>41111</v>
      </c>
      <c r="O419" s="7">
        <f t="shared" si="16"/>
        <v>11042.50649</v>
      </c>
      <c r="P419" s="7">
        <f t="shared" ref="P419:Q419" si="2517">RANDBETWEEN(0,22)</f>
        <v>16</v>
      </c>
      <c r="Q419" s="7">
        <f t="shared" si="2517"/>
        <v>18</v>
      </c>
      <c r="R419" s="7">
        <f t="shared" ref="R419:T419" si="2518">IF(S419=1,1,RANDBETWEEN(0,1))</f>
        <v>1</v>
      </c>
      <c r="S419" s="7">
        <f t="shared" si="2518"/>
        <v>1</v>
      </c>
      <c r="T419" s="7">
        <f t="shared" si="2518"/>
        <v>1</v>
      </c>
      <c r="U419" s="7">
        <f t="shared" si="19"/>
        <v>0</v>
      </c>
      <c r="V419" s="7">
        <f t="shared" ref="V419:X419" si="2519">IF(W419=1,1,RANDBETWEEN(0,1))</f>
        <v>1</v>
      </c>
      <c r="W419" s="7">
        <f t="shared" si="2519"/>
        <v>1</v>
      </c>
      <c r="X419" s="7">
        <f t="shared" si="2519"/>
        <v>1</v>
      </c>
      <c r="Y419" s="7">
        <f t="shared" si="21"/>
        <v>1</v>
      </c>
      <c r="Z419" s="7">
        <f t="shared" ref="Z419:AB419" si="2520">IF(AA419=1,1,RANDBETWEEN(0,1))</f>
        <v>1</v>
      </c>
      <c r="AA419" s="7">
        <f t="shared" si="2520"/>
        <v>1</v>
      </c>
      <c r="AB419" s="7">
        <f t="shared" si="2520"/>
        <v>1</v>
      </c>
      <c r="AC419" s="7">
        <f t="shared" si="23"/>
        <v>1</v>
      </c>
      <c r="AD419" s="7">
        <f t="shared" ref="AD419:AF419" si="2521">IF(AE419=1,1,RANDBETWEEN(0,1))</f>
        <v>1</v>
      </c>
      <c r="AE419" s="7">
        <f t="shared" si="2521"/>
        <v>1</v>
      </c>
      <c r="AF419" s="7">
        <f t="shared" si="2521"/>
        <v>1</v>
      </c>
      <c r="AG419" s="7">
        <f t="shared" si="25"/>
        <v>1</v>
      </c>
    </row>
    <row r="420">
      <c r="A420" s="4" t="s">
        <v>1182</v>
      </c>
      <c r="B420" s="4" t="s">
        <v>1183</v>
      </c>
      <c r="C420" s="4" t="s">
        <v>1184</v>
      </c>
      <c r="D420" s="5">
        <v>93180.0</v>
      </c>
      <c r="E420" s="6">
        <f t="shared" si="7"/>
        <v>982</v>
      </c>
      <c r="F420" s="7">
        <f t="shared" ref="F420:G420" si="2522">ROUND(RAND(),2)</f>
        <v>0.55</v>
      </c>
      <c r="G420" s="7">
        <f t="shared" si="2522"/>
        <v>0.75</v>
      </c>
      <c r="H420" s="7">
        <f t="shared" si="9"/>
        <v>1</v>
      </c>
      <c r="I420" s="7">
        <f t="shared" si="10"/>
        <v>82683</v>
      </c>
      <c r="J420" s="7">
        <f t="shared" si="11"/>
        <v>59821</v>
      </c>
      <c r="K420" s="7" t="str">
        <f t="shared" si="12"/>
        <v>D</v>
      </c>
      <c r="L420" s="7" t="str">
        <f t="shared" si="13"/>
        <v>Transformative change</v>
      </c>
      <c r="M420" s="7" t="str">
        <f t="shared" si="14"/>
        <v>High</v>
      </c>
      <c r="N420" s="7">
        <f t="shared" si="15"/>
        <v>1453732</v>
      </c>
      <c r="O420" s="7">
        <f t="shared" si="16"/>
        <v>652800.673</v>
      </c>
      <c r="P420" s="7">
        <f t="shared" ref="P420:Q420" si="2523">RANDBETWEEN(0,22)</f>
        <v>18</v>
      </c>
      <c r="Q420" s="7">
        <f t="shared" si="2523"/>
        <v>4</v>
      </c>
      <c r="R420" s="7">
        <f t="shared" ref="R420:T420" si="2524">IF(S420=1,1,RANDBETWEEN(0,1))</f>
        <v>1</v>
      </c>
      <c r="S420" s="7">
        <f t="shared" si="2524"/>
        <v>1</v>
      </c>
      <c r="T420" s="7">
        <f t="shared" si="2524"/>
        <v>1</v>
      </c>
      <c r="U420" s="7">
        <f t="shared" si="19"/>
        <v>0</v>
      </c>
      <c r="V420" s="7">
        <f t="shared" ref="V420:X420" si="2525">IF(W420=1,1,RANDBETWEEN(0,1))</f>
        <v>0</v>
      </c>
      <c r="W420" s="7">
        <f t="shared" si="2525"/>
        <v>0</v>
      </c>
      <c r="X420" s="7">
        <f t="shared" si="2525"/>
        <v>0</v>
      </c>
      <c r="Y420" s="7">
        <f t="shared" si="21"/>
        <v>0</v>
      </c>
      <c r="Z420" s="7">
        <f t="shared" ref="Z420:AB420" si="2526">IF(AA420=1,1,RANDBETWEEN(0,1))</f>
        <v>1</v>
      </c>
      <c r="AA420" s="7">
        <f t="shared" si="2526"/>
        <v>1</v>
      </c>
      <c r="AB420" s="7">
        <f t="shared" si="2526"/>
        <v>1</v>
      </c>
      <c r="AC420" s="7">
        <f t="shared" si="23"/>
        <v>1</v>
      </c>
      <c r="AD420" s="7">
        <f t="shared" ref="AD420:AF420" si="2527">IF(AE420=1,1,RANDBETWEEN(0,1))</f>
        <v>0</v>
      </c>
      <c r="AE420" s="7">
        <f t="shared" si="2527"/>
        <v>0</v>
      </c>
      <c r="AF420" s="7">
        <f t="shared" si="2527"/>
        <v>0</v>
      </c>
      <c r="AG420" s="7">
        <f t="shared" si="25"/>
        <v>0</v>
      </c>
    </row>
    <row r="421">
      <c r="A421" s="4" t="s">
        <v>1185</v>
      </c>
      <c r="B421" s="4" t="s">
        <v>1186</v>
      </c>
      <c r="C421" s="4" t="s">
        <v>1187</v>
      </c>
      <c r="D421" s="5">
        <v>18192.0</v>
      </c>
      <c r="E421" s="6">
        <f t="shared" si="7"/>
        <v>837</v>
      </c>
      <c r="F421" s="7">
        <f t="shared" ref="F421:G421" si="2528">ROUND(RAND(),2)</f>
        <v>0.97</v>
      </c>
      <c r="G421" s="7">
        <f t="shared" si="2528"/>
        <v>0.98</v>
      </c>
      <c r="H421" s="7">
        <f t="shared" si="9"/>
        <v>5</v>
      </c>
      <c r="I421" s="7">
        <f t="shared" si="10"/>
        <v>8300</v>
      </c>
      <c r="J421" s="7">
        <f t="shared" si="11"/>
        <v>41436</v>
      </c>
      <c r="K421" s="7" t="str">
        <f t="shared" si="12"/>
        <v>C</v>
      </c>
      <c r="L421" s="7" t="str">
        <f t="shared" si="13"/>
        <v>Transformative change</v>
      </c>
      <c r="M421" s="7" t="str">
        <f t="shared" si="14"/>
        <v>Low</v>
      </c>
      <c r="N421" s="7">
        <f t="shared" si="15"/>
        <v>1115474</v>
      </c>
      <c r="O421" s="7">
        <f t="shared" si="16"/>
        <v>1049952.636</v>
      </c>
      <c r="P421" s="7">
        <f t="shared" ref="P421:Q421" si="2529">RANDBETWEEN(0,22)</f>
        <v>15</v>
      </c>
      <c r="Q421" s="7">
        <f t="shared" si="2529"/>
        <v>4</v>
      </c>
      <c r="R421" s="7">
        <f t="shared" ref="R421:T421" si="2530">IF(S421=1,1,RANDBETWEEN(0,1))</f>
        <v>1</v>
      </c>
      <c r="S421" s="7">
        <f t="shared" si="2530"/>
        <v>1</v>
      </c>
      <c r="T421" s="7">
        <f t="shared" si="2530"/>
        <v>1</v>
      </c>
      <c r="U421" s="7">
        <f t="shared" si="19"/>
        <v>1</v>
      </c>
      <c r="V421" s="7">
        <f t="shared" ref="V421:X421" si="2531">IF(W421=1,1,RANDBETWEEN(0,1))</f>
        <v>1</v>
      </c>
      <c r="W421" s="7">
        <f t="shared" si="2531"/>
        <v>1</v>
      </c>
      <c r="X421" s="7">
        <f t="shared" si="2531"/>
        <v>1</v>
      </c>
      <c r="Y421" s="7">
        <f t="shared" si="21"/>
        <v>1</v>
      </c>
      <c r="Z421" s="7">
        <f t="shared" ref="Z421:AB421" si="2532">IF(AA421=1,1,RANDBETWEEN(0,1))</f>
        <v>1</v>
      </c>
      <c r="AA421" s="7">
        <f t="shared" si="2532"/>
        <v>1</v>
      </c>
      <c r="AB421" s="7">
        <f t="shared" si="2532"/>
        <v>1</v>
      </c>
      <c r="AC421" s="7">
        <f t="shared" si="23"/>
        <v>1</v>
      </c>
      <c r="AD421" s="7">
        <f t="shared" ref="AD421:AF421" si="2533">IF(AE421=1,1,RANDBETWEEN(0,1))</f>
        <v>0</v>
      </c>
      <c r="AE421" s="7">
        <f t="shared" si="2533"/>
        <v>0</v>
      </c>
      <c r="AF421" s="7">
        <f t="shared" si="2533"/>
        <v>0</v>
      </c>
      <c r="AG421" s="7">
        <f t="shared" si="25"/>
        <v>0</v>
      </c>
    </row>
    <row r="422">
      <c r="A422" s="4" t="s">
        <v>1188</v>
      </c>
      <c r="B422" s="4" t="s">
        <v>1189</v>
      </c>
      <c r="C422" s="4" t="s">
        <v>1190</v>
      </c>
      <c r="D422" s="5">
        <v>12848.0</v>
      </c>
      <c r="E422" s="6">
        <f t="shared" si="7"/>
        <v>1049</v>
      </c>
      <c r="F422" s="7">
        <f t="shared" ref="F422:G422" si="2534">ROUND(RAND(),2)</f>
        <v>0.64</v>
      </c>
      <c r="G422" s="7">
        <f t="shared" si="2534"/>
        <v>0.74</v>
      </c>
      <c r="H422" s="7">
        <f t="shared" si="9"/>
        <v>2</v>
      </c>
      <c r="I422" s="7">
        <f t="shared" si="10"/>
        <v>55839</v>
      </c>
      <c r="J422" s="7">
        <f t="shared" si="11"/>
        <v>29937</v>
      </c>
      <c r="K422" s="7" t="str">
        <f t="shared" si="12"/>
        <v>A</v>
      </c>
      <c r="L422" s="7" t="str">
        <f t="shared" si="13"/>
        <v>Transformative change</v>
      </c>
      <c r="M422" s="7" t="str">
        <f t="shared" si="14"/>
        <v>High</v>
      </c>
      <c r="N422" s="7">
        <f t="shared" si="15"/>
        <v>1346946</v>
      </c>
      <c r="O422" s="7">
        <f t="shared" si="16"/>
        <v>376742.2914</v>
      </c>
      <c r="P422" s="7">
        <f t="shared" ref="P422:Q422" si="2535">RANDBETWEEN(0,22)</f>
        <v>21</v>
      </c>
      <c r="Q422" s="7">
        <f t="shared" si="2535"/>
        <v>14</v>
      </c>
      <c r="R422" s="7">
        <f t="shared" ref="R422:T422" si="2536">IF(S422=1,1,RANDBETWEEN(0,1))</f>
        <v>1</v>
      </c>
      <c r="S422" s="7">
        <f t="shared" si="2536"/>
        <v>1</v>
      </c>
      <c r="T422" s="7">
        <f t="shared" si="2536"/>
        <v>1</v>
      </c>
      <c r="U422" s="7">
        <f t="shared" si="19"/>
        <v>0</v>
      </c>
      <c r="V422" s="7">
        <f t="shared" ref="V422:X422" si="2537">IF(W422=1,1,RANDBETWEEN(0,1))</f>
        <v>0</v>
      </c>
      <c r="W422" s="7">
        <f t="shared" si="2537"/>
        <v>0</v>
      </c>
      <c r="X422" s="7">
        <f t="shared" si="2537"/>
        <v>0</v>
      </c>
      <c r="Y422" s="7">
        <f t="shared" si="21"/>
        <v>0</v>
      </c>
      <c r="Z422" s="7">
        <f t="shared" ref="Z422:AB422" si="2538">IF(AA422=1,1,RANDBETWEEN(0,1))</f>
        <v>1</v>
      </c>
      <c r="AA422" s="7">
        <f t="shared" si="2538"/>
        <v>1</v>
      </c>
      <c r="AB422" s="7">
        <f t="shared" si="2538"/>
        <v>1</v>
      </c>
      <c r="AC422" s="7">
        <f t="shared" si="23"/>
        <v>0</v>
      </c>
      <c r="AD422" s="7">
        <f t="shared" ref="AD422:AF422" si="2539">IF(AE422=1,1,RANDBETWEEN(0,1))</f>
        <v>1</v>
      </c>
      <c r="AE422" s="7">
        <f t="shared" si="2539"/>
        <v>1</v>
      </c>
      <c r="AF422" s="7">
        <f t="shared" si="2539"/>
        <v>1</v>
      </c>
      <c r="AG422" s="7">
        <f t="shared" si="25"/>
        <v>1</v>
      </c>
    </row>
    <row r="423">
      <c r="A423" s="4" t="s">
        <v>1191</v>
      </c>
      <c r="B423" s="4" t="s">
        <v>1192</v>
      </c>
      <c r="C423" s="4" t="s">
        <v>1193</v>
      </c>
      <c r="D423" s="5">
        <v>19603.0</v>
      </c>
      <c r="E423" s="6">
        <f t="shared" si="7"/>
        <v>1034</v>
      </c>
      <c r="F423" s="7">
        <f t="shared" ref="F423:G423" si="2540">ROUND(RAND(),2)</f>
        <v>0.78</v>
      </c>
      <c r="G423" s="7">
        <f t="shared" si="2540"/>
        <v>0.9</v>
      </c>
      <c r="H423" s="7">
        <f t="shared" si="9"/>
        <v>4</v>
      </c>
      <c r="I423" s="7">
        <f t="shared" si="10"/>
        <v>77003</v>
      </c>
      <c r="J423" s="7">
        <f t="shared" si="11"/>
        <v>50630</v>
      </c>
      <c r="K423" s="7" t="str">
        <f t="shared" si="12"/>
        <v>A</v>
      </c>
      <c r="L423" s="7" t="str">
        <f t="shared" si="13"/>
        <v>Transformative change</v>
      </c>
      <c r="M423" s="7" t="str">
        <f t="shared" si="14"/>
        <v>Low</v>
      </c>
      <c r="N423" s="7">
        <f t="shared" si="15"/>
        <v>3819073</v>
      </c>
      <c r="O423" s="7">
        <f t="shared" si="16"/>
        <v>1864103.81</v>
      </c>
      <c r="P423" s="7">
        <f t="shared" ref="P423:Q423" si="2541">RANDBETWEEN(0,22)</f>
        <v>13</v>
      </c>
      <c r="Q423" s="7">
        <f t="shared" si="2541"/>
        <v>19</v>
      </c>
      <c r="R423" s="7">
        <f t="shared" ref="R423:T423" si="2542">IF(S423=1,1,RANDBETWEEN(0,1))</f>
        <v>1</v>
      </c>
      <c r="S423" s="7">
        <f t="shared" si="2542"/>
        <v>1</v>
      </c>
      <c r="T423" s="7">
        <f t="shared" si="2542"/>
        <v>0</v>
      </c>
      <c r="U423" s="7">
        <f t="shared" si="19"/>
        <v>0</v>
      </c>
      <c r="V423" s="7">
        <f t="shared" ref="V423:X423" si="2543">IF(W423=1,1,RANDBETWEEN(0,1))</f>
        <v>1</v>
      </c>
      <c r="W423" s="7">
        <f t="shared" si="2543"/>
        <v>1</v>
      </c>
      <c r="X423" s="7">
        <f t="shared" si="2543"/>
        <v>1</v>
      </c>
      <c r="Y423" s="7">
        <f t="shared" si="21"/>
        <v>0</v>
      </c>
      <c r="Z423" s="7">
        <f t="shared" ref="Z423:AB423" si="2544">IF(AA423=1,1,RANDBETWEEN(0,1))</f>
        <v>1</v>
      </c>
      <c r="AA423" s="7">
        <f t="shared" si="2544"/>
        <v>1</v>
      </c>
      <c r="AB423" s="7">
        <f t="shared" si="2544"/>
        <v>0</v>
      </c>
      <c r="AC423" s="7">
        <f t="shared" si="23"/>
        <v>0</v>
      </c>
      <c r="AD423" s="7">
        <f t="shared" ref="AD423:AF423" si="2545">IF(AE423=1,1,RANDBETWEEN(0,1))</f>
        <v>0</v>
      </c>
      <c r="AE423" s="7">
        <f t="shared" si="2545"/>
        <v>0</v>
      </c>
      <c r="AF423" s="7">
        <f t="shared" si="2545"/>
        <v>0</v>
      </c>
      <c r="AG423" s="7">
        <f t="shared" si="25"/>
        <v>0</v>
      </c>
    </row>
    <row r="424">
      <c r="A424" s="4" t="s">
        <v>1194</v>
      </c>
      <c r="B424" s="4" t="s">
        <v>1195</v>
      </c>
      <c r="C424" s="4" t="s">
        <v>95</v>
      </c>
      <c r="D424" s="5">
        <v>349060.0</v>
      </c>
      <c r="E424" s="6">
        <f t="shared" si="7"/>
        <v>879.24</v>
      </c>
      <c r="F424" s="7">
        <f t="shared" ref="F424:G424" si="2546">ROUND(RAND(),2)</f>
        <v>0.27</v>
      </c>
      <c r="G424" s="7">
        <f t="shared" si="2546"/>
        <v>0.5</v>
      </c>
      <c r="H424" s="7">
        <f t="shared" si="9"/>
        <v>2</v>
      </c>
      <c r="I424" s="7">
        <f t="shared" si="10"/>
        <v>86062</v>
      </c>
      <c r="J424" s="7">
        <f t="shared" si="11"/>
        <v>74880</v>
      </c>
      <c r="K424" s="7" t="str">
        <f t="shared" si="12"/>
        <v>D</v>
      </c>
      <c r="L424" s="7" t="str">
        <f t="shared" si="13"/>
        <v>Transformative change</v>
      </c>
      <c r="M424" s="7" t="str">
        <f t="shared" si="14"/>
        <v>High</v>
      </c>
      <c r="N424" s="7">
        <f t="shared" si="15"/>
        <v>2411891</v>
      </c>
      <c r="O424" s="7">
        <f t="shared" si="16"/>
        <v>1940195.855</v>
      </c>
      <c r="P424" s="7">
        <f t="shared" ref="P424:Q424" si="2547">RANDBETWEEN(0,22)</f>
        <v>3</v>
      </c>
      <c r="Q424" s="7">
        <f t="shared" si="2547"/>
        <v>19</v>
      </c>
      <c r="R424" s="7">
        <f t="shared" ref="R424:T424" si="2548">IF(S424=1,1,RANDBETWEEN(0,1))</f>
        <v>1</v>
      </c>
      <c r="S424" s="7">
        <f t="shared" si="2548"/>
        <v>1</v>
      </c>
      <c r="T424" s="7">
        <f t="shared" si="2548"/>
        <v>1</v>
      </c>
      <c r="U424" s="7">
        <f t="shared" si="19"/>
        <v>1</v>
      </c>
      <c r="V424" s="7">
        <f t="shared" ref="V424:X424" si="2549">IF(W424=1,1,RANDBETWEEN(0,1))</f>
        <v>1</v>
      </c>
      <c r="W424" s="7">
        <f t="shared" si="2549"/>
        <v>1</v>
      </c>
      <c r="X424" s="7">
        <f t="shared" si="2549"/>
        <v>0</v>
      </c>
      <c r="Y424" s="7">
        <f t="shared" si="21"/>
        <v>0</v>
      </c>
      <c r="Z424" s="7">
        <f t="shared" ref="Z424:AB424" si="2550">IF(AA424=1,1,RANDBETWEEN(0,1))</f>
        <v>1</v>
      </c>
      <c r="AA424" s="7">
        <f t="shared" si="2550"/>
        <v>1</v>
      </c>
      <c r="AB424" s="7">
        <f t="shared" si="2550"/>
        <v>1</v>
      </c>
      <c r="AC424" s="7">
        <f t="shared" si="23"/>
        <v>1</v>
      </c>
      <c r="AD424" s="7">
        <f t="shared" ref="AD424:AF424" si="2551">IF(AE424=1,1,RANDBETWEEN(0,1))</f>
        <v>1</v>
      </c>
      <c r="AE424" s="7">
        <f t="shared" si="2551"/>
        <v>1</v>
      </c>
      <c r="AF424" s="7">
        <f t="shared" si="2551"/>
        <v>1</v>
      </c>
      <c r="AG424" s="7">
        <f t="shared" si="25"/>
        <v>1</v>
      </c>
    </row>
    <row r="425">
      <c r="A425" s="4" t="s">
        <v>1196</v>
      </c>
      <c r="B425" s="4" t="s">
        <v>1197</v>
      </c>
      <c r="C425" s="4" t="s">
        <v>1198</v>
      </c>
      <c r="D425" s="5">
        <v>66352.0</v>
      </c>
      <c r="E425" s="6">
        <f t="shared" si="7"/>
        <v>920</v>
      </c>
      <c r="F425" s="7">
        <f t="shared" ref="F425:G425" si="2552">ROUND(RAND(),2)</f>
        <v>0.2</v>
      </c>
      <c r="G425" s="7">
        <f t="shared" si="2552"/>
        <v>0.25</v>
      </c>
      <c r="H425" s="7">
        <f t="shared" si="9"/>
        <v>4</v>
      </c>
      <c r="I425" s="7">
        <f t="shared" si="10"/>
        <v>38149</v>
      </c>
      <c r="J425" s="7">
        <f t="shared" si="11"/>
        <v>36092</v>
      </c>
      <c r="K425" s="7" t="str">
        <f t="shared" si="12"/>
        <v>B</v>
      </c>
      <c r="L425" s="7" t="str">
        <f t="shared" si="13"/>
        <v>Transformative change</v>
      </c>
      <c r="M425" s="7" t="str">
        <f t="shared" si="14"/>
        <v>High</v>
      </c>
      <c r="N425" s="7">
        <f t="shared" si="15"/>
        <v>226428</v>
      </c>
      <c r="O425" s="7">
        <f t="shared" si="16"/>
        <v>133998.51</v>
      </c>
      <c r="P425" s="7">
        <f t="shared" ref="P425:Q425" si="2553">RANDBETWEEN(0,22)</f>
        <v>6</v>
      </c>
      <c r="Q425" s="7">
        <f t="shared" si="2553"/>
        <v>8</v>
      </c>
      <c r="R425" s="7">
        <f t="shared" ref="R425:T425" si="2554">IF(S425=1,1,RANDBETWEEN(0,1))</f>
        <v>1</v>
      </c>
      <c r="S425" s="7">
        <f t="shared" si="2554"/>
        <v>1</v>
      </c>
      <c r="T425" s="7">
        <f t="shared" si="2554"/>
        <v>1</v>
      </c>
      <c r="U425" s="7">
        <f t="shared" si="19"/>
        <v>0</v>
      </c>
      <c r="V425" s="7">
        <f t="shared" ref="V425:X425" si="2555">IF(W425=1,1,RANDBETWEEN(0,1))</f>
        <v>1</v>
      </c>
      <c r="W425" s="7">
        <f t="shared" si="2555"/>
        <v>1</v>
      </c>
      <c r="X425" s="7">
        <f t="shared" si="2555"/>
        <v>1</v>
      </c>
      <c r="Y425" s="7">
        <f t="shared" si="21"/>
        <v>0</v>
      </c>
      <c r="Z425" s="7">
        <f t="shared" ref="Z425:AB425" si="2556">IF(AA425=1,1,RANDBETWEEN(0,1))</f>
        <v>1</v>
      </c>
      <c r="AA425" s="7">
        <f t="shared" si="2556"/>
        <v>1</v>
      </c>
      <c r="AB425" s="7">
        <f t="shared" si="2556"/>
        <v>1</v>
      </c>
      <c r="AC425" s="7">
        <f t="shared" si="23"/>
        <v>0</v>
      </c>
      <c r="AD425" s="7">
        <f t="shared" ref="AD425:AF425" si="2557">IF(AE425=1,1,RANDBETWEEN(0,1))</f>
        <v>1</v>
      </c>
      <c r="AE425" s="7">
        <f t="shared" si="2557"/>
        <v>1</v>
      </c>
      <c r="AF425" s="7">
        <f t="shared" si="2557"/>
        <v>1</v>
      </c>
      <c r="AG425" s="7">
        <f t="shared" si="25"/>
        <v>0</v>
      </c>
    </row>
    <row r="426">
      <c r="A426" s="4" t="s">
        <v>1199</v>
      </c>
      <c r="B426" s="4" t="s">
        <v>1200</v>
      </c>
      <c r="C426" s="4" t="s">
        <v>95</v>
      </c>
      <c r="D426" s="5">
        <v>8350.0</v>
      </c>
      <c r="E426" s="6">
        <f t="shared" si="7"/>
        <v>874</v>
      </c>
      <c r="F426" s="7">
        <f t="shared" ref="F426:G426" si="2558">ROUND(RAND(),2)</f>
        <v>0.51</v>
      </c>
      <c r="G426" s="7">
        <f t="shared" si="2558"/>
        <v>0</v>
      </c>
      <c r="H426" s="7">
        <f t="shared" si="9"/>
        <v>5</v>
      </c>
      <c r="I426" s="7">
        <f t="shared" si="10"/>
        <v>78438</v>
      </c>
      <c r="J426" s="7">
        <f t="shared" si="11"/>
        <v>70378</v>
      </c>
      <c r="K426" s="7" t="str">
        <f t="shared" si="12"/>
        <v>G</v>
      </c>
      <c r="L426" s="7" t="str">
        <f t="shared" si="13"/>
        <v>Transformative change</v>
      </c>
      <c r="M426" s="7" t="str">
        <f t="shared" si="14"/>
        <v>Medium</v>
      </c>
      <c r="N426" s="7">
        <f t="shared" si="15"/>
        <v>680028</v>
      </c>
      <c r="O426" s="7">
        <f t="shared" si="16"/>
        <v>433055.2325</v>
      </c>
      <c r="P426" s="7">
        <f t="shared" ref="P426:Q426" si="2559">RANDBETWEEN(0,22)</f>
        <v>18</v>
      </c>
      <c r="Q426" s="7">
        <f t="shared" si="2559"/>
        <v>19</v>
      </c>
      <c r="R426" s="7">
        <f t="shared" ref="R426:T426" si="2560">IF(S426=1,1,RANDBETWEEN(0,1))</f>
        <v>1</v>
      </c>
      <c r="S426" s="7">
        <f t="shared" si="2560"/>
        <v>1</v>
      </c>
      <c r="T426" s="7">
        <f t="shared" si="2560"/>
        <v>1</v>
      </c>
      <c r="U426" s="7">
        <f t="shared" si="19"/>
        <v>1</v>
      </c>
      <c r="V426" s="7">
        <f t="shared" ref="V426:X426" si="2561">IF(W426=1,1,RANDBETWEEN(0,1))</f>
        <v>1</v>
      </c>
      <c r="W426" s="7">
        <f t="shared" si="2561"/>
        <v>1</v>
      </c>
      <c r="X426" s="7">
        <f t="shared" si="2561"/>
        <v>1</v>
      </c>
      <c r="Y426" s="7">
        <f t="shared" si="21"/>
        <v>0</v>
      </c>
      <c r="Z426" s="7">
        <f t="shared" ref="Z426:AB426" si="2562">IF(AA426=1,1,RANDBETWEEN(0,1))</f>
        <v>1</v>
      </c>
      <c r="AA426" s="7">
        <f t="shared" si="2562"/>
        <v>1</v>
      </c>
      <c r="AB426" s="7">
        <f t="shared" si="2562"/>
        <v>1</v>
      </c>
      <c r="AC426" s="7">
        <f t="shared" si="23"/>
        <v>1</v>
      </c>
      <c r="AD426" s="7">
        <f t="shared" ref="AD426:AF426" si="2563">IF(AE426=1,1,RANDBETWEEN(0,1))</f>
        <v>1</v>
      </c>
      <c r="AE426" s="7">
        <f t="shared" si="2563"/>
        <v>1</v>
      </c>
      <c r="AF426" s="7">
        <f t="shared" si="2563"/>
        <v>1</v>
      </c>
      <c r="AG426" s="7">
        <f t="shared" si="25"/>
        <v>0</v>
      </c>
    </row>
    <row r="427">
      <c r="A427" s="4" t="s">
        <v>1201</v>
      </c>
      <c r="B427" s="4" t="s">
        <v>1202</v>
      </c>
      <c r="C427" s="4" t="s">
        <v>1203</v>
      </c>
      <c r="D427" s="5">
        <v>7531.0</v>
      </c>
      <c r="E427" s="6">
        <f t="shared" si="7"/>
        <v>843</v>
      </c>
      <c r="F427" s="7">
        <f t="shared" ref="F427:G427" si="2564">ROUND(RAND(),2)</f>
        <v>0.09</v>
      </c>
      <c r="G427" s="7">
        <f t="shared" si="2564"/>
        <v>0.64</v>
      </c>
      <c r="H427" s="7">
        <f t="shared" si="9"/>
        <v>5</v>
      </c>
      <c r="I427" s="7">
        <f t="shared" si="10"/>
        <v>20291</v>
      </c>
      <c r="J427" s="7">
        <f t="shared" si="11"/>
        <v>2299</v>
      </c>
      <c r="K427" s="7" t="str">
        <f t="shared" si="12"/>
        <v>A</v>
      </c>
      <c r="L427" s="7" t="str">
        <f t="shared" si="13"/>
        <v>Transformative change</v>
      </c>
      <c r="M427" s="7" t="str">
        <f t="shared" si="14"/>
        <v>Medium</v>
      </c>
      <c r="N427" s="7">
        <f t="shared" si="15"/>
        <v>3896050</v>
      </c>
      <c r="O427" s="7">
        <f t="shared" si="16"/>
        <v>117546.6244</v>
      </c>
      <c r="P427" s="7">
        <f t="shared" ref="P427:Q427" si="2565">RANDBETWEEN(0,22)</f>
        <v>20</v>
      </c>
      <c r="Q427" s="7">
        <f t="shared" si="2565"/>
        <v>6</v>
      </c>
      <c r="R427" s="7">
        <f t="shared" ref="R427:T427" si="2566">IF(S427=1,1,RANDBETWEEN(0,1))</f>
        <v>1</v>
      </c>
      <c r="S427" s="7">
        <f t="shared" si="2566"/>
        <v>1</v>
      </c>
      <c r="T427" s="7">
        <f t="shared" si="2566"/>
        <v>1</v>
      </c>
      <c r="U427" s="7">
        <f t="shared" si="19"/>
        <v>1</v>
      </c>
      <c r="V427" s="7">
        <f t="shared" ref="V427:X427" si="2567">IF(W427=1,1,RANDBETWEEN(0,1))</f>
        <v>1</v>
      </c>
      <c r="W427" s="7">
        <f t="shared" si="2567"/>
        <v>1</v>
      </c>
      <c r="X427" s="7">
        <f t="shared" si="2567"/>
        <v>1</v>
      </c>
      <c r="Y427" s="7">
        <f t="shared" si="21"/>
        <v>1</v>
      </c>
      <c r="Z427" s="7">
        <f t="shared" ref="Z427:AB427" si="2568">IF(AA427=1,1,RANDBETWEEN(0,1))</f>
        <v>1</v>
      </c>
      <c r="AA427" s="7">
        <f t="shared" si="2568"/>
        <v>1</v>
      </c>
      <c r="AB427" s="7">
        <f t="shared" si="2568"/>
        <v>1</v>
      </c>
      <c r="AC427" s="7">
        <f t="shared" si="23"/>
        <v>1</v>
      </c>
      <c r="AD427" s="7">
        <f t="shared" ref="AD427:AF427" si="2569">IF(AE427=1,1,RANDBETWEEN(0,1))</f>
        <v>1</v>
      </c>
      <c r="AE427" s="7">
        <f t="shared" si="2569"/>
        <v>0</v>
      </c>
      <c r="AF427" s="7">
        <f t="shared" si="2569"/>
        <v>0</v>
      </c>
      <c r="AG427" s="7">
        <f t="shared" si="25"/>
        <v>0</v>
      </c>
    </row>
    <row r="428">
      <c r="A428" s="4" t="s">
        <v>1204</v>
      </c>
      <c r="B428" s="4" t="s">
        <v>1205</v>
      </c>
      <c r="C428" s="4" t="s">
        <v>1206</v>
      </c>
      <c r="D428" s="5">
        <v>15188.0</v>
      </c>
      <c r="E428" s="6">
        <f t="shared" si="7"/>
        <v>936</v>
      </c>
      <c r="F428" s="7">
        <f t="shared" ref="F428:G428" si="2570">ROUND(RAND(),2)</f>
        <v>0.93</v>
      </c>
      <c r="G428" s="7">
        <f t="shared" si="2570"/>
        <v>0.26</v>
      </c>
      <c r="H428" s="7">
        <f t="shared" si="9"/>
        <v>4</v>
      </c>
      <c r="I428" s="7">
        <f t="shared" si="10"/>
        <v>61059</v>
      </c>
      <c r="J428" s="7">
        <f t="shared" si="11"/>
        <v>49702</v>
      </c>
      <c r="K428" s="7" t="str">
        <f t="shared" si="12"/>
        <v>C</v>
      </c>
      <c r="L428" s="7" t="str">
        <f t="shared" si="13"/>
        <v>Transformative change</v>
      </c>
      <c r="M428" s="7" t="str">
        <f t="shared" si="14"/>
        <v>High</v>
      </c>
      <c r="N428" s="7">
        <f t="shared" si="15"/>
        <v>295533</v>
      </c>
      <c r="O428" s="7">
        <f t="shared" si="16"/>
        <v>67257.51016</v>
      </c>
      <c r="P428" s="7">
        <f t="shared" ref="P428:Q428" si="2571">RANDBETWEEN(0,22)</f>
        <v>6</v>
      </c>
      <c r="Q428" s="7">
        <f t="shared" si="2571"/>
        <v>10</v>
      </c>
      <c r="R428" s="7">
        <f t="shared" ref="R428:T428" si="2572">IF(S428=1,1,RANDBETWEEN(0,1))</f>
        <v>1</v>
      </c>
      <c r="S428" s="7">
        <f t="shared" si="2572"/>
        <v>1</v>
      </c>
      <c r="T428" s="7">
        <f t="shared" si="2572"/>
        <v>0</v>
      </c>
      <c r="U428" s="7">
        <f t="shared" si="19"/>
        <v>0</v>
      </c>
      <c r="V428" s="7">
        <f t="shared" ref="V428:X428" si="2573">IF(W428=1,1,RANDBETWEEN(0,1))</f>
        <v>1</v>
      </c>
      <c r="W428" s="7">
        <f t="shared" si="2573"/>
        <v>1</v>
      </c>
      <c r="X428" s="7">
        <f t="shared" si="2573"/>
        <v>1</v>
      </c>
      <c r="Y428" s="7">
        <f t="shared" si="21"/>
        <v>1</v>
      </c>
      <c r="Z428" s="7">
        <f t="shared" ref="Z428:AB428" si="2574">IF(AA428=1,1,RANDBETWEEN(0,1))</f>
        <v>1</v>
      </c>
      <c r="AA428" s="7">
        <f t="shared" si="2574"/>
        <v>1</v>
      </c>
      <c r="AB428" s="7">
        <f t="shared" si="2574"/>
        <v>1</v>
      </c>
      <c r="AC428" s="7">
        <f t="shared" si="23"/>
        <v>1</v>
      </c>
      <c r="AD428" s="7">
        <f t="shared" ref="AD428:AF428" si="2575">IF(AE428=1,1,RANDBETWEEN(0,1))</f>
        <v>1</v>
      </c>
      <c r="AE428" s="7">
        <f t="shared" si="2575"/>
        <v>1</v>
      </c>
      <c r="AF428" s="7">
        <f t="shared" si="2575"/>
        <v>1</v>
      </c>
      <c r="AG428" s="7">
        <f t="shared" si="25"/>
        <v>1</v>
      </c>
    </row>
    <row r="429">
      <c r="A429" s="4" t="s">
        <v>1207</v>
      </c>
      <c r="B429" s="4" t="s">
        <v>1208</v>
      </c>
      <c r="C429" s="4" t="s">
        <v>95</v>
      </c>
      <c r="D429" s="5">
        <v>30767.0</v>
      </c>
      <c r="E429" s="6">
        <f t="shared" si="7"/>
        <v>855</v>
      </c>
      <c r="F429" s="7">
        <f t="shared" ref="F429:G429" si="2576">ROUND(RAND(),2)</f>
        <v>0.52</v>
      </c>
      <c r="G429" s="7">
        <f t="shared" si="2576"/>
        <v>0.95</v>
      </c>
      <c r="H429" s="7">
        <f t="shared" si="9"/>
        <v>1</v>
      </c>
      <c r="I429" s="7">
        <f t="shared" si="10"/>
        <v>31108</v>
      </c>
      <c r="J429" s="7">
        <f t="shared" si="11"/>
        <v>17750</v>
      </c>
      <c r="K429" s="7" t="str">
        <f t="shared" si="12"/>
        <v>G</v>
      </c>
      <c r="L429" s="7" t="str">
        <f t="shared" si="13"/>
        <v>Transformative change</v>
      </c>
      <c r="M429" s="7" t="str">
        <f t="shared" si="14"/>
        <v>High</v>
      </c>
      <c r="N429" s="7">
        <f t="shared" si="15"/>
        <v>2895263</v>
      </c>
      <c r="O429" s="7">
        <f t="shared" si="16"/>
        <v>641623.715</v>
      </c>
      <c r="P429" s="7">
        <f t="shared" ref="P429:Q429" si="2577">RANDBETWEEN(0,22)</f>
        <v>21</v>
      </c>
      <c r="Q429" s="7">
        <f t="shared" si="2577"/>
        <v>3</v>
      </c>
      <c r="R429" s="7">
        <f t="shared" ref="R429:T429" si="2578">IF(S429=1,1,RANDBETWEEN(0,1))</f>
        <v>1</v>
      </c>
      <c r="S429" s="7">
        <f t="shared" si="2578"/>
        <v>1</v>
      </c>
      <c r="T429" s="7">
        <f t="shared" si="2578"/>
        <v>1</v>
      </c>
      <c r="U429" s="7">
        <f t="shared" si="19"/>
        <v>1</v>
      </c>
      <c r="V429" s="7">
        <f t="shared" ref="V429:X429" si="2579">IF(W429=1,1,RANDBETWEEN(0,1))</f>
        <v>1</v>
      </c>
      <c r="W429" s="7">
        <f t="shared" si="2579"/>
        <v>1</v>
      </c>
      <c r="X429" s="7">
        <f t="shared" si="2579"/>
        <v>1</v>
      </c>
      <c r="Y429" s="7">
        <f t="shared" si="21"/>
        <v>1</v>
      </c>
      <c r="Z429" s="7">
        <f t="shared" ref="Z429:AB429" si="2580">IF(AA429=1,1,RANDBETWEEN(0,1))</f>
        <v>1</v>
      </c>
      <c r="AA429" s="7">
        <f t="shared" si="2580"/>
        <v>1</v>
      </c>
      <c r="AB429" s="7">
        <f t="shared" si="2580"/>
        <v>1</v>
      </c>
      <c r="AC429" s="7">
        <f t="shared" si="23"/>
        <v>1</v>
      </c>
      <c r="AD429" s="7">
        <f t="shared" ref="AD429:AF429" si="2581">IF(AE429=1,1,RANDBETWEEN(0,1))</f>
        <v>1</v>
      </c>
      <c r="AE429" s="7">
        <f t="shared" si="2581"/>
        <v>1</v>
      </c>
      <c r="AF429" s="7">
        <f t="shared" si="2581"/>
        <v>1</v>
      </c>
      <c r="AG429" s="7">
        <f t="shared" si="25"/>
        <v>1</v>
      </c>
    </row>
    <row r="430">
      <c r="A430" s="4" t="s">
        <v>1209</v>
      </c>
      <c r="B430" s="4" t="s">
        <v>1195</v>
      </c>
      <c r="C430" s="4" t="s">
        <v>1210</v>
      </c>
      <c r="D430" s="5">
        <v>8720.0</v>
      </c>
      <c r="E430" s="6">
        <f t="shared" si="7"/>
        <v>886</v>
      </c>
      <c r="F430" s="7">
        <f t="shared" ref="F430:G430" si="2582">ROUND(RAND(),2)</f>
        <v>0.73</v>
      </c>
      <c r="G430" s="7">
        <f t="shared" si="2582"/>
        <v>0.27</v>
      </c>
      <c r="H430" s="7">
        <f t="shared" si="9"/>
        <v>1</v>
      </c>
      <c r="I430" s="7">
        <f t="shared" si="10"/>
        <v>17489</v>
      </c>
      <c r="J430" s="7">
        <f t="shared" si="11"/>
        <v>6760</v>
      </c>
      <c r="K430" s="7" t="str">
        <f t="shared" si="12"/>
        <v>B</v>
      </c>
      <c r="L430" s="7" t="str">
        <f t="shared" si="13"/>
        <v>Transformative change</v>
      </c>
      <c r="M430" s="7" t="str">
        <f t="shared" si="14"/>
        <v>Medium</v>
      </c>
      <c r="N430" s="7">
        <f t="shared" si="15"/>
        <v>1409135</v>
      </c>
      <c r="O430" s="7">
        <f t="shared" si="16"/>
        <v>1100883.316</v>
      </c>
      <c r="P430" s="7">
        <f t="shared" ref="P430:Q430" si="2583">RANDBETWEEN(0,22)</f>
        <v>13</v>
      </c>
      <c r="Q430" s="7">
        <f t="shared" si="2583"/>
        <v>8</v>
      </c>
      <c r="R430" s="7">
        <f t="shared" ref="R430:T430" si="2584">IF(S430=1,1,RANDBETWEEN(0,1))</f>
        <v>1</v>
      </c>
      <c r="S430" s="7">
        <f t="shared" si="2584"/>
        <v>1</v>
      </c>
      <c r="T430" s="7">
        <f t="shared" si="2584"/>
        <v>1</v>
      </c>
      <c r="U430" s="7">
        <f t="shared" si="19"/>
        <v>1</v>
      </c>
      <c r="V430" s="7">
        <f t="shared" ref="V430:X430" si="2585">IF(W430=1,1,RANDBETWEEN(0,1))</f>
        <v>1</v>
      </c>
      <c r="W430" s="7">
        <f t="shared" si="2585"/>
        <v>1</v>
      </c>
      <c r="X430" s="7">
        <f t="shared" si="2585"/>
        <v>1</v>
      </c>
      <c r="Y430" s="7">
        <f t="shared" si="21"/>
        <v>1</v>
      </c>
      <c r="Z430" s="7">
        <f t="shared" ref="Z430:AB430" si="2586">IF(AA430=1,1,RANDBETWEEN(0,1))</f>
        <v>1</v>
      </c>
      <c r="AA430" s="7">
        <f t="shared" si="2586"/>
        <v>1</v>
      </c>
      <c r="AB430" s="7">
        <f t="shared" si="2586"/>
        <v>1</v>
      </c>
      <c r="AC430" s="7">
        <f t="shared" si="23"/>
        <v>0</v>
      </c>
      <c r="AD430" s="7">
        <f t="shared" ref="AD430:AF430" si="2587">IF(AE430=1,1,RANDBETWEEN(0,1))</f>
        <v>0</v>
      </c>
      <c r="AE430" s="7">
        <f t="shared" si="2587"/>
        <v>0</v>
      </c>
      <c r="AF430" s="7">
        <f t="shared" si="2587"/>
        <v>0</v>
      </c>
      <c r="AG430" s="7">
        <f t="shared" si="25"/>
        <v>0</v>
      </c>
    </row>
    <row r="431">
      <c r="A431" s="4" t="s">
        <v>1211</v>
      </c>
      <c r="B431" s="4" t="s">
        <v>1212</v>
      </c>
      <c r="C431" s="4" t="s">
        <v>1213</v>
      </c>
      <c r="D431" s="5">
        <v>5872.0</v>
      </c>
      <c r="E431" s="6">
        <f t="shared" si="7"/>
        <v>809</v>
      </c>
      <c r="F431" s="7">
        <f t="shared" ref="F431:G431" si="2588">ROUND(RAND(),2)</f>
        <v>0.79</v>
      </c>
      <c r="G431" s="7">
        <f t="shared" si="2588"/>
        <v>0.7</v>
      </c>
      <c r="H431" s="7">
        <f t="shared" si="9"/>
        <v>5</v>
      </c>
      <c r="I431" s="7">
        <f t="shared" si="10"/>
        <v>30888</v>
      </c>
      <c r="J431" s="7">
        <f t="shared" si="11"/>
        <v>33444</v>
      </c>
      <c r="K431" s="7" t="str">
        <f t="shared" si="12"/>
        <v>C</v>
      </c>
      <c r="L431" s="7" t="str">
        <f t="shared" si="13"/>
        <v>Transformative change</v>
      </c>
      <c r="M431" s="7" t="str">
        <f t="shared" si="14"/>
        <v>High</v>
      </c>
      <c r="N431" s="7">
        <f t="shared" si="15"/>
        <v>1517641</v>
      </c>
      <c r="O431" s="7">
        <f t="shared" si="16"/>
        <v>131302.3912</v>
      </c>
      <c r="P431" s="7">
        <f t="shared" ref="P431:Q431" si="2589">RANDBETWEEN(0,22)</f>
        <v>13</v>
      </c>
      <c r="Q431" s="7">
        <f t="shared" si="2589"/>
        <v>12</v>
      </c>
      <c r="R431" s="7">
        <f t="shared" ref="R431:T431" si="2590">IF(S431=1,1,RANDBETWEEN(0,1))</f>
        <v>1</v>
      </c>
      <c r="S431" s="7">
        <f t="shared" si="2590"/>
        <v>1</v>
      </c>
      <c r="T431" s="7">
        <f t="shared" si="2590"/>
        <v>1</v>
      </c>
      <c r="U431" s="7">
        <f t="shared" si="19"/>
        <v>1</v>
      </c>
      <c r="V431" s="7">
        <f t="shared" ref="V431:X431" si="2591">IF(W431=1,1,RANDBETWEEN(0,1))</f>
        <v>1</v>
      </c>
      <c r="W431" s="7">
        <f t="shared" si="2591"/>
        <v>1</v>
      </c>
      <c r="X431" s="7">
        <f t="shared" si="2591"/>
        <v>1</v>
      </c>
      <c r="Y431" s="7">
        <f t="shared" si="21"/>
        <v>1</v>
      </c>
      <c r="Z431" s="7">
        <f t="shared" ref="Z431:AB431" si="2592">IF(AA431=1,1,RANDBETWEEN(0,1))</f>
        <v>1</v>
      </c>
      <c r="AA431" s="7">
        <f t="shared" si="2592"/>
        <v>1</v>
      </c>
      <c r="AB431" s="7">
        <f t="shared" si="2592"/>
        <v>0</v>
      </c>
      <c r="AC431" s="7">
        <f t="shared" si="23"/>
        <v>0</v>
      </c>
      <c r="AD431" s="7">
        <f t="shared" ref="AD431:AF431" si="2593">IF(AE431=1,1,RANDBETWEEN(0,1))</f>
        <v>1</v>
      </c>
      <c r="AE431" s="7">
        <f t="shared" si="2593"/>
        <v>1</v>
      </c>
      <c r="AF431" s="7">
        <f t="shared" si="2593"/>
        <v>1</v>
      </c>
      <c r="AG431" s="7">
        <f t="shared" si="25"/>
        <v>0</v>
      </c>
    </row>
    <row r="432">
      <c r="A432" s="4" t="s">
        <v>1214</v>
      </c>
      <c r="B432" s="4" t="s">
        <v>1215</v>
      </c>
      <c r="C432" s="4" t="s">
        <v>95</v>
      </c>
      <c r="D432" s="5">
        <v>17068.0</v>
      </c>
      <c r="E432" s="6">
        <f t="shared" si="7"/>
        <v>1008</v>
      </c>
      <c r="F432" s="7">
        <f t="shared" ref="F432:G432" si="2594">ROUND(RAND(),2)</f>
        <v>0.34</v>
      </c>
      <c r="G432" s="7">
        <f t="shared" si="2594"/>
        <v>0.8</v>
      </c>
      <c r="H432" s="7">
        <f t="shared" si="9"/>
        <v>2</v>
      </c>
      <c r="I432" s="7">
        <f t="shared" si="10"/>
        <v>48661</v>
      </c>
      <c r="J432" s="7">
        <f t="shared" si="11"/>
        <v>36824</v>
      </c>
      <c r="K432" s="7" t="str">
        <f t="shared" si="12"/>
        <v>D</v>
      </c>
      <c r="L432" s="7" t="str">
        <f t="shared" si="13"/>
        <v>Transformative change</v>
      </c>
      <c r="M432" s="7" t="str">
        <f t="shared" si="14"/>
        <v>High</v>
      </c>
      <c r="N432" s="7">
        <f t="shared" si="15"/>
        <v>1694721</v>
      </c>
      <c r="O432" s="7">
        <f t="shared" si="16"/>
        <v>767077.6391</v>
      </c>
      <c r="P432" s="7">
        <f t="shared" ref="P432:Q432" si="2595">RANDBETWEEN(0,22)</f>
        <v>14</v>
      </c>
      <c r="Q432" s="7">
        <f t="shared" si="2595"/>
        <v>17</v>
      </c>
      <c r="R432" s="7">
        <f t="shared" ref="R432:T432" si="2596">IF(S432=1,1,RANDBETWEEN(0,1))</f>
        <v>1</v>
      </c>
      <c r="S432" s="7">
        <f t="shared" si="2596"/>
        <v>1</v>
      </c>
      <c r="T432" s="7">
        <f t="shared" si="2596"/>
        <v>1</v>
      </c>
      <c r="U432" s="7">
        <f t="shared" si="19"/>
        <v>0</v>
      </c>
      <c r="V432" s="7">
        <f t="shared" ref="V432:X432" si="2597">IF(W432=1,1,RANDBETWEEN(0,1))</f>
        <v>1</v>
      </c>
      <c r="W432" s="7">
        <f t="shared" si="2597"/>
        <v>1</v>
      </c>
      <c r="X432" s="7">
        <f t="shared" si="2597"/>
        <v>1</v>
      </c>
      <c r="Y432" s="7">
        <f t="shared" si="21"/>
        <v>1</v>
      </c>
      <c r="Z432" s="7">
        <f t="shared" ref="Z432:AB432" si="2598">IF(AA432=1,1,RANDBETWEEN(0,1))</f>
        <v>0</v>
      </c>
      <c r="AA432" s="7">
        <f t="shared" si="2598"/>
        <v>0</v>
      </c>
      <c r="AB432" s="7">
        <f t="shared" si="2598"/>
        <v>0</v>
      </c>
      <c r="AC432" s="7">
        <f t="shared" si="23"/>
        <v>0</v>
      </c>
      <c r="AD432" s="7">
        <f t="shared" ref="AD432:AF432" si="2599">IF(AE432=1,1,RANDBETWEEN(0,1))</f>
        <v>0</v>
      </c>
      <c r="AE432" s="7">
        <f t="shared" si="2599"/>
        <v>0</v>
      </c>
      <c r="AF432" s="7">
        <f t="shared" si="2599"/>
        <v>0</v>
      </c>
      <c r="AG432" s="7">
        <f t="shared" si="25"/>
        <v>0</v>
      </c>
    </row>
    <row r="433">
      <c r="A433" s="4" t="s">
        <v>1216</v>
      </c>
      <c r="B433" s="4" t="s">
        <v>1217</v>
      </c>
      <c r="C433" s="4" t="s">
        <v>1218</v>
      </c>
      <c r="D433" s="5">
        <v>11905.0</v>
      </c>
      <c r="E433" s="6">
        <f t="shared" si="7"/>
        <v>1026</v>
      </c>
      <c r="F433" s="7">
        <f t="shared" ref="F433:G433" si="2600">ROUND(RAND(),2)</f>
        <v>0.24</v>
      </c>
      <c r="G433" s="7">
        <f t="shared" si="2600"/>
        <v>0.66</v>
      </c>
      <c r="H433" s="7">
        <f t="shared" si="9"/>
        <v>4</v>
      </c>
      <c r="I433" s="7">
        <f t="shared" si="10"/>
        <v>42628</v>
      </c>
      <c r="J433" s="7">
        <f t="shared" si="11"/>
        <v>11280</v>
      </c>
      <c r="K433" s="7" t="str">
        <f t="shared" si="12"/>
        <v>B</v>
      </c>
      <c r="L433" s="7" t="str">
        <f t="shared" si="13"/>
        <v>Transformative change</v>
      </c>
      <c r="M433" s="7" t="str">
        <f t="shared" si="14"/>
        <v>Medium</v>
      </c>
      <c r="N433" s="7">
        <f t="shared" si="15"/>
        <v>1418116</v>
      </c>
      <c r="O433" s="7">
        <f t="shared" si="16"/>
        <v>699619.8161</v>
      </c>
      <c r="P433" s="7">
        <f t="shared" ref="P433:Q433" si="2601">RANDBETWEEN(0,22)</f>
        <v>6</v>
      </c>
      <c r="Q433" s="7">
        <f t="shared" si="2601"/>
        <v>17</v>
      </c>
      <c r="R433" s="7">
        <f t="shared" ref="R433:T433" si="2602">IF(S433=1,1,RANDBETWEEN(0,1))</f>
        <v>0</v>
      </c>
      <c r="S433" s="7">
        <f t="shared" si="2602"/>
        <v>0</v>
      </c>
      <c r="T433" s="7">
        <f t="shared" si="2602"/>
        <v>0</v>
      </c>
      <c r="U433" s="7">
        <f t="shared" si="19"/>
        <v>0</v>
      </c>
      <c r="V433" s="7">
        <f t="shared" ref="V433:X433" si="2603">IF(W433=1,1,RANDBETWEEN(0,1))</f>
        <v>1</v>
      </c>
      <c r="W433" s="7">
        <f t="shared" si="2603"/>
        <v>1</v>
      </c>
      <c r="X433" s="7">
        <f t="shared" si="2603"/>
        <v>1</v>
      </c>
      <c r="Y433" s="7">
        <f t="shared" si="21"/>
        <v>1</v>
      </c>
      <c r="Z433" s="7">
        <f t="shared" ref="Z433:AB433" si="2604">IF(AA433=1,1,RANDBETWEEN(0,1))</f>
        <v>1</v>
      </c>
      <c r="AA433" s="7">
        <f t="shared" si="2604"/>
        <v>1</v>
      </c>
      <c r="AB433" s="7">
        <f t="shared" si="2604"/>
        <v>1</v>
      </c>
      <c r="AC433" s="7">
        <f t="shared" si="23"/>
        <v>1</v>
      </c>
      <c r="AD433" s="7">
        <f t="shared" ref="AD433:AF433" si="2605">IF(AE433=1,1,RANDBETWEEN(0,1))</f>
        <v>1</v>
      </c>
      <c r="AE433" s="7">
        <f t="shared" si="2605"/>
        <v>1</v>
      </c>
      <c r="AF433" s="7">
        <f t="shared" si="2605"/>
        <v>1</v>
      </c>
      <c r="AG433" s="7">
        <f t="shared" si="25"/>
        <v>0</v>
      </c>
    </row>
    <row r="434">
      <c r="A434" s="4" t="s">
        <v>1219</v>
      </c>
      <c r="B434" s="4" t="s">
        <v>1220</v>
      </c>
      <c r="C434" s="4" t="s">
        <v>1221</v>
      </c>
      <c r="D434" s="5">
        <v>7566.0</v>
      </c>
      <c r="E434" s="6">
        <f t="shared" si="7"/>
        <v>957</v>
      </c>
      <c r="F434" s="7">
        <f t="shared" ref="F434:G434" si="2606">ROUND(RAND(),2)</f>
        <v>0.9</v>
      </c>
      <c r="G434" s="7">
        <f t="shared" si="2606"/>
        <v>0.47</v>
      </c>
      <c r="H434" s="7">
        <f t="shared" si="9"/>
        <v>2</v>
      </c>
      <c r="I434" s="7">
        <f t="shared" si="10"/>
        <v>58587</v>
      </c>
      <c r="J434" s="7">
        <f t="shared" si="11"/>
        <v>9380</v>
      </c>
      <c r="K434" s="7" t="str">
        <f t="shared" si="12"/>
        <v>F</v>
      </c>
      <c r="L434" s="7" t="str">
        <f t="shared" si="13"/>
        <v>Transformative change</v>
      </c>
      <c r="M434" s="7" t="str">
        <f t="shared" si="14"/>
        <v>High</v>
      </c>
      <c r="N434" s="7">
        <f t="shared" si="15"/>
        <v>121618</v>
      </c>
      <c r="O434" s="7">
        <f t="shared" si="16"/>
        <v>86962.41082</v>
      </c>
      <c r="P434" s="7">
        <f t="shared" ref="P434:Q434" si="2607">RANDBETWEEN(0,22)</f>
        <v>14</v>
      </c>
      <c r="Q434" s="7">
        <f t="shared" si="2607"/>
        <v>20</v>
      </c>
      <c r="R434" s="7">
        <f t="shared" ref="R434:T434" si="2608">IF(S434=1,1,RANDBETWEEN(0,1))</f>
        <v>0</v>
      </c>
      <c r="S434" s="7">
        <f t="shared" si="2608"/>
        <v>0</v>
      </c>
      <c r="T434" s="7">
        <f t="shared" si="2608"/>
        <v>0</v>
      </c>
      <c r="U434" s="7">
        <f t="shared" si="19"/>
        <v>0</v>
      </c>
      <c r="V434" s="7">
        <f t="shared" ref="V434:X434" si="2609">IF(W434=1,1,RANDBETWEEN(0,1))</f>
        <v>1</v>
      </c>
      <c r="W434" s="7">
        <f t="shared" si="2609"/>
        <v>1</v>
      </c>
      <c r="X434" s="7">
        <f t="shared" si="2609"/>
        <v>1</v>
      </c>
      <c r="Y434" s="7">
        <f t="shared" si="21"/>
        <v>1</v>
      </c>
      <c r="Z434" s="7">
        <f t="shared" ref="Z434:AB434" si="2610">IF(AA434=1,1,RANDBETWEEN(0,1))</f>
        <v>1</v>
      </c>
      <c r="AA434" s="7">
        <f t="shared" si="2610"/>
        <v>1</v>
      </c>
      <c r="AB434" s="7">
        <f t="shared" si="2610"/>
        <v>1</v>
      </c>
      <c r="AC434" s="7">
        <f t="shared" si="23"/>
        <v>1</v>
      </c>
      <c r="AD434" s="7">
        <f t="shared" ref="AD434:AF434" si="2611">IF(AE434=1,1,RANDBETWEEN(0,1))</f>
        <v>1</v>
      </c>
      <c r="AE434" s="7">
        <f t="shared" si="2611"/>
        <v>1</v>
      </c>
      <c r="AF434" s="7">
        <f t="shared" si="2611"/>
        <v>1</v>
      </c>
      <c r="AG434" s="7">
        <f t="shared" si="25"/>
        <v>1</v>
      </c>
    </row>
    <row r="435">
      <c r="A435" s="4" t="s">
        <v>1222</v>
      </c>
      <c r="B435" s="4" t="s">
        <v>1223</v>
      </c>
      <c r="C435" s="4" t="s">
        <v>1224</v>
      </c>
      <c r="D435" s="5">
        <v>734141.0</v>
      </c>
      <c r="E435" s="6">
        <f t="shared" si="7"/>
        <v>4994.16</v>
      </c>
      <c r="F435" s="7">
        <f t="shared" ref="F435:G435" si="2612">ROUND(RAND(),2)</f>
        <v>0.87</v>
      </c>
      <c r="G435" s="7">
        <f t="shared" si="2612"/>
        <v>0.21</v>
      </c>
      <c r="H435" s="7">
        <f t="shared" si="9"/>
        <v>4</v>
      </c>
      <c r="I435" s="7">
        <f t="shared" si="10"/>
        <v>18439</v>
      </c>
      <c r="J435" s="7">
        <f t="shared" si="11"/>
        <v>16082</v>
      </c>
      <c r="K435" s="7" t="str">
        <f t="shared" si="12"/>
        <v>E</v>
      </c>
      <c r="L435" s="7" t="str">
        <f t="shared" si="13"/>
        <v>High ambition</v>
      </c>
      <c r="M435" s="7" t="str">
        <f t="shared" si="14"/>
        <v>High</v>
      </c>
      <c r="N435" s="7">
        <f t="shared" si="15"/>
        <v>1024555</v>
      </c>
      <c r="O435" s="7">
        <f t="shared" si="16"/>
        <v>415386.8427</v>
      </c>
      <c r="P435" s="7">
        <f t="shared" ref="P435:Q435" si="2613">RANDBETWEEN(0,22)</f>
        <v>7</v>
      </c>
      <c r="Q435" s="7">
        <f t="shared" si="2613"/>
        <v>1</v>
      </c>
      <c r="R435" s="7">
        <f t="shared" ref="R435:T435" si="2614">IF(S435=1,1,RANDBETWEEN(0,1))</f>
        <v>1</v>
      </c>
      <c r="S435" s="7">
        <f t="shared" si="2614"/>
        <v>1</v>
      </c>
      <c r="T435" s="7">
        <f t="shared" si="2614"/>
        <v>1</v>
      </c>
      <c r="U435" s="7">
        <f t="shared" si="19"/>
        <v>1</v>
      </c>
      <c r="V435" s="7">
        <f t="shared" ref="V435:X435" si="2615">IF(W435=1,1,RANDBETWEEN(0,1))</f>
        <v>1</v>
      </c>
      <c r="W435" s="7">
        <f t="shared" si="2615"/>
        <v>1</v>
      </c>
      <c r="X435" s="7">
        <f t="shared" si="2615"/>
        <v>1</v>
      </c>
      <c r="Y435" s="7">
        <f t="shared" si="21"/>
        <v>1</v>
      </c>
      <c r="Z435" s="7">
        <f t="shared" ref="Z435:AB435" si="2616">IF(AA435=1,1,RANDBETWEEN(0,1))</f>
        <v>1</v>
      </c>
      <c r="AA435" s="7">
        <f t="shared" si="2616"/>
        <v>1</v>
      </c>
      <c r="AB435" s="7">
        <f t="shared" si="2616"/>
        <v>1</v>
      </c>
      <c r="AC435" s="7">
        <f t="shared" si="23"/>
        <v>1</v>
      </c>
      <c r="AD435" s="7">
        <f t="shared" ref="AD435:AF435" si="2617">IF(AE435=1,1,RANDBETWEEN(0,1))</f>
        <v>1</v>
      </c>
      <c r="AE435" s="7">
        <f t="shared" si="2617"/>
        <v>1</v>
      </c>
      <c r="AF435" s="7">
        <f t="shared" si="2617"/>
        <v>1</v>
      </c>
      <c r="AG435" s="7">
        <f t="shared" si="25"/>
        <v>0</v>
      </c>
    </row>
    <row r="436">
      <c r="A436" s="4" t="s">
        <v>1225</v>
      </c>
      <c r="B436" s="4" t="s">
        <v>1226</v>
      </c>
      <c r="C436" s="4" t="s">
        <v>95</v>
      </c>
      <c r="D436" s="5">
        <v>866873.0</v>
      </c>
      <c r="E436" s="6">
        <f t="shared" si="7"/>
        <v>3074.02</v>
      </c>
      <c r="F436" s="7">
        <f t="shared" ref="F436:G436" si="2618">ROUND(RAND(),2)</f>
        <v>0.22</v>
      </c>
      <c r="G436" s="7">
        <f t="shared" si="2618"/>
        <v>0.84</v>
      </c>
      <c r="H436" s="7">
        <f t="shared" si="9"/>
        <v>3</v>
      </c>
      <c r="I436" s="7">
        <f t="shared" si="10"/>
        <v>89568</v>
      </c>
      <c r="J436" s="7">
        <f t="shared" si="11"/>
        <v>69322</v>
      </c>
      <c r="K436" s="7" t="str">
        <f t="shared" si="12"/>
        <v>A</v>
      </c>
      <c r="L436" s="7" t="str">
        <f t="shared" si="13"/>
        <v>Transformative change</v>
      </c>
      <c r="M436" s="7" t="str">
        <f t="shared" si="14"/>
        <v>Medium</v>
      </c>
      <c r="N436" s="7">
        <f t="shared" si="15"/>
        <v>74334</v>
      </c>
      <c r="O436" s="7">
        <f t="shared" si="16"/>
        <v>31242.21364</v>
      </c>
      <c r="P436" s="7">
        <f t="shared" ref="P436:Q436" si="2619">RANDBETWEEN(0,22)</f>
        <v>12</v>
      </c>
      <c r="Q436" s="7">
        <f t="shared" si="2619"/>
        <v>5</v>
      </c>
      <c r="R436" s="7">
        <f t="shared" ref="R436:T436" si="2620">IF(S436=1,1,RANDBETWEEN(0,1))</f>
        <v>1</v>
      </c>
      <c r="S436" s="7">
        <f t="shared" si="2620"/>
        <v>0</v>
      </c>
      <c r="T436" s="7">
        <f t="shared" si="2620"/>
        <v>0</v>
      </c>
      <c r="U436" s="7">
        <f t="shared" si="19"/>
        <v>0</v>
      </c>
      <c r="V436" s="7">
        <f t="shared" ref="V436:X436" si="2621">IF(W436=1,1,RANDBETWEEN(0,1))</f>
        <v>1</v>
      </c>
      <c r="W436" s="7">
        <f t="shared" si="2621"/>
        <v>1</v>
      </c>
      <c r="X436" s="7">
        <f t="shared" si="2621"/>
        <v>1</v>
      </c>
      <c r="Y436" s="7">
        <f t="shared" si="21"/>
        <v>1</v>
      </c>
      <c r="Z436" s="7">
        <f t="shared" ref="Z436:AB436" si="2622">IF(AA436=1,1,RANDBETWEEN(0,1))</f>
        <v>1</v>
      </c>
      <c r="AA436" s="7">
        <f t="shared" si="2622"/>
        <v>1</v>
      </c>
      <c r="AB436" s="7">
        <f t="shared" si="2622"/>
        <v>1</v>
      </c>
      <c r="AC436" s="7">
        <f t="shared" si="23"/>
        <v>0</v>
      </c>
      <c r="AD436" s="7">
        <f t="shared" ref="AD436:AF436" si="2623">IF(AE436=1,1,RANDBETWEEN(0,1))</f>
        <v>1</v>
      </c>
      <c r="AE436" s="7">
        <f t="shared" si="2623"/>
        <v>0</v>
      </c>
      <c r="AF436" s="7">
        <f t="shared" si="2623"/>
        <v>0</v>
      </c>
      <c r="AG436" s="7">
        <f t="shared" si="25"/>
        <v>0</v>
      </c>
    </row>
    <row r="437">
      <c r="A437" s="4" t="s">
        <v>1227</v>
      </c>
      <c r="B437" s="4" t="s">
        <v>1228</v>
      </c>
      <c r="C437" s="4" t="s">
        <v>1229</v>
      </c>
      <c r="D437" s="5">
        <v>44856.0</v>
      </c>
      <c r="E437" s="6">
        <f t="shared" si="7"/>
        <v>886</v>
      </c>
      <c r="F437" s="7">
        <f t="shared" ref="F437:G437" si="2624">ROUND(RAND(),2)</f>
        <v>0.87</v>
      </c>
      <c r="G437" s="7">
        <f t="shared" si="2624"/>
        <v>0.73</v>
      </c>
      <c r="H437" s="7">
        <f t="shared" si="9"/>
        <v>1</v>
      </c>
      <c r="I437" s="7">
        <f t="shared" si="10"/>
        <v>44196</v>
      </c>
      <c r="J437" s="7">
        <f t="shared" si="11"/>
        <v>44823</v>
      </c>
      <c r="K437" s="7" t="str">
        <f t="shared" si="12"/>
        <v>C</v>
      </c>
      <c r="L437" s="7" t="str">
        <f t="shared" si="13"/>
        <v>Transformative change</v>
      </c>
      <c r="M437" s="7" t="str">
        <f t="shared" si="14"/>
        <v>High</v>
      </c>
      <c r="N437" s="7">
        <f t="shared" si="15"/>
        <v>2021241</v>
      </c>
      <c r="O437" s="7">
        <f t="shared" si="16"/>
        <v>921515.6868</v>
      </c>
      <c r="P437" s="7">
        <f t="shared" ref="P437:Q437" si="2625">RANDBETWEEN(0,22)</f>
        <v>14</v>
      </c>
      <c r="Q437" s="7">
        <f t="shared" si="2625"/>
        <v>0</v>
      </c>
      <c r="R437" s="7">
        <f t="shared" ref="R437:T437" si="2626">IF(S437=1,1,RANDBETWEEN(0,1))</f>
        <v>1</v>
      </c>
      <c r="S437" s="7">
        <f t="shared" si="2626"/>
        <v>1</v>
      </c>
      <c r="T437" s="7">
        <f t="shared" si="2626"/>
        <v>0</v>
      </c>
      <c r="U437" s="7">
        <f t="shared" si="19"/>
        <v>0</v>
      </c>
      <c r="V437" s="7">
        <f t="shared" ref="V437:X437" si="2627">IF(W437=1,1,RANDBETWEEN(0,1))</f>
        <v>1</v>
      </c>
      <c r="W437" s="7">
        <f t="shared" si="2627"/>
        <v>1</v>
      </c>
      <c r="X437" s="7">
        <f t="shared" si="2627"/>
        <v>1</v>
      </c>
      <c r="Y437" s="7">
        <f t="shared" si="21"/>
        <v>1</v>
      </c>
      <c r="Z437" s="7">
        <f t="shared" ref="Z437:AB437" si="2628">IF(AA437=1,1,RANDBETWEEN(0,1))</f>
        <v>0</v>
      </c>
      <c r="AA437" s="7">
        <f t="shared" si="2628"/>
        <v>0</v>
      </c>
      <c r="AB437" s="7">
        <f t="shared" si="2628"/>
        <v>0</v>
      </c>
      <c r="AC437" s="7">
        <f t="shared" si="23"/>
        <v>0</v>
      </c>
      <c r="AD437" s="7">
        <f t="shared" ref="AD437:AF437" si="2629">IF(AE437=1,1,RANDBETWEEN(0,1))</f>
        <v>1</v>
      </c>
      <c r="AE437" s="7">
        <f t="shared" si="2629"/>
        <v>1</v>
      </c>
      <c r="AF437" s="7">
        <f t="shared" si="2629"/>
        <v>1</v>
      </c>
      <c r="AG437" s="7">
        <f t="shared" si="25"/>
        <v>1</v>
      </c>
    </row>
    <row r="438">
      <c r="A438" s="4" t="s">
        <v>1230</v>
      </c>
      <c r="B438" s="4" t="s">
        <v>1231</v>
      </c>
      <c r="C438" s="4" t="s">
        <v>1232</v>
      </c>
      <c r="D438" s="5">
        <v>79811.0</v>
      </c>
      <c r="E438" s="6">
        <f t="shared" si="7"/>
        <v>895</v>
      </c>
      <c r="F438" s="7">
        <f t="shared" ref="F438:G438" si="2630">ROUND(RAND(),2)</f>
        <v>0.14</v>
      </c>
      <c r="G438" s="7">
        <f t="shared" si="2630"/>
        <v>0.66</v>
      </c>
      <c r="H438" s="7">
        <f t="shared" si="9"/>
        <v>5</v>
      </c>
      <c r="I438" s="7">
        <f t="shared" si="10"/>
        <v>92961</v>
      </c>
      <c r="J438" s="7">
        <f t="shared" si="11"/>
        <v>9383</v>
      </c>
      <c r="K438" s="7" t="str">
        <f t="shared" si="12"/>
        <v>C</v>
      </c>
      <c r="L438" s="7" t="str">
        <f t="shared" si="13"/>
        <v>Transformative change</v>
      </c>
      <c r="M438" s="7" t="str">
        <f t="shared" si="14"/>
        <v>Low</v>
      </c>
      <c r="N438" s="7">
        <f t="shared" si="15"/>
        <v>1569657</v>
      </c>
      <c r="O438" s="7">
        <f t="shared" si="16"/>
        <v>1115519.924</v>
      </c>
      <c r="P438" s="7">
        <f t="shared" ref="P438:Q438" si="2631">RANDBETWEEN(0,22)</f>
        <v>11</v>
      </c>
      <c r="Q438" s="7">
        <f t="shared" si="2631"/>
        <v>18</v>
      </c>
      <c r="R438" s="7">
        <f t="shared" ref="R438:T438" si="2632">IF(S438=1,1,RANDBETWEEN(0,1))</f>
        <v>1</v>
      </c>
      <c r="S438" s="7">
        <f t="shared" si="2632"/>
        <v>1</v>
      </c>
      <c r="T438" s="7">
        <f t="shared" si="2632"/>
        <v>1</v>
      </c>
      <c r="U438" s="7">
        <f t="shared" si="19"/>
        <v>0</v>
      </c>
      <c r="V438" s="7">
        <f t="shared" ref="V438:X438" si="2633">IF(W438=1,1,RANDBETWEEN(0,1))</f>
        <v>1</v>
      </c>
      <c r="W438" s="7">
        <f t="shared" si="2633"/>
        <v>1</v>
      </c>
      <c r="X438" s="7">
        <f t="shared" si="2633"/>
        <v>1</v>
      </c>
      <c r="Y438" s="7">
        <f t="shared" si="21"/>
        <v>1</v>
      </c>
      <c r="Z438" s="7">
        <f t="shared" ref="Z438:AB438" si="2634">IF(AA438=1,1,RANDBETWEEN(0,1))</f>
        <v>1</v>
      </c>
      <c r="AA438" s="7">
        <f t="shared" si="2634"/>
        <v>1</v>
      </c>
      <c r="AB438" s="7">
        <f t="shared" si="2634"/>
        <v>1</v>
      </c>
      <c r="AC438" s="7">
        <f t="shared" si="23"/>
        <v>1</v>
      </c>
      <c r="AD438" s="7">
        <f t="shared" ref="AD438:AF438" si="2635">IF(AE438=1,1,RANDBETWEEN(0,1))</f>
        <v>1</v>
      </c>
      <c r="AE438" s="7">
        <f t="shared" si="2635"/>
        <v>1</v>
      </c>
      <c r="AF438" s="7">
        <f t="shared" si="2635"/>
        <v>0</v>
      </c>
      <c r="AG438" s="7">
        <f t="shared" si="25"/>
        <v>0</v>
      </c>
    </row>
    <row r="439">
      <c r="A439" s="4" t="s">
        <v>1233</v>
      </c>
      <c r="B439" s="4" t="s">
        <v>1234</v>
      </c>
      <c r="C439" s="4" t="s">
        <v>1235</v>
      </c>
      <c r="D439" s="5">
        <v>7761.0</v>
      </c>
      <c r="E439" s="6">
        <f t="shared" si="7"/>
        <v>942</v>
      </c>
      <c r="F439" s="7">
        <f t="shared" ref="F439:G439" si="2636">ROUND(RAND(),2)</f>
        <v>0.94</v>
      </c>
      <c r="G439" s="7">
        <f t="shared" si="2636"/>
        <v>0.81</v>
      </c>
      <c r="H439" s="7">
        <f t="shared" si="9"/>
        <v>5</v>
      </c>
      <c r="I439" s="7">
        <f t="shared" si="10"/>
        <v>15548</v>
      </c>
      <c r="J439" s="7">
        <f t="shared" si="11"/>
        <v>7095</v>
      </c>
      <c r="K439" s="7" t="str">
        <f t="shared" si="12"/>
        <v>F</v>
      </c>
      <c r="L439" s="7" t="str">
        <f t="shared" si="13"/>
        <v>Transformative change</v>
      </c>
      <c r="M439" s="7" t="str">
        <f t="shared" si="14"/>
        <v>High</v>
      </c>
      <c r="N439" s="7">
        <f t="shared" si="15"/>
        <v>2766742</v>
      </c>
      <c r="O439" s="7">
        <f t="shared" si="16"/>
        <v>873969.2725</v>
      </c>
      <c r="P439" s="7">
        <f t="shared" ref="P439:Q439" si="2637">RANDBETWEEN(0,22)</f>
        <v>19</v>
      </c>
      <c r="Q439" s="7">
        <f t="shared" si="2637"/>
        <v>7</v>
      </c>
      <c r="R439" s="7">
        <f t="shared" ref="R439:T439" si="2638">IF(S439=1,1,RANDBETWEEN(0,1))</f>
        <v>1</v>
      </c>
      <c r="S439" s="7">
        <f t="shared" si="2638"/>
        <v>1</v>
      </c>
      <c r="T439" s="7">
        <f t="shared" si="2638"/>
        <v>0</v>
      </c>
      <c r="U439" s="7">
        <f t="shared" si="19"/>
        <v>0</v>
      </c>
      <c r="V439" s="7">
        <f t="shared" ref="V439:X439" si="2639">IF(W439=1,1,RANDBETWEEN(0,1))</f>
        <v>1</v>
      </c>
      <c r="W439" s="7">
        <f t="shared" si="2639"/>
        <v>0</v>
      </c>
      <c r="X439" s="7">
        <f t="shared" si="2639"/>
        <v>0</v>
      </c>
      <c r="Y439" s="7">
        <f t="shared" si="21"/>
        <v>0</v>
      </c>
      <c r="Z439" s="7">
        <f t="shared" ref="Z439:AB439" si="2640">IF(AA439=1,1,RANDBETWEEN(0,1))</f>
        <v>1</v>
      </c>
      <c r="AA439" s="7">
        <f t="shared" si="2640"/>
        <v>1</v>
      </c>
      <c r="AB439" s="7">
        <f t="shared" si="2640"/>
        <v>1</v>
      </c>
      <c r="AC439" s="7">
        <f t="shared" si="23"/>
        <v>1</v>
      </c>
      <c r="AD439" s="7">
        <f t="shared" ref="AD439:AF439" si="2641">IF(AE439=1,1,RANDBETWEEN(0,1))</f>
        <v>1</v>
      </c>
      <c r="AE439" s="7">
        <f t="shared" si="2641"/>
        <v>0</v>
      </c>
      <c r="AF439" s="7">
        <f t="shared" si="2641"/>
        <v>0</v>
      </c>
      <c r="AG439" s="7">
        <f t="shared" si="25"/>
        <v>0</v>
      </c>
    </row>
    <row r="440">
      <c r="A440" s="4" t="s">
        <v>1236</v>
      </c>
      <c r="B440" s="4" t="s">
        <v>1237</v>
      </c>
      <c r="C440" s="4" t="s">
        <v>95</v>
      </c>
      <c r="D440" s="5">
        <v>8653.0</v>
      </c>
      <c r="E440" s="6">
        <f t="shared" si="7"/>
        <v>1099</v>
      </c>
      <c r="F440" s="7">
        <f t="shared" ref="F440:G440" si="2642">ROUND(RAND(),2)</f>
        <v>0.43</v>
      </c>
      <c r="G440" s="7">
        <f t="shared" si="2642"/>
        <v>0.54</v>
      </c>
      <c r="H440" s="7">
        <f t="shared" si="9"/>
        <v>1</v>
      </c>
      <c r="I440" s="7">
        <f t="shared" si="10"/>
        <v>11793</v>
      </c>
      <c r="J440" s="7">
        <f t="shared" si="11"/>
        <v>21374</v>
      </c>
      <c r="K440" s="7" t="str">
        <f t="shared" si="12"/>
        <v>D</v>
      </c>
      <c r="L440" s="7" t="str">
        <f t="shared" si="13"/>
        <v>Transformative change</v>
      </c>
      <c r="M440" s="7" t="str">
        <f t="shared" si="14"/>
        <v>Medium</v>
      </c>
      <c r="N440" s="7">
        <f t="shared" si="15"/>
        <v>2193625</v>
      </c>
      <c r="O440" s="7">
        <f t="shared" si="16"/>
        <v>711727.0667</v>
      </c>
      <c r="P440" s="7">
        <f t="shared" ref="P440:Q440" si="2643">RANDBETWEEN(0,22)</f>
        <v>0</v>
      </c>
      <c r="Q440" s="7">
        <f t="shared" si="2643"/>
        <v>6</v>
      </c>
      <c r="R440" s="7">
        <f t="shared" ref="R440:T440" si="2644">IF(S440=1,1,RANDBETWEEN(0,1))</f>
        <v>1</v>
      </c>
      <c r="S440" s="7">
        <f t="shared" si="2644"/>
        <v>1</v>
      </c>
      <c r="T440" s="7">
        <f t="shared" si="2644"/>
        <v>1</v>
      </c>
      <c r="U440" s="7">
        <f t="shared" si="19"/>
        <v>1</v>
      </c>
      <c r="V440" s="7">
        <f t="shared" ref="V440:X440" si="2645">IF(W440=1,1,RANDBETWEEN(0,1))</f>
        <v>1</v>
      </c>
      <c r="W440" s="7">
        <f t="shared" si="2645"/>
        <v>1</v>
      </c>
      <c r="X440" s="7">
        <f t="shared" si="2645"/>
        <v>1</v>
      </c>
      <c r="Y440" s="7">
        <f t="shared" si="21"/>
        <v>1</v>
      </c>
      <c r="Z440" s="7">
        <f t="shared" ref="Z440:AB440" si="2646">IF(AA440=1,1,RANDBETWEEN(0,1))</f>
        <v>1</v>
      </c>
      <c r="AA440" s="7">
        <f t="shared" si="2646"/>
        <v>1</v>
      </c>
      <c r="AB440" s="7">
        <f t="shared" si="2646"/>
        <v>1</v>
      </c>
      <c r="AC440" s="7">
        <f t="shared" si="23"/>
        <v>1</v>
      </c>
      <c r="AD440" s="7">
        <f t="shared" ref="AD440:AF440" si="2647">IF(AE440=1,1,RANDBETWEEN(0,1))</f>
        <v>1</v>
      </c>
      <c r="AE440" s="7">
        <f t="shared" si="2647"/>
        <v>1</v>
      </c>
      <c r="AF440" s="7">
        <f t="shared" si="2647"/>
        <v>1</v>
      </c>
      <c r="AG440" s="7">
        <f t="shared" si="25"/>
        <v>1</v>
      </c>
    </row>
    <row r="441">
      <c r="A441" s="4" t="s">
        <v>1238</v>
      </c>
      <c r="B441" s="4" t="s">
        <v>1239</v>
      </c>
      <c r="C441" s="4" t="s">
        <v>1240</v>
      </c>
      <c r="D441" s="5">
        <v>7791.0</v>
      </c>
      <c r="E441" s="6">
        <f t="shared" si="7"/>
        <v>1050</v>
      </c>
      <c r="F441" s="7">
        <f t="shared" ref="F441:G441" si="2648">ROUND(RAND(),2)</f>
        <v>0.93</v>
      </c>
      <c r="G441" s="7">
        <f t="shared" si="2648"/>
        <v>0.38</v>
      </c>
      <c r="H441" s="7">
        <f t="shared" si="9"/>
        <v>4</v>
      </c>
      <c r="I441" s="7">
        <f t="shared" si="10"/>
        <v>83863</v>
      </c>
      <c r="J441" s="7">
        <f t="shared" si="11"/>
        <v>41828</v>
      </c>
      <c r="K441" s="7" t="str">
        <f t="shared" si="12"/>
        <v>G</v>
      </c>
      <c r="L441" s="7" t="str">
        <f t="shared" si="13"/>
        <v>Transformative change</v>
      </c>
      <c r="M441" s="7" t="str">
        <f t="shared" si="14"/>
        <v>High</v>
      </c>
      <c r="N441" s="7">
        <f t="shared" si="15"/>
        <v>3084234</v>
      </c>
      <c r="O441" s="7">
        <f t="shared" si="16"/>
        <v>179276.8288</v>
      </c>
      <c r="P441" s="7">
        <f t="shared" ref="P441:Q441" si="2649">RANDBETWEEN(0,22)</f>
        <v>19</v>
      </c>
      <c r="Q441" s="7">
        <f t="shared" si="2649"/>
        <v>15</v>
      </c>
      <c r="R441" s="7">
        <f t="shared" ref="R441:T441" si="2650">IF(S441=1,1,RANDBETWEEN(0,1))</f>
        <v>1</v>
      </c>
      <c r="S441" s="7">
        <f t="shared" si="2650"/>
        <v>1</v>
      </c>
      <c r="T441" s="7">
        <f t="shared" si="2650"/>
        <v>1</v>
      </c>
      <c r="U441" s="7">
        <f t="shared" si="19"/>
        <v>1</v>
      </c>
      <c r="V441" s="7">
        <f t="shared" ref="V441:X441" si="2651">IF(W441=1,1,RANDBETWEEN(0,1))</f>
        <v>1</v>
      </c>
      <c r="W441" s="7">
        <f t="shared" si="2651"/>
        <v>1</v>
      </c>
      <c r="X441" s="7">
        <f t="shared" si="2651"/>
        <v>1</v>
      </c>
      <c r="Y441" s="7">
        <f t="shared" si="21"/>
        <v>1</v>
      </c>
      <c r="Z441" s="7">
        <f t="shared" ref="Z441:AB441" si="2652">IF(AA441=1,1,RANDBETWEEN(0,1))</f>
        <v>1</v>
      </c>
      <c r="AA441" s="7">
        <f t="shared" si="2652"/>
        <v>1</v>
      </c>
      <c r="AB441" s="7">
        <f t="shared" si="2652"/>
        <v>1</v>
      </c>
      <c r="AC441" s="7">
        <f t="shared" si="23"/>
        <v>1</v>
      </c>
      <c r="AD441" s="7">
        <f t="shared" ref="AD441:AF441" si="2653">IF(AE441=1,1,RANDBETWEEN(0,1))</f>
        <v>1</v>
      </c>
      <c r="AE441" s="7">
        <f t="shared" si="2653"/>
        <v>1</v>
      </c>
      <c r="AF441" s="7">
        <f t="shared" si="2653"/>
        <v>1</v>
      </c>
      <c r="AG441" s="7">
        <f t="shared" si="25"/>
        <v>1</v>
      </c>
    </row>
    <row r="442">
      <c r="A442" s="4" t="s">
        <v>1241</v>
      </c>
      <c r="B442" s="4" t="s">
        <v>1242</v>
      </c>
      <c r="C442" s="4" t="s">
        <v>1243</v>
      </c>
      <c r="D442" s="5">
        <v>17131.0</v>
      </c>
      <c r="E442" s="6">
        <f t="shared" si="7"/>
        <v>884</v>
      </c>
      <c r="F442" s="7">
        <f t="shared" ref="F442:G442" si="2654">ROUND(RAND(),2)</f>
        <v>1</v>
      </c>
      <c r="G442" s="7">
        <f t="shared" si="2654"/>
        <v>0.82</v>
      </c>
      <c r="H442" s="7">
        <f t="shared" si="9"/>
        <v>1</v>
      </c>
      <c r="I442" s="7">
        <f t="shared" si="10"/>
        <v>41149</v>
      </c>
      <c r="J442" s="7">
        <f t="shared" si="11"/>
        <v>28108</v>
      </c>
      <c r="K442" s="7" t="str">
        <f t="shared" si="12"/>
        <v>D</v>
      </c>
      <c r="L442" s="7" t="str">
        <f t="shared" si="13"/>
        <v>Transformative change</v>
      </c>
      <c r="M442" s="7" t="str">
        <f t="shared" si="14"/>
        <v>High</v>
      </c>
      <c r="N442" s="7">
        <f t="shared" si="15"/>
        <v>3499217</v>
      </c>
      <c r="O442" s="7">
        <f t="shared" si="16"/>
        <v>1589761.14</v>
      </c>
      <c r="P442" s="7">
        <f t="shared" ref="P442:Q442" si="2655">RANDBETWEEN(0,22)</f>
        <v>3</v>
      </c>
      <c r="Q442" s="7">
        <f t="shared" si="2655"/>
        <v>22</v>
      </c>
      <c r="R442" s="7">
        <f t="shared" ref="R442:T442" si="2656">IF(S442=1,1,RANDBETWEEN(0,1))</f>
        <v>1</v>
      </c>
      <c r="S442" s="7">
        <f t="shared" si="2656"/>
        <v>1</v>
      </c>
      <c r="T442" s="7">
        <f t="shared" si="2656"/>
        <v>1</v>
      </c>
      <c r="U442" s="7">
        <f t="shared" si="19"/>
        <v>0</v>
      </c>
      <c r="V442" s="7">
        <f t="shared" ref="V442:X442" si="2657">IF(W442=1,1,RANDBETWEEN(0,1))</f>
        <v>1</v>
      </c>
      <c r="W442" s="7">
        <f t="shared" si="2657"/>
        <v>1</v>
      </c>
      <c r="X442" s="7">
        <f t="shared" si="2657"/>
        <v>1</v>
      </c>
      <c r="Y442" s="7">
        <f t="shared" si="21"/>
        <v>0</v>
      </c>
      <c r="Z442" s="7">
        <f t="shared" ref="Z442:AB442" si="2658">IF(AA442=1,1,RANDBETWEEN(0,1))</f>
        <v>1</v>
      </c>
      <c r="AA442" s="7">
        <f t="shared" si="2658"/>
        <v>1</v>
      </c>
      <c r="AB442" s="7">
        <f t="shared" si="2658"/>
        <v>1</v>
      </c>
      <c r="AC442" s="7">
        <f t="shared" si="23"/>
        <v>0</v>
      </c>
      <c r="AD442" s="7">
        <f t="shared" ref="AD442:AF442" si="2659">IF(AE442=1,1,RANDBETWEEN(0,1))</f>
        <v>1</v>
      </c>
      <c r="AE442" s="7">
        <f t="shared" si="2659"/>
        <v>1</v>
      </c>
      <c r="AF442" s="7">
        <f t="shared" si="2659"/>
        <v>1</v>
      </c>
      <c r="AG442" s="7">
        <f t="shared" si="25"/>
        <v>1</v>
      </c>
    </row>
    <row r="443">
      <c r="A443" s="4" t="s">
        <v>1244</v>
      </c>
      <c r="B443" s="4" t="s">
        <v>1245</v>
      </c>
      <c r="C443" s="4" t="s">
        <v>1246</v>
      </c>
      <c r="D443" s="5">
        <v>483341.0</v>
      </c>
      <c r="E443" s="6">
        <f t="shared" si="7"/>
        <v>1331.52</v>
      </c>
      <c r="F443" s="7">
        <f t="shared" ref="F443:G443" si="2660">ROUND(RAND(),2)</f>
        <v>0.92</v>
      </c>
      <c r="G443" s="7">
        <f t="shared" si="2660"/>
        <v>0.1</v>
      </c>
      <c r="H443" s="7">
        <f t="shared" si="9"/>
        <v>4</v>
      </c>
      <c r="I443" s="7">
        <f t="shared" si="10"/>
        <v>27592</v>
      </c>
      <c r="J443" s="7">
        <f t="shared" si="11"/>
        <v>23576</v>
      </c>
      <c r="K443" s="7" t="str">
        <f t="shared" si="12"/>
        <v>G</v>
      </c>
      <c r="L443" s="7" t="str">
        <f t="shared" si="13"/>
        <v>Transformative change</v>
      </c>
      <c r="M443" s="7" t="str">
        <f t="shared" si="14"/>
        <v>High</v>
      </c>
      <c r="N443" s="7">
        <f t="shared" si="15"/>
        <v>3217537</v>
      </c>
      <c r="O443" s="7">
        <f t="shared" si="16"/>
        <v>1929007.952</v>
      </c>
      <c r="P443" s="7">
        <f t="shared" ref="P443:Q443" si="2661">RANDBETWEEN(0,22)</f>
        <v>17</v>
      </c>
      <c r="Q443" s="7">
        <f t="shared" si="2661"/>
        <v>3</v>
      </c>
      <c r="R443" s="7">
        <f t="shared" ref="R443:T443" si="2662">IF(S443=1,1,RANDBETWEEN(0,1))</f>
        <v>1</v>
      </c>
      <c r="S443" s="7">
        <f t="shared" si="2662"/>
        <v>1</v>
      </c>
      <c r="T443" s="7">
        <f t="shared" si="2662"/>
        <v>1</v>
      </c>
      <c r="U443" s="7">
        <f t="shared" si="19"/>
        <v>1</v>
      </c>
      <c r="V443" s="7">
        <f t="shared" ref="V443:X443" si="2663">IF(W443=1,1,RANDBETWEEN(0,1))</f>
        <v>1</v>
      </c>
      <c r="W443" s="7">
        <f t="shared" si="2663"/>
        <v>1</v>
      </c>
      <c r="X443" s="7">
        <f t="shared" si="2663"/>
        <v>0</v>
      </c>
      <c r="Y443" s="7">
        <f t="shared" si="21"/>
        <v>0</v>
      </c>
      <c r="Z443" s="7">
        <f t="shared" ref="Z443:AB443" si="2664">IF(AA443=1,1,RANDBETWEEN(0,1))</f>
        <v>1</v>
      </c>
      <c r="AA443" s="7">
        <f t="shared" si="2664"/>
        <v>1</v>
      </c>
      <c r="AB443" s="7">
        <f t="shared" si="2664"/>
        <v>1</v>
      </c>
      <c r="AC443" s="7">
        <f t="shared" si="23"/>
        <v>1</v>
      </c>
      <c r="AD443" s="7">
        <f t="shared" ref="AD443:AF443" si="2665">IF(AE443=1,1,RANDBETWEEN(0,1))</f>
        <v>1</v>
      </c>
      <c r="AE443" s="7">
        <f t="shared" si="2665"/>
        <v>1</v>
      </c>
      <c r="AF443" s="7">
        <f t="shared" si="2665"/>
        <v>0</v>
      </c>
      <c r="AG443" s="7">
        <f t="shared" si="25"/>
        <v>0</v>
      </c>
    </row>
    <row r="444">
      <c r="A444" s="4" t="s">
        <v>1247</v>
      </c>
      <c r="B444" s="4" t="s">
        <v>1248</v>
      </c>
      <c r="C444" s="4" t="s">
        <v>1249</v>
      </c>
      <c r="D444" s="5">
        <v>7144.0</v>
      </c>
      <c r="E444" s="6">
        <f t="shared" si="7"/>
        <v>909</v>
      </c>
      <c r="F444" s="7">
        <f t="shared" ref="F444:G444" si="2666">ROUND(RAND(),2)</f>
        <v>0.14</v>
      </c>
      <c r="G444" s="7">
        <f t="shared" si="2666"/>
        <v>0.23</v>
      </c>
      <c r="H444" s="7">
        <f t="shared" si="9"/>
        <v>4</v>
      </c>
      <c r="I444" s="7">
        <f t="shared" si="10"/>
        <v>64409</v>
      </c>
      <c r="J444" s="7">
        <f t="shared" si="11"/>
        <v>61846</v>
      </c>
      <c r="K444" s="7" t="str">
        <f t="shared" si="12"/>
        <v>D</v>
      </c>
      <c r="L444" s="7" t="str">
        <f t="shared" si="13"/>
        <v>Transformative change</v>
      </c>
      <c r="M444" s="7" t="str">
        <f t="shared" si="14"/>
        <v>High</v>
      </c>
      <c r="N444" s="7">
        <f t="shared" si="15"/>
        <v>1383001</v>
      </c>
      <c r="O444" s="7">
        <f t="shared" si="16"/>
        <v>1333854.651</v>
      </c>
      <c r="P444" s="7">
        <f t="shared" ref="P444:Q444" si="2667">RANDBETWEEN(0,22)</f>
        <v>3</v>
      </c>
      <c r="Q444" s="7">
        <f t="shared" si="2667"/>
        <v>15</v>
      </c>
      <c r="R444" s="7">
        <f t="shared" ref="R444:T444" si="2668">IF(S444=1,1,RANDBETWEEN(0,1))</f>
        <v>1</v>
      </c>
      <c r="S444" s="7">
        <f t="shared" si="2668"/>
        <v>1</v>
      </c>
      <c r="T444" s="7">
        <f t="shared" si="2668"/>
        <v>1</v>
      </c>
      <c r="U444" s="7">
        <f t="shared" si="19"/>
        <v>0</v>
      </c>
      <c r="V444" s="7">
        <f t="shared" ref="V444:X444" si="2669">IF(W444=1,1,RANDBETWEEN(0,1))</f>
        <v>1</v>
      </c>
      <c r="W444" s="7">
        <f t="shared" si="2669"/>
        <v>1</v>
      </c>
      <c r="X444" s="7">
        <f t="shared" si="2669"/>
        <v>1</v>
      </c>
      <c r="Y444" s="7">
        <f t="shared" si="21"/>
        <v>0</v>
      </c>
      <c r="Z444" s="7">
        <f t="shared" ref="Z444:AB444" si="2670">IF(AA444=1,1,RANDBETWEEN(0,1))</f>
        <v>1</v>
      </c>
      <c r="AA444" s="7">
        <f t="shared" si="2670"/>
        <v>0</v>
      </c>
      <c r="AB444" s="7">
        <f t="shared" si="2670"/>
        <v>0</v>
      </c>
      <c r="AC444" s="7">
        <f t="shared" si="23"/>
        <v>0</v>
      </c>
      <c r="AD444" s="7">
        <f t="shared" ref="AD444:AF444" si="2671">IF(AE444=1,1,RANDBETWEEN(0,1))</f>
        <v>1</v>
      </c>
      <c r="AE444" s="7">
        <f t="shared" si="2671"/>
        <v>1</v>
      </c>
      <c r="AF444" s="7">
        <f t="shared" si="2671"/>
        <v>1</v>
      </c>
      <c r="AG444" s="7">
        <f t="shared" si="25"/>
        <v>1</v>
      </c>
    </row>
    <row r="445">
      <c r="A445" s="4" t="s">
        <v>222</v>
      </c>
      <c r="B445" s="4" t="s">
        <v>1250</v>
      </c>
      <c r="C445" s="4" t="s">
        <v>1251</v>
      </c>
      <c r="D445" s="5">
        <v>91903.0</v>
      </c>
      <c r="E445" s="6">
        <f t="shared" si="7"/>
        <v>1090</v>
      </c>
      <c r="F445" s="7">
        <f t="shared" ref="F445:G445" si="2672">ROUND(RAND(),2)</f>
        <v>0.86</v>
      </c>
      <c r="G445" s="7">
        <f t="shared" si="2672"/>
        <v>0.68</v>
      </c>
      <c r="H445" s="7">
        <f t="shared" si="9"/>
        <v>5</v>
      </c>
      <c r="I445" s="7">
        <f t="shared" si="10"/>
        <v>10067</v>
      </c>
      <c r="J445" s="7">
        <f t="shared" si="11"/>
        <v>31596</v>
      </c>
      <c r="K445" s="7" t="str">
        <f t="shared" si="12"/>
        <v>C</v>
      </c>
      <c r="L445" s="7" t="str">
        <f t="shared" si="13"/>
        <v>Transformative change</v>
      </c>
      <c r="M445" s="7" t="str">
        <f t="shared" si="14"/>
        <v>Low</v>
      </c>
      <c r="N445" s="7">
        <f t="shared" si="15"/>
        <v>3331591</v>
      </c>
      <c r="O445" s="7">
        <f t="shared" si="16"/>
        <v>1622770.776</v>
      </c>
      <c r="P445" s="7">
        <f t="shared" ref="P445:Q445" si="2673">RANDBETWEEN(0,22)</f>
        <v>3</v>
      </c>
      <c r="Q445" s="7">
        <f t="shared" si="2673"/>
        <v>7</v>
      </c>
      <c r="R445" s="7">
        <f t="shared" ref="R445:T445" si="2674">IF(S445=1,1,RANDBETWEEN(0,1))</f>
        <v>1</v>
      </c>
      <c r="S445" s="7">
        <f t="shared" si="2674"/>
        <v>1</v>
      </c>
      <c r="T445" s="7">
        <f t="shared" si="2674"/>
        <v>1</v>
      </c>
      <c r="U445" s="7">
        <f t="shared" si="19"/>
        <v>1</v>
      </c>
      <c r="V445" s="7">
        <f t="shared" ref="V445:X445" si="2675">IF(W445=1,1,RANDBETWEEN(0,1))</f>
        <v>1</v>
      </c>
      <c r="W445" s="7">
        <f t="shared" si="2675"/>
        <v>1</v>
      </c>
      <c r="X445" s="7">
        <f t="shared" si="2675"/>
        <v>1</v>
      </c>
      <c r="Y445" s="7">
        <f t="shared" si="21"/>
        <v>1</v>
      </c>
      <c r="Z445" s="7">
        <f t="shared" ref="Z445:AB445" si="2676">IF(AA445=1,1,RANDBETWEEN(0,1))</f>
        <v>1</v>
      </c>
      <c r="AA445" s="7">
        <f t="shared" si="2676"/>
        <v>1</v>
      </c>
      <c r="AB445" s="7">
        <f t="shared" si="2676"/>
        <v>0</v>
      </c>
      <c r="AC445" s="7">
        <f t="shared" si="23"/>
        <v>0</v>
      </c>
      <c r="AD445" s="7">
        <f t="shared" ref="AD445:AF445" si="2677">IF(AE445=1,1,RANDBETWEEN(0,1))</f>
        <v>1</v>
      </c>
      <c r="AE445" s="7">
        <f t="shared" si="2677"/>
        <v>1</v>
      </c>
      <c r="AF445" s="7">
        <f t="shared" si="2677"/>
        <v>1</v>
      </c>
      <c r="AG445" s="7">
        <f t="shared" si="25"/>
        <v>0</v>
      </c>
    </row>
    <row r="446">
      <c r="A446" s="4" t="s">
        <v>1252</v>
      </c>
      <c r="B446" s="4" t="s">
        <v>1253</v>
      </c>
      <c r="C446" s="4" t="s">
        <v>95</v>
      </c>
      <c r="D446" s="5">
        <v>10233.0</v>
      </c>
      <c r="E446" s="6">
        <f t="shared" si="7"/>
        <v>847</v>
      </c>
      <c r="F446" s="7">
        <f t="shared" ref="F446:G446" si="2678">ROUND(RAND(),2)</f>
        <v>0.68</v>
      </c>
      <c r="G446" s="7">
        <f t="shared" si="2678"/>
        <v>0.97</v>
      </c>
      <c r="H446" s="7">
        <f t="shared" si="9"/>
        <v>5</v>
      </c>
      <c r="I446" s="7">
        <f t="shared" si="10"/>
        <v>23934</v>
      </c>
      <c r="J446" s="7">
        <f t="shared" si="11"/>
        <v>9762</v>
      </c>
      <c r="K446" s="7" t="str">
        <f t="shared" si="12"/>
        <v>B</v>
      </c>
      <c r="L446" s="7" t="str">
        <f t="shared" si="13"/>
        <v>Transformative change</v>
      </c>
      <c r="M446" s="7" t="str">
        <f t="shared" si="14"/>
        <v>High</v>
      </c>
      <c r="N446" s="7">
        <f t="shared" si="15"/>
        <v>2910889</v>
      </c>
      <c r="O446" s="7">
        <f t="shared" si="16"/>
        <v>1048078.391</v>
      </c>
      <c r="P446" s="7">
        <f t="shared" ref="P446:Q446" si="2679">RANDBETWEEN(0,22)</f>
        <v>3</v>
      </c>
      <c r="Q446" s="7">
        <f t="shared" si="2679"/>
        <v>9</v>
      </c>
      <c r="R446" s="7">
        <f t="shared" ref="R446:T446" si="2680">IF(S446=1,1,RANDBETWEEN(0,1))</f>
        <v>1</v>
      </c>
      <c r="S446" s="7">
        <f t="shared" si="2680"/>
        <v>1</v>
      </c>
      <c r="T446" s="7">
        <f t="shared" si="2680"/>
        <v>1</v>
      </c>
      <c r="U446" s="7">
        <f t="shared" si="19"/>
        <v>1</v>
      </c>
      <c r="V446" s="7">
        <f t="shared" ref="V446:X446" si="2681">IF(W446=1,1,RANDBETWEEN(0,1))</f>
        <v>1</v>
      </c>
      <c r="W446" s="7">
        <f t="shared" si="2681"/>
        <v>1</v>
      </c>
      <c r="X446" s="7">
        <f t="shared" si="2681"/>
        <v>1</v>
      </c>
      <c r="Y446" s="7">
        <f t="shared" si="21"/>
        <v>0</v>
      </c>
      <c r="Z446" s="7">
        <f t="shared" ref="Z446:AB446" si="2682">IF(AA446=1,1,RANDBETWEEN(0,1))</f>
        <v>1</v>
      </c>
      <c r="AA446" s="7">
        <f t="shared" si="2682"/>
        <v>1</v>
      </c>
      <c r="AB446" s="7">
        <f t="shared" si="2682"/>
        <v>1</v>
      </c>
      <c r="AC446" s="7">
        <f t="shared" si="23"/>
        <v>1</v>
      </c>
      <c r="AD446" s="7">
        <f t="shared" ref="AD446:AF446" si="2683">IF(AE446=1,1,RANDBETWEEN(0,1))</f>
        <v>1</v>
      </c>
      <c r="AE446" s="7">
        <f t="shared" si="2683"/>
        <v>1</v>
      </c>
      <c r="AF446" s="7">
        <f t="shared" si="2683"/>
        <v>1</v>
      </c>
      <c r="AG446" s="7">
        <f t="shared" si="25"/>
        <v>0</v>
      </c>
    </row>
    <row r="447">
      <c r="A447" s="4" t="s">
        <v>1254</v>
      </c>
      <c r="B447" s="4" t="s">
        <v>1255</v>
      </c>
      <c r="C447" s="4" t="s">
        <v>1256</v>
      </c>
      <c r="D447" s="5">
        <v>18442.0</v>
      </c>
      <c r="E447" s="6">
        <f t="shared" si="7"/>
        <v>867</v>
      </c>
      <c r="F447" s="7">
        <f t="shared" ref="F447:G447" si="2684">ROUND(RAND(),2)</f>
        <v>0.42</v>
      </c>
      <c r="G447" s="7">
        <f t="shared" si="2684"/>
        <v>0.44</v>
      </c>
      <c r="H447" s="7">
        <f t="shared" si="9"/>
        <v>3</v>
      </c>
      <c r="I447" s="7">
        <f t="shared" si="10"/>
        <v>87315</v>
      </c>
      <c r="J447" s="7">
        <f t="shared" si="11"/>
        <v>15536</v>
      </c>
      <c r="K447" s="7" t="str">
        <f t="shared" si="12"/>
        <v>C</v>
      </c>
      <c r="L447" s="7" t="str">
        <f t="shared" si="13"/>
        <v>Transformative change</v>
      </c>
      <c r="M447" s="7" t="str">
        <f t="shared" si="14"/>
        <v>Medium</v>
      </c>
      <c r="N447" s="7">
        <f t="shared" si="15"/>
        <v>1708688</v>
      </c>
      <c r="O447" s="7">
        <f t="shared" si="16"/>
        <v>829137.0775</v>
      </c>
      <c r="P447" s="7">
        <f t="shared" ref="P447:Q447" si="2685">RANDBETWEEN(0,22)</f>
        <v>1</v>
      </c>
      <c r="Q447" s="7">
        <f t="shared" si="2685"/>
        <v>0</v>
      </c>
      <c r="R447" s="7">
        <f t="shared" ref="R447:T447" si="2686">IF(S447=1,1,RANDBETWEEN(0,1))</f>
        <v>1</v>
      </c>
      <c r="S447" s="7">
        <f t="shared" si="2686"/>
        <v>1</v>
      </c>
      <c r="T447" s="7">
        <f t="shared" si="2686"/>
        <v>1</v>
      </c>
      <c r="U447" s="7">
        <f t="shared" si="19"/>
        <v>0</v>
      </c>
      <c r="V447" s="7">
        <f t="shared" ref="V447:X447" si="2687">IF(W447=1,1,RANDBETWEEN(0,1))</f>
        <v>1</v>
      </c>
      <c r="W447" s="7">
        <f t="shared" si="2687"/>
        <v>1</v>
      </c>
      <c r="X447" s="7">
        <f t="shared" si="2687"/>
        <v>1</v>
      </c>
      <c r="Y447" s="7">
        <f t="shared" si="21"/>
        <v>1</v>
      </c>
      <c r="Z447" s="7">
        <f t="shared" ref="Z447:AB447" si="2688">IF(AA447=1,1,RANDBETWEEN(0,1))</f>
        <v>1</v>
      </c>
      <c r="AA447" s="7">
        <f t="shared" si="2688"/>
        <v>1</v>
      </c>
      <c r="AB447" s="7">
        <f t="shared" si="2688"/>
        <v>1</v>
      </c>
      <c r="AC447" s="7">
        <f t="shared" si="23"/>
        <v>0</v>
      </c>
      <c r="AD447" s="7">
        <f t="shared" ref="AD447:AF447" si="2689">IF(AE447=1,1,RANDBETWEEN(0,1))</f>
        <v>1</v>
      </c>
      <c r="AE447" s="7">
        <f t="shared" si="2689"/>
        <v>1</v>
      </c>
      <c r="AF447" s="7">
        <f t="shared" si="2689"/>
        <v>1</v>
      </c>
      <c r="AG447" s="7">
        <f t="shared" si="25"/>
        <v>0</v>
      </c>
    </row>
    <row r="448">
      <c r="A448" s="4" t="s">
        <v>1257</v>
      </c>
      <c r="B448" s="4" t="s">
        <v>1258</v>
      </c>
      <c r="C448" s="4" t="s">
        <v>1259</v>
      </c>
      <c r="D448" s="5">
        <v>65892.0</v>
      </c>
      <c r="E448" s="6">
        <f t="shared" si="7"/>
        <v>983</v>
      </c>
      <c r="F448" s="7">
        <f t="shared" ref="F448:G448" si="2690">ROUND(RAND(),2)</f>
        <v>0.59</v>
      </c>
      <c r="G448" s="7">
        <f t="shared" si="2690"/>
        <v>0.59</v>
      </c>
      <c r="H448" s="7">
        <f t="shared" si="9"/>
        <v>5</v>
      </c>
      <c r="I448" s="7">
        <f t="shared" si="10"/>
        <v>61117</v>
      </c>
      <c r="J448" s="7">
        <f t="shared" si="11"/>
        <v>52955</v>
      </c>
      <c r="K448" s="7" t="str">
        <f t="shared" si="12"/>
        <v>F</v>
      </c>
      <c r="L448" s="7" t="str">
        <f t="shared" si="13"/>
        <v>Transformative change</v>
      </c>
      <c r="M448" s="7" t="str">
        <f t="shared" si="14"/>
        <v>High</v>
      </c>
      <c r="N448" s="7">
        <f t="shared" si="15"/>
        <v>3011271</v>
      </c>
      <c r="O448" s="7">
        <f t="shared" si="16"/>
        <v>626880.0395</v>
      </c>
      <c r="P448" s="7">
        <f t="shared" ref="P448:Q448" si="2691">RANDBETWEEN(0,22)</f>
        <v>14</v>
      </c>
      <c r="Q448" s="7">
        <f t="shared" si="2691"/>
        <v>13</v>
      </c>
      <c r="R448" s="7">
        <f t="shared" ref="R448:T448" si="2692">IF(S448=1,1,RANDBETWEEN(0,1))</f>
        <v>1</v>
      </c>
      <c r="S448" s="7">
        <f t="shared" si="2692"/>
        <v>1</v>
      </c>
      <c r="T448" s="7">
        <f t="shared" si="2692"/>
        <v>1</v>
      </c>
      <c r="U448" s="7">
        <f t="shared" si="19"/>
        <v>1</v>
      </c>
      <c r="V448" s="7">
        <f t="shared" ref="V448:X448" si="2693">IF(W448=1,1,RANDBETWEEN(0,1))</f>
        <v>1</v>
      </c>
      <c r="W448" s="7">
        <f t="shared" si="2693"/>
        <v>1</v>
      </c>
      <c r="X448" s="7">
        <f t="shared" si="2693"/>
        <v>1</v>
      </c>
      <c r="Y448" s="7">
        <f t="shared" si="21"/>
        <v>1</v>
      </c>
      <c r="Z448" s="7">
        <f t="shared" ref="Z448:AB448" si="2694">IF(AA448=1,1,RANDBETWEEN(0,1))</f>
        <v>1</v>
      </c>
      <c r="AA448" s="7">
        <f t="shared" si="2694"/>
        <v>1</v>
      </c>
      <c r="AB448" s="7">
        <f t="shared" si="2694"/>
        <v>1</v>
      </c>
      <c r="AC448" s="7">
        <f t="shared" si="23"/>
        <v>1</v>
      </c>
      <c r="AD448" s="7">
        <f t="shared" ref="AD448:AF448" si="2695">IF(AE448=1,1,RANDBETWEEN(0,1))</f>
        <v>1</v>
      </c>
      <c r="AE448" s="7">
        <f t="shared" si="2695"/>
        <v>0</v>
      </c>
      <c r="AF448" s="7">
        <f t="shared" si="2695"/>
        <v>0</v>
      </c>
      <c r="AG448" s="7">
        <f t="shared" si="25"/>
        <v>0</v>
      </c>
    </row>
    <row r="449">
      <c r="A449" s="4" t="s">
        <v>1260</v>
      </c>
      <c r="B449" s="4" t="s">
        <v>1261</v>
      </c>
      <c r="C449" s="4" t="s">
        <v>95</v>
      </c>
      <c r="D449" s="5">
        <v>12813.0</v>
      </c>
      <c r="E449" s="6">
        <f t="shared" si="7"/>
        <v>1086</v>
      </c>
      <c r="F449" s="7">
        <f t="shared" ref="F449:G449" si="2696">ROUND(RAND(),2)</f>
        <v>0.62</v>
      </c>
      <c r="G449" s="7">
        <f t="shared" si="2696"/>
        <v>0.72</v>
      </c>
      <c r="H449" s="7">
        <f t="shared" si="9"/>
        <v>3</v>
      </c>
      <c r="I449" s="7">
        <f t="shared" si="10"/>
        <v>37757</v>
      </c>
      <c r="J449" s="7">
        <f t="shared" si="11"/>
        <v>30407</v>
      </c>
      <c r="K449" s="7" t="str">
        <f t="shared" si="12"/>
        <v>B</v>
      </c>
      <c r="L449" s="7" t="str">
        <f t="shared" si="13"/>
        <v>Transformative change</v>
      </c>
      <c r="M449" s="7" t="str">
        <f t="shared" si="14"/>
        <v>High</v>
      </c>
      <c r="N449" s="7">
        <f t="shared" si="15"/>
        <v>101482</v>
      </c>
      <c r="O449" s="7">
        <f t="shared" si="16"/>
        <v>64588.33765</v>
      </c>
      <c r="P449" s="7">
        <f t="shared" ref="P449:Q449" si="2697">RANDBETWEEN(0,22)</f>
        <v>14</v>
      </c>
      <c r="Q449" s="7">
        <f t="shared" si="2697"/>
        <v>5</v>
      </c>
      <c r="R449" s="7">
        <f t="shared" ref="R449:T449" si="2698">IF(S449=1,1,RANDBETWEEN(0,1))</f>
        <v>1</v>
      </c>
      <c r="S449" s="7">
        <f t="shared" si="2698"/>
        <v>1</v>
      </c>
      <c r="T449" s="7">
        <f t="shared" si="2698"/>
        <v>1</v>
      </c>
      <c r="U449" s="7">
        <f t="shared" si="19"/>
        <v>1</v>
      </c>
      <c r="V449" s="7">
        <f t="shared" ref="V449:X449" si="2699">IF(W449=1,1,RANDBETWEEN(0,1))</f>
        <v>1</v>
      </c>
      <c r="W449" s="7">
        <f t="shared" si="2699"/>
        <v>1</v>
      </c>
      <c r="X449" s="7">
        <f t="shared" si="2699"/>
        <v>1</v>
      </c>
      <c r="Y449" s="7">
        <f t="shared" si="21"/>
        <v>0</v>
      </c>
      <c r="Z449" s="7">
        <f t="shared" ref="Z449:AB449" si="2700">IF(AA449=1,1,RANDBETWEEN(0,1))</f>
        <v>0</v>
      </c>
      <c r="AA449" s="7">
        <f t="shared" si="2700"/>
        <v>0</v>
      </c>
      <c r="AB449" s="7">
        <f t="shared" si="2700"/>
        <v>0</v>
      </c>
      <c r="AC449" s="7">
        <f t="shared" si="23"/>
        <v>0</v>
      </c>
      <c r="AD449" s="7">
        <f t="shared" ref="AD449:AF449" si="2701">IF(AE449=1,1,RANDBETWEEN(0,1))</f>
        <v>1</v>
      </c>
      <c r="AE449" s="7">
        <f t="shared" si="2701"/>
        <v>1</v>
      </c>
      <c r="AF449" s="7">
        <f t="shared" si="2701"/>
        <v>1</v>
      </c>
      <c r="AG449" s="7">
        <f t="shared" si="25"/>
        <v>1</v>
      </c>
    </row>
    <row r="450">
      <c r="A450" s="4" t="s">
        <v>323</v>
      </c>
      <c r="B450" s="4" t="s">
        <v>1262</v>
      </c>
      <c r="C450" s="4" t="s">
        <v>1263</v>
      </c>
      <c r="D450" s="5">
        <v>18154.0</v>
      </c>
      <c r="E450" s="6">
        <f t="shared" si="7"/>
        <v>865</v>
      </c>
      <c r="F450" s="7">
        <f t="shared" ref="F450:G450" si="2702">ROUND(RAND(),2)</f>
        <v>0.21</v>
      </c>
      <c r="G450" s="7">
        <f t="shared" si="2702"/>
        <v>0.46</v>
      </c>
      <c r="H450" s="7">
        <f t="shared" si="9"/>
        <v>1</v>
      </c>
      <c r="I450" s="7">
        <f t="shared" si="10"/>
        <v>29716</v>
      </c>
      <c r="J450" s="7">
        <f t="shared" si="11"/>
        <v>28892</v>
      </c>
      <c r="K450" s="7" t="str">
        <f t="shared" si="12"/>
        <v>G</v>
      </c>
      <c r="L450" s="7" t="str">
        <f t="shared" si="13"/>
        <v>Transformative change</v>
      </c>
      <c r="M450" s="7" t="str">
        <f t="shared" si="14"/>
        <v>High</v>
      </c>
      <c r="N450" s="7">
        <f t="shared" si="15"/>
        <v>3713875</v>
      </c>
      <c r="O450" s="7">
        <f t="shared" si="16"/>
        <v>1792823.855</v>
      </c>
      <c r="P450" s="7">
        <f t="shared" ref="P450:Q450" si="2703">RANDBETWEEN(0,22)</f>
        <v>19</v>
      </c>
      <c r="Q450" s="7">
        <f t="shared" si="2703"/>
        <v>12</v>
      </c>
      <c r="R450" s="7">
        <f t="shared" ref="R450:T450" si="2704">IF(S450=1,1,RANDBETWEEN(0,1))</f>
        <v>1</v>
      </c>
      <c r="S450" s="7">
        <f t="shared" si="2704"/>
        <v>1</v>
      </c>
      <c r="T450" s="7">
        <f t="shared" si="2704"/>
        <v>0</v>
      </c>
      <c r="U450" s="7">
        <f t="shared" si="19"/>
        <v>0</v>
      </c>
      <c r="V450" s="7">
        <f t="shared" ref="V450:X450" si="2705">IF(W450=1,1,RANDBETWEEN(0,1))</f>
        <v>1</v>
      </c>
      <c r="W450" s="7">
        <f t="shared" si="2705"/>
        <v>1</v>
      </c>
      <c r="X450" s="7">
        <f t="shared" si="2705"/>
        <v>1</v>
      </c>
      <c r="Y450" s="7">
        <f t="shared" si="21"/>
        <v>1</v>
      </c>
      <c r="Z450" s="7">
        <f t="shared" ref="Z450:AB450" si="2706">IF(AA450=1,1,RANDBETWEEN(0,1))</f>
        <v>1</v>
      </c>
      <c r="AA450" s="7">
        <f t="shared" si="2706"/>
        <v>1</v>
      </c>
      <c r="AB450" s="7">
        <f t="shared" si="2706"/>
        <v>1</v>
      </c>
      <c r="AC450" s="7">
        <f t="shared" si="23"/>
        <v>0</v>
      </c>
      <c r="AD450" s="7">
        <f t="shared" ref="AD450:AF450" si="2707">IF(AE450=1,1,RANDBETWEEN(0,1))</f>
        <v>0</v>
      </c>
      <c r="AE450" s="7">
        <f t="shared" si="2707"/>
        <v>0</v>
      </c>
      <c r="AF450" s="7">
        <f t="shared" si="2707"/>
        <v>0</v>
      </c>
      <c r="AG450" s="7">
        <f t="shared" si="25"/>
        <v>0</v>
      </c>
    </row>
    <row r="451">
      <c r="A451" s="4" t="s">
        <v>1264</v>
      </c>
      <c r="B451" s="4" t="s">
        <v>1265</v>
      </c>
      <c r="C451" s="4" t="s">
        <v>747</v>
      </c>
      <c r="D451" s="5">
        <v>26442.0</v>
      </c>
      <c r="E451" s="6">
        <f t="shared" si="7"/>
        <v>986</v>
      </c>
      <c r="F451" s="7">
        <f t="shared" ref="F451:G451" si="2708">ROUND(RAND(),2)</f>
        <v>0.46</v>
      </c>
      <c r="G451" s="7">
        <f t="shared" si="2708"/>
        <v>0.79</v>
      </c>
      <c r="H451" s="7">
        <f t="shared" si="9"/>
        <v>4</v>
      </c>
      <c r="I451" s="7">
        <f t="shared" si="10"/>
        <v>62376</v>
      </c>
      <c r="J451" s="7">
        <f t="shared" si="11"/>
        <v>12843</v>
      </c>
      <c r="K451" s="7" t="str">
        <f t="shared" si="12"/>
        <v>F</v>
      </c>
      <c r="L451" s="7" t="str">
        <f t="shared" si="13"/>
        <v>Transformative change</v>
      </c>
      <c r="M451" s="7" t="str">
        <f t="shared" si="14"/>
        <v>Low</v>
      </c>
      <c r="N451" s="7">
        <f t="shared" si="15"/>
        <v>3122992</v>
      </c>
      <c r="O451" s="7">
        <f t="shared" si="16"/>
        <v>1177644.597</v>
      </c>
      <c r="P451" s="7">
        <f t="shared" ref="P451:Q451" si="2709">RANDBETWEEN(0,22)</f>
        <v>4</v>
      </c>
      <c r="Q451" s="7">
        <f t="shared" si="2709"/>
        <v>19</v>
      </c>
      <c r="R451" s="7">
        <f t="shared" ref="R451:T451" si="2710">IF(S451=1,1,RANDBETWEEN(0,1))</f>
        <v>1</v>
      </c>
      <c r="S451" s="7">
        <f t="shared" si="2710"/>
        <v>1</v>
      </c>
      <c r="T451" s="7">
        <f t="shared" si="2710"/>
        <v>1</v>
      </c>
      <c r="U451" s="7">
        <f t="shared" si="19"/>
        <v>1</v>
      </c>
      <c r="V451" s="7">
        <f t="shared" ref="V451:X451" si="2711">IF(W451=1,1,RANDBETWEEN(0,1))</f>
        <v>1</v>
      </c>
      <c r="W451" s="7">
        <f t="shared" si="2711"/>
        <v>1</v>
      </c>
      <c r="X451" s="7">
        <f t="shared" si="2711"/>
        <v>1</v>
      </c>
      <c r="Y451" s="7">
        <f t="shared" si="21"/>
        <v>1</v>
      </c>
      <c r="Z451" s="7">
        <f t="shared" ref="Z451:AB451" si="2712">IF(AA451=1,1,RANDBETWEEN(0,1))</f>
        <v>1</v>
      </c>
      <c r="AA451" s="7">
        <f t="shared" si="2712"/>
        <v>1</v>
      </c>
      <c r="AB451" s="7">
        <f t="shared" si="2712"/>
        <v>0</v>
      </c>
      <c r="AC451" s="7">
        <f t="shared" si="23"/>
        <v>0</v>
      </c>
      <c r="AD451" s="7">
        <f t="shared" ref="AD451:AF451" si="2713">IF(AE451=1,1,RANDBETWEEN(0,1))</f>
        <v>1</v>
      </c>
      <c r="AE451" s="7">
        <f t="shared" si="2713"/>
        <v>1</v>
      </c>
      <c r="AF451" s="7">
        <f t="shared" si="2713"/>
        <v>1</v>
      </c>
      <c r="AG451" s="7">
        <f t="shared" si="25"/>
        <v>1</v>
      </c>
    </row>
    <row r="452">
      <c r="A452" s="4" t="s">
        <v>1266</v>
      </c>
      <c r="B452" s="4" t="s">
        <v>1267</v>
      </c>
      <c r="C452" s="4" t="s">
        <v>1268</v>
      </c>
      <c r="D452" s="5">
        <v>15098.0</v>
      </c>
      <c r="E452" s="6">
        <f t="shared" si="7"/>
        <v>902</v>
      </c>
      <c r="F452" s="7">
        <f t="shared" ref="F452:G452" si="2714">ROUND(RAND(),2)</f>
        <v>0.71</v>
      </c>
      <c r="G452" s="7">
        <f t="shared" si="2714"/>
        <v>0.9</v>
      </c>
      <c r="H452" s="7">
        <f t="shared" si="9"/>
        <v>5</v>
      </c>
      <c r="I452" s="7">
        <f t="shared" si="10"/>
        <v>24710</v>
      </c>
      <c r="J452" s="7">
        <f t="shared" si="11"/>
        <v>61766</v>
      </c>
      <c r="K452" s="7" t="str">
        <f t="shared" si="12"/>
        <v>B</v>
      </c>
      <c r="L452" s="7" t="str">
        <f t="shared" si="13"/>
        <v>Transformative change</v>
      </c>
      <c r="M452" s="7" t="str">
        <f t="shared" si="14"/>
        <v>Medium</v>
      </c>
      <c r="N452" s="7">
        <f t="shared" si="15"/>
        <v>1917623</v>
      </c>
      <c r="O452" s="7">
        <f t="shared" si="16"/>
        <v>593208.1445</v>
      </c>
      <c r="P452" s="7">
        <f t="shared" ref="P452:Q452" si="2715">RANDBETWEEN(0,22)</f>
        <v>12</v>
      </c>
      <c r="Q452" s="7">
        <f t="shared" si="2715"/>
        <v>10</v>
      </c>
      <c r="R452" s="7">
        <f t="shared" ref="R452:T452" si="2716">IF(S452=1,1,RANDBETWEEN(0,1))</f>
        <v>1</v>
      </c>
      <c r="S452" s="7">
        <f t="shared" si="2716"/>
        <v>1</v>
      </c>
      <c r="T452" s="7">
        <f t="shared" si="2716"/>
        <v>1</v>
      </c>
      <c r="U452" s="7">
        <f t="shared" si="19"/>
        <v>1</v>
      </c>
      <c r="V452" s="7">
        <f t="shared" ref="V452:X452" si="2717">IF(W452=1,1,RANDBETWEEN(0,1))</f>
        <v>1</v>
      </c>
      <c r="W452" s="7">
        <f t="shared" si="2717"/>
        <v>1</v>
      </c>
      <c r="X452" s="7">
        <f t="shared" si="2717"/>
        <v>1</v>
      </c>
      <c r="Y452" s="7">
        <f t="shared" si="21"/>
        <v>1</v>
      </c>
      <c r="Z452" s="7">
        <f t="shared" ref="Z452:AB452" si="2718">IF(AA452=1,1,RANDBETWEEN(0,1))</f>
        <v>1</v>
      </c>
      <c r="AA452" s="7">
        <f t="shared" si="2718"/>
        <v>1</v>
      </c>
      <c r="AB452" s="7">
        <f t="shared" si="2718"/>
        <v>1</v>
      </c>
      <c r="AC452" s="7">
        <f t="shared" si="23"/>
        <v>0</v>
      </c>
      <c r="AD452" s="7">
        <f t="shared" ref="AD452:AF452" si="2719">IF(AE452=1,1,RANDBETWEEN(0,1))</f>
        <v>1</v>
      </c>
      <c r="AE452" s="7">
        <f t="shared" si="2719"/>
        <v>1</v>
      </c>
      <c r="AF452" s="7">
        <f t="shared" si="2719"/>
        <v>1</v>
      </c>
      <c r="AG452" s="7">
        <f t="shared" si="25"/>
        <v>1</v>
      </c>
    </row>
    <row r="453">
      <c r="A453" s="4" t="s">
        <v>1269</v>
      </c>
      <c r="B453" s="4" t="s">
        <v>1270</v>
      </c>
      <c r="C453" s="4" t="s">
        <v>1271</v>
      </c>
      <c r="D453" s="5">
        <v>14110.0</v>
      </c>
      <c r="E453" s="6">
        <f t="shared" si="7"/>
        <v>839</v>
      </c>
      <c r="F453" s="7">
        <f t="shared" ref="F453:G453" si="2720">ROUND(RAND(),2)</f>
        <v>0.11</v>
      </c>
      <c r="G453" s="7">
        <f t="shared" si="2720"/>
        <v>0.91</v>
      </c>
      <c r="H453" s="7">
        <f t="shared" si="9"/>
        <v>3</v>
      </c>
      <c r="I453" s="7">
        <f t="shared" si="10"/>
        <v>23461</v>
      </c>
      <c r="J453" s="7">
        <f t="shared" si="11"/>
        <v>65747</v>
      </c>
      <c r="K453" s="7" t="str">
        <f t="shared" si="12"/>
        <v>F</v>
      </c>
      <c r="L453" s="7" t="str">
        <f t="shared" si="13"/>
        <v>High ambition</v>
      </c>
      <c r="M453" s="7" t="str">
        <f t="shared" si="14"/>
        <v>Low</v>
      </c>
      <c r="N453" s="7">
        <f t="shared" si="15"/>
        <v>123417</v>
      </c>
      <c r="O453" s="7">
        <f t="shared" si="16"/>
        <v>8275.548164</v>
      </c>
      <c r="P453" s="7">
        <f t="shared" ref="P453:Q453" si="2721">RANDBETWEEN(0,22)</f>
        <v>5</v>
      </c>
      <c r="Q453" s="7">
        <f t="shared" si="2721"/>
        <v>22</v>
      </c>
      <c r="R453" s="7">
        <f t="shared" ref="R453:T453" si="2722">IF(S453=1,1,RANDBETWEEN(0,1))</f>
        <v>1</v>
      </c>
      <c r="S453" s="7">
        <f t="shared" si="2722"/>
        <v>1</v>
      </c>
      <c r="T453" s="7">
        <f t="shared" si="2722"/>
        <v>1</v>
      </c>
      <c r="U453" s="7">
        <f t="shared" si="19"/>
        <v>1</v>
      </c>
      <c r="V453" s="7">
        <f t="shared" ref="V453:X453" si="2723">IF(W453=1,1,RANDBETWEEN(0,1))</f>
        <v>0</v>
      </c>
      <c r="W453" s="7">
        <f t="shared" si="2723"/>
        <v>0</v>
      </c>
      <c r="X453" s="7">
        <f t="shared" si="2723"/>
        <v>0</v>
      </c>
      <c r="Y453" s="7">
        <f t="shared" si="21"/>
        <v>0</v>
      </c>
      <c r="Z453" s="7">
        <f t="shared" ref="Z453:AB453" si="2724">IF(AA453=1,1,RANDBETWEEN(0,1))</f>
        <v>1</v>
      </c>
      <c r="AA453" s="7">
        <f t="shared" si="2724"/>
        <v>1</v>
      </c>
      <c r="AB453" s="7">
        <f t="shared" si="2724"/>
        <v>1</v>
      </c>
      <c r="AC453" s="7">
        <f t="shared" si="23"/>
        <v>0</v>
      </c>
      <c r="AD453" s="7">
        <f t="shared" ref="AD453:AF453" si="2725">IF(AE453=1,1,RANDBETWEEN(0,1))</f>
        <v>1</v>
      </c>
      <c r="AE453" s="7">
        <f t="shared" si="2725"/>
        <v>1</v>
      </c>
      <c r="AF453" s="7">
        <f t="shared" si="2725"/>
        <v>0</v>
      </c>
      <c r="AG453" s="7">
        <f t="shared" si="25"/>
        <v>0</v>
      </c>
    </row>
    <row r="454">
      <c r="A454" s="4" t="s">
        <v>1272</v>
      </c>
      <c r="B454" s="4" t="s">
        <v>1273</v>
      </c>
      <c r="C454" s="4" t="s">
        <v>1274</v>
      </c>
      <c r="D454" s="5">
        <v>16620.0</v>
      </c>
      <c r="E454" s="6">
        <f t="shared" si="7"/>
        <v>1018</v>
      </c>
      <c r="F454" s="7">
        <f t="shared" ref="F454:G454" si="2726">ROUND(RAND(),2)</f>
        <v>0.01</v>
      </c>
      <c r="G454" s="7">
        <f t="shared" si="2726"/>
        <v>0.04</v>
      </c>
      <c r="H454" s="7">
        <f t="shared" si="9"/>
        <v>5</v>
      </c>
      <c r="I454" s="7">
        <f t="shared" si="10"/>
        <v>77263</v>
      </c>
      <c r="J454" s="7">
        <f t="shared" si="11"/>
        <v>6120</v>
      </c>
      <c r="K454" s="7" t="str">
        <f t="shared" si="12"/>
        <v>A</v>
      </c>
      <c r="L454" s="7" t="str">
        <f t="shared" si="13"/>
        <v>Transformative change</v>
      </c>
      <c r="M454" s="7" t="str">
        <f t="shared" si="14"/>
        <v>High</v>
      </c>
      <c r="N454" s="7">
        <f t="shared" si="15"/>
        <v>3866944</v>
      </c>
      <c r="O454" s="7">
        <f t="shared" si="16"/>
        <v>1778718.934</v>
      </c>
      <c r="P454" s="7">
        <f t="shared" ref="P454:Q454" si="2727">RANDBETWEEN(0,22)</f>
        <v>2</v>
      </c>
      <c r="Q454" s="7">
        <f t="shared" si="2727"/>
        <v>0</v>
      </c>
      <c r="R454" s="7">
        <f t="shared" ref="R454:T454" si="2728">IF(S454=1,1,RANDBETWEEN(0,1))</f>
        <v>1</v>
      </c>
      <c r="S454" s="7">
        <f t="shared" si="2728"/>
        <v>1</v>
      </c>
      <c r="T454" s="7">
        <f t="shared" si="2728"/>
        <v>1</v>
      </c>
      <c r="U454" s="7">
        <f t="shared" si="19"/>
        <v>1</v>
      </c>
      <c r="V454" s="7">
        <f t="shared" ref="V454:X454" si="2729">IF(W454=1,1,RANDBETWEEN(0,1))</f>
        <v>1</v>
      </c>
      <c r="W454" s="7">
        <f t="shared" si="2729"/>
        <v>1</v>
      </c>
      <c r="X454" s="7">
        <f t="shared" si="2729"/>
        <v>1</v>
      </c>
      <c r="Y454" s="7">
        <f t="shared" si="21"/>
        <v>0</v>
      </c>
      <c r="Z454" s="7">
        <f t="shared" ref="Z454:AB454" si="2730">IF(AA454=1,1,RANDBETWEEN(0,1))</f>
        <v>1</v>
      </c>
      <c r="AA454" s="7">
        <f t="shared" si="2730"/>
        <v>1</v>
      </c>
      <c r="AB454" s="7">
        <f t="shared" si="2730"/>
        <v>1</v>
      </c>
      <c r="AC454" s="7">
        <f t="shared" si="23"/>
        <v>0</v>
      </c>
      <c r="AD454" s="7">
        <f t="shared" ref="AD454:AF454" si="2731">IF(AE454=1,1,RANDBETWEEN(0,1))</f>
        <v>1</v>
      </c>
      <c r="AE454" s="7">
        <f t="shared" si="2731"/>
        <v>1</v>
      </c>
      <c r="AF454" s="7">
        <f t="shared" si="2731"/>
        <v>1</v>
      </c>
      <c r="AG454" s="7">
        <f t="shared" si="25"/>
        <v>0</v>
      </c>
    </row>
    <row r="455">
      <c r="A455" s="4" t="s">
        <v>1275</v>
      </c>
      <c r="B455" s="4" t="s">
        <v>1276</v>
      </c>
      <c r="C455" s="4" t="s">
        <v>95</v>
      </c>
      <c r="D455" s="5">
        <v>40659.0</v>
      </c>
      <c r="E455" s="6">
        <f t="shared" si="7"/>
        <v>1096</v>
      </c>
      <c r="F455" s="7">
        <f t="shared" ref="F455:G455" si="2732">ROUND(RAND(),2)</f>
        <v>0.34</v>
      </c>
      <c r="G455" s="7">
        <f t="shared" si="2732"/>
        <v>0.14</v>
      </c>
      <c r="H455" s="7">
        <f t="shared" si="9"/>
        <v>4</v>
      </c>
      <c r="I455" s="7">
        <f t="shared" si="10"/>
        <v>15599</v>
      </c>
      <c r="J455" s="7">
        <f t="shared" si="11"/>
        <v>5585</v>
      </c>
      <c r="K455" s="7" t="str">
        <f t="shared" si="12"/>
        <v>B</v>
      </c>
      <c r="L455" s="7" t="str">
        <f t="shared" si="13"/>
        <v>High ambition</v>
      </c>
      <c r="M455" s="7" t="str">
        <f t="shared" si="14"/>
        <v>Low</v>
      </c>
      <c r="N455" s="7">
        <f t="shared" si="15"/>
        <v>3627548</v>
      </c>
      <c r="O455" s="7">
        <f t="shared" si="16"/>
        <v>2464785.153</v>
      </c>
      <c r="P455" s="7">
        <f t="shared" ref="P455:Q455" si="2733">RANDBETWEEN(0,22)</f>
        <v>14</v>
      </c>
      <c r="Q455" s="7">
        <f t="shared" si="2733"/>
        <v>14</v>
      </c>
      <c r="R455" s="7">
        <f t="shared" ref="R455:T455" si="2734">IF(S455=1,1,RANDBETWEEN(0,1))</f>
        <v>1</v>
      </c>
      <c r="S455" s="7">
        <f t="shared" si="2734"/>
        <v>1</v>
      </c>
      <c r="T455" s="7">
        <f t="shared" si="2734"/>
        <v>1</v>
      </c>
      <c r="U455" s="7">
        <f t="shared" si="19"/>
        <v>1</v>
      </c>
      <c r="V455" s="7">
        <f t="shared" ref="V455:X455" si="2735">IF(W455=1,1,RANDBETWEEN(0,1))</f>
        <v>1</v>
      </c>
      <c r="W455" s="7">
        <f t="shared" si="2735"/>
        <v>1</v>
      </c>
      <c r="X455" s="7">
        <f t="shared" si="2735"/>
        <v>1</v>
      </c>
      <c r="Y455" s="7">
        <f t="shared" si="21"/>
        <v>0</v>
      </c>
      <c r="Z455" s="7">
        <f t="shared" ref="Z455:AB455" si="2736">IF(AA455=1,1,RANDBETWEEN(0,1))</f>
        <v>1</v>
      </c>
      <c r="AA455" s="7">
        <f t="shared" si="2736"/>
        <v>1</v>
      </c>
      <c r="AB455" s="7">
        <f t="shared" si="2736"/>
        <v>1</v>
      </c>
      <c r="AC455" s="7">
        <f t="shared" si="23"/>
        <v>1</v>
      </c>
      <c r="AD455" s="7">
        <f t="shared" ref="AD455:AF455" si="2737">IF(AE455=1,1,RANDBETWEEN(0,1))</f>
        <v>1</v>
      </c>
      <c r="AE455" s="7">
        <f t="shared" si="2737"/>
        <v>1</v>
      </c>
      <c r="AF455" s="7">
        <f t="shared" si="2737"/>
        <v>0</v>
      </c>
      <c r="AG455" s="7">
        <f t="shared" si="25"/>
        <v>0</v>
      </c>
    </row>
    <row r="456">
      <c r="A456" s="4" t="s">
        <v>1277</v>
      </c>
      <c r="B456" s="4" t="s">
        <v>1278</v>
      </c>
      <c r="C456" s="4" t="s">
        <v>1279</v>
      </c>
      <c r="D456" s="5">
        <v>19547.0</v>
      </c>
      <c r="E456" s="6">
        <f t="shared" si="7"/>
        <v>1078</v>
      </c>
      <c r="F456" s="7">
        <f t="shared" ref="F456:G456" si="2738">ROUND(RAND(),2)</f>
        <v>0.43</v>
      </c>
      <c r="G456" s="7">
        <f t="shared" si="2738"/>
        <v>0.03</v>
      </c>
      <c r="H456" s="7">
        <f t="shared" si="9"/>
        <v>3</v>
      </c>
      <c r="I456" s="7">
        <f t="shared" si="10"/>
        <v>79441</v>
      </c>
      <c r="J456" s="7">
        <f t="shared" si="11"/>
        <v>4948</v>
      </c>
      <c r="K456" s="7" t="str">
        <f t="shared" si="12"/>
        <v>F</v>
      </c>
      <c r="L456" s="7" t="str">
        <f t="shared" si="13"/>
        <v>Transformative change</v>
      </c>
      <c r="M456" s="7" t="str">
        <f t="shared" si="14"/>
        <v>Medium</v>
      </c>
      <c r="N456" s="7">
        <f t="shared" si="15"/>
        <v>2166920</v>
      </c>
      <c r="O456" s="7">
        <f t="shared" si="16"/>
        <v>2078092.278</v>
      </c>
      <c r="P456" s="7">
        <f t="shared" ref="P456:Q456" si="2739">RANDBETWEEN(0,22)</f>
        <v>11</v>
      </c>
      <c r="Q456" s="7">
        <f t="shared" si="2739"/>
        <v>0</v>
      </c>
      <c r="R456" s="7">
        <f t="shared" ref="R456:T456" si="2740">IF(S456=1,1,RANDBETWEEN(0,1))</f>
        <v>1</v>
      </c>
      <c r="S456" s="7">
        <f t="shared" si="2740"/>
        <v>0</v>
      </c>
      <c r="T456" s="7">
        <f t="shared" si="2740"/>
        <v>0</v>
      </c>
      <c r="U456" s="7">
        <f t="shared" si="19"/>
        <v>0</v>
      </c>
      <c r="V456" s="7">
        <f t="shared" ref="V456:X456" si="2741">IF(W456=1,1,RANDBETWEEN(0,1))</f>
        <v>1</v>
      </c>
      <c r="W456" s="7">
        <f t="shared" si="2741"/>
        <v>1</v>
      </c>
      <c r="X456" s="7">
        <f t="shared" si="2741"/>
        <v>1</v>
      </c>
      <c r="Y456" s="7">
        <f t="shared" si="21"/>
        <v>1</v>
      </c>
      <c r="Z456" s="7">
        <f t="shared" ref="Z456:AB456" si="2742">IF(AA456=1,1,RANDBETWEEN(0,1))</f>
        <v>0</v>
      </c>
      <c r="AA456" s="7">
        <f t="shared" si="2742"/>
        <v>0</v>
      </c>
      <c r="AB456" s="7">
        <f t="shared" si="2742"/>
        <v>0</v>
      </c>
      <c r="AC456" s="7">
        <f t="shared" si="23"/>
        <v>0</v>
      </c>
      <c r="AD456" s="7">
        <f t="shared" ref="AD456:AF456" si="2743">IF(AE456=1,1,RANDBETWEEN(0,1))</f>
        <v>1</v>
      </c>
      <c r="AE456" s="7">
        <f t="shared" si="2743"/>
        <v>1</v>
      </c>
      <c r="AF456" s="7">
        <f t="shared" si="2743"/>
        <v>1</v>
      </c>
      <c r="AG456" s="7">
        <f t="shared" si="25"/>
        <v>0</v>
      </c>
    </row>
    <row r="457">
      <c r="A457" s="4" t="s">
        <v>1280</v>
      </c>
      <c r="B457" s="4" t="s">
        <v>1281</v>
      </c>
      <c r="C457" s="4" t="s">
        <v>1282</v>
      </c>
      <c r="D457" s="5">
        <v>18807.0</v>
      </c>
      <c r="E457" s="6">
        <f t="shared" si="7"/>
        <v>895</v>
      </c>
      <c r="F457" s="7">
        <f t="shared" ref="F457:G457" si="2744">ROUND(RAND(),2)</f>
        <v>0.37</v>
      </c>
      <c r="G457" s="7">
        <f t="shared" si="2744"/>
        <v>0.85</v>
      </c>
      <c r="H457" s="7">
        <f t="shared" si="9"/>
        <v>2</v>
      </c>
      <c r="I457" s="7">
        <f t="shared" si="10"/>
        <v>83024</v>
      </c>
      <c r="J457" s="7">
        <f t="shared" si="11"/>
        <v>46893</v>
      </c>
      <c r="K457" s="7" t="str">
        <f t="shared" si="12"/>
        <v>E</v>
      </c>
      <c r="L457" s="7" t="str">
        <f t="shared" si="13"/>
        <v>Transformative change</v>
      </c>
      <c r="M457" s="7" t="str">
        <f t="shared" si="14"/>
        <v>High</v>
      </c>
      <c r="N457" s="7">
        <f t="shared" si="15"/>
        <v>2133552</v>
      </c>
      <c r="O457" s="7">
        <f t="shared" si="16"/>
        <v>1395758.688</v>
      </c>
      <c r="P457" s="7">
        <f t="shared" ref="P457:Q457" si="2745">RANDBETWEEN(0,22)</f>
        <v>14</v>
      </c>
      <c r="Q457" s="7">
        <f t="shared" si="2745"/>
        <v>10</v>
      </c>
      <c r="R457" s="7">
        <f t="shared" ref="R457:T457" si="2746">IF(S457=1,1,RANDBETWEEN(0,1))</f>
        <v>0</v>
      </c>
      <c r="S457" s="7">
        <f t="shared" si="2746"/>
        <v>0</v>
      </c>
      <c r="T457" s="7">
        <f t="shared" si="2746"/>
        <v>0</v>
      </c>
      <c r="U457" s="7">
        <f t="shared" si="19"/>
        <v>0</v>
      </c>
      <c r="V457" s="7">
        <f t="shared" ref="V457:X457" si="2747">IF(W457=1,1,RANDBETWEEN(0,1))</f>
        <v>1</v>
      </c>
      <c r="W457" s="7">
        <f t="shared" si="2747"/>
        <v>1</v>
      </c>
      <c r="X457" s="7">
        <f t="shared" si="2747"/>
        <v>1</v>
      </c>
      <c r="Y457" s="7">
        <f t="shared" si="21"/>
        <v>1</v>
      </c>
      <c r="Z457" s="7">
        <f t="shared" ref="Z457:AB457" si="2748">IF(AA457=1,1,RANDBETWEEN(0,1))</f>
        <v>1</v>
      </c>
      <c r="AA457" s="7">
        <f t="shared" si="2748"/>
        <v>1</v>
      </c>
      <c r="AB457" s="7">
        <f t="shared" si="2748"/>
        <v>1</v>
      </c>
      <c r="AC457" s="7">
        <f t="shared" si="23"/>
        <v>1</v>
      </c>
      <c r="AD457" s="7">
        <f t="shared" ref="AD457:AF457" si="2749">IF(AE457=1,1,RANDBETWEEN(0,1))</f>
        <v>0</v>
      </c>
      <c r="AE457" s="7">
        <f t="shared" si="2749"/>
        <v>0</v>
      </c>
      <c r="AF457" s="7">
        <f t="shared" si="2749"/>
        <v>0</v>
      </c>
      <c r="AG457" s="7">
        <f t="shared" si="25"/>
        <v>0</v>
      </c>
    </row>
    <row r="458">
      <c r="A458" s="4" t="s">
        <v>1283</v>
      </c>
      <c r="B458" s="4" t="s">
        <v>1284</v>
      </c>
      <c r="C458" s="4" t="s">
        <v>476</v>
      </c>
      <c r="D458" s="5">
        <v>90526.0</v>
      </c>
      <c r="E458" s="6">
        <f t="shared" si="7"/>
        <v>812</v>
      </c>
      <c r="F458" s="7">
        <f t="shared" ref="F458:G458" si="2750">ROUND(RAND(),2)</f>
        <v>0.43</v>
      </c>
      <c r="G458" s="7">
        <f t="shared" si="2750"/>
        <v>0.91</v>
      </c>
      <c r="H458" s="7">
        <f t="shared" si="9"/>
        <v>2</v>
      </c>
      <c r="I458" s="7">
        <f t="shared" si="10"/>
        <v>56753</v>
      </c>
      <c r="J458" s="7">
        <f t="shared" si="11"/>
        <v>40762</v>
      </c>
      <c r="K458" s="7" t="str">
        <f t="shared" si="12"/>
        <v>A</v>
      </c>
      <c r="L458" s="7" t="str">
        <f t="shared" si="13"/>
        <v>Transformative change</v>
      </c>
      <c r="M458" s="7" t="str">
        <f t="shared" si="14"/>
        <v>Low</v>
      </c>
      <c r="N458" s="7">
        <f t="shared" si="15"/>
        <v>2933953</v>
      </c>
      <c r="O458" s="7">
        <f t="shared" si="16"/>
        <v>1665770.812</v>
      </c>
      <c r="P458" s="7">
        <f t="shared" ref="P458:Q458" si="2751">RANDBETWEEN(0,22)</f>
        <v>15</v>
      </c>
      <c r="Q458" s="7">
        <f t="shared" si="2751"/>
        <v>16</v>
      </c>
      <c r="R458" s="7">
        <f t="shared" ref="R458:T458" si="2752">IF(S458=1,1,RANDBETWEEN(0,1))</f>
        <v>1</v>
      </c>
      <c r="S458" s="7">
        <f t="shared" si="2752"/>
        <v>1</v>
      </c>
      <c r="T458" s="7">
        <f t="shared" si="2752"/>
        <v>1</v>
      </c>
      <c r="U458" s="7">
        <f t="shared" si="19"/>
        <v>0</v>
      </c>
      <c r="V458" s="7">
        <f t="shared" ref="V458:X458" si="2753">IF(W458=1,1,RANDBETWEEN(0,1))</f>
        <v>1</v>
      </c>
      <c r="W458" s="7">
        <f t="shared" si="2753"/>
        <v>1</v>
      </c>
      <c r="X458" s="7">
        <f t="shared" si="2753"/>
        <v>1</v>
      </c>
      <c r="Y458" s="7">
        <f t="shared" si="21"/>
        <v>1</v>
      </c>
      <c r="Z458" s="7">
        <f t="shared" ref="Z458:AB458" si="2754">IF(AA458=1,1,RANDBETWEEN(0,1))</f>
        <v>1</v>
      </c>
      <c r="AA458" s="7">
        <f t="shared" si="2754"/>
        <v>1</v>
      </c>
      <c r="AB458" s="7">
        <f t="shared" si="2754"/>
        <v>1</v>
      </c>
      <c r="AC458" s="7">
        <f t="shared" si="23"/>
        <v>1</v>
      </c>
      <c r="AD458" s="7">
        <f t="shared" ref="AD458:AF458" si="2755">IF(AE458=1,1,RANDBETWEEN(0,1))</f>
        <v>1</v>
      </c>
      <c r="AE458" s="7">
        <f t="shared" si="2755"/>
        <v>1</v>
      </c>
      <c r="AF458" s="7">
        <f t="shared" si="2755"/>
        <v>1</v>
      </c>
      <c r="AG458" s="7">
        <f t="shared" si="25"/>
        <v>1</v>
      </c>
    </row>
    <row r="459">
      <c r="A459" s="4" t="s">
        <v>1285</v>
      </c>
      <c r="B459" s="4" t="s">
        <v>1286</v>
      </c>
      <c r="C459" s="4" t="s">
        <v>95</v>
      </c>
      <c r="D459" s="5">
        <v>24582.0</v>
      </c>
      <c r="E459" s="6">
        <f t="shared" si="7"/>
        <v>1031</v>
      </c>
      <c r="F459" s="7">
        <f t="shared" ref="F459:G459" si="2756">ROUND(RAND(),2)</f>
        <v>0.78</v>
      </c>
      <c r="G459" s="7">
        <f t="shared" si="2756"/>
        <v>0.99</v>
      </c>
      <c r="H459" s="7">
        <f t="shared" si="9"/>
        <v>2</v>
      </c>
      <c r="I459" s="7">
        <f t="shared" si="10"/>
        <v>29640</v>
      </c>
      <c r="J459" s="7">
        <f t="shared" si="11"/>
        <v>24802</v>
      </c>
      <c r="K459" s="7" t="str">
        <f t="shared" si="12"/>
        <v>F</v>
      </c>
      <c r="L459" s="7" t="str">
        <f t="shared" si="13"/>
        <v>Transformative change</v>
      </c>
      <c r="M459" s="7" t="str">
        <f t="shared" si="14"/>
        <v>High</v>
      </c>
      <c r="N459" s="7">
        <f t="shared" si="15"/>
        <v>3905432</v>
      </c>
      <c r="O459" s="7">
        <f t="shared" si="16"/>
        <v>3322389.389</v>
      </c>
      <c r="P459" s="7">
        <f t="shared" ref="P459:Q459" si="2757">RANDBETWEEN(0,22)</f>
        <v>14</v>
      </c>
      <c r="Q459" s="7">
        <f t="shared" si="2757"/>
        <v>5</v>
      </c>
      <c r="R459" s="7">
        <f t="shared" ref="R459:T459" si="2758">IF(S459=1,1,RANDBETWEEN(0,1))</f>
        <v>1</v>
      </c>
      <c r="S459" s="7">
        <f t="shared" si="2758"/>
        <v>1</v>
      </c>
      <c r="T459" s="7">
        <f t="shared" si="2758"/>
        <v>1</v>
      </c>
      <c r="U459" s="7">
        <f t="shared" si="19"/>
        <v>0</v>
      </c>
      <c r="V459" s="7">
        <f t="shared" ref="V459:X459" si="2759">IF(W459=1,1,RANDBETWEEN(0,1))</f>
        <v>1</v>
      </c>
      <c r="W459" s="7">
        <f t="shared" si="2759"/>
        <v>0</v>
      </c>
      <c r="X459" s="7">
        <f t="shared" si="2759"/>
        <v>0</v>
      </c>
      <c r="Y459" s="7">
        <f t="shared" si="21"/>
        <v>0</v>
      </c>
      <c r="Z459" s="7">
        <f t="shared" ref="Z459:AB459" si="2760">IF(AA459=1,1,RANDBETWEEN(0,1))</f>
        <v>1</v>
      </c>
      <c r="AA459" s="7">
        <f t="shared" si="2760"/>
        <v>1</v>
      </c>
      <c r="AB459" s="7">
        <f t="shared" si="2760"/>
        <v>1</v>
      </c>
      <c r="AC459" s="7">
        <f t="shared" si="23"/>
        <v>1</v>
      </c>
      <c r="AD459" s="7">
        <f t="shared" ref="AD459:AF459" si="2761">IF(AE459=1,1,RANDBETWEEN(0,1))</f>
        <v>1</v>
      </c>
      <c r="AE459" s="7">
        <f t="shared" si="2761"/>
        <v>1</v>
      </c>
      <c r="AF459" s="7">
        <f t="shared" si="2761"/>
        <v>1</v>
      </c>
      <c r="AG459" s="7">
        <f t="shared" si="25"/>
        <v>1</v>
      </c>
    </row>
    <row r="460">
      <c r="A460" s="4" t="s">
        <v>1287</v>
      </c>
      <c r="B460" s="4" t="s">
        <v>1288</v>
      </c>
      <c r="C460" s="4" t="s">
        <v>95</v>
      </c>
      <c r="D460" s="5">
        <v>7169.0</v>
      </c>
      <c r="E460" s="6">
        <f t="shared" si="7"/>
        <v>890</v>
      </c>
      <c r="F460" s="7">
        <f t="shared" ref="F460:G460" si="2762">ROUND(RAND(),2)</f>
        <v>0.11</v>
      </c>
      <c r="G460" s="7">
        <f t="shared" si="2762"/>
        <v>0.88</v>
      </c>
      <c r="H460" s="7">
        <f t="shared" si="9"/>
        <v>1</v>
      </c>
      <c r="I460" s="7">
        <f t="shared" si="10"/>
        <v>27572</v>
      </c>
      <c r="J460" s="7">
        <f t="shared" si="11"/>
        <v>43166</v>
      </c>
      <c r="K460" s="7" t="str">
        <f t="shared" si="12"/>
        <v>B</v>
      </c>
      <c r="L460" s="7" t="str">
        <f t="shared" si="13"/>
        <v>Transformative change</v>
      </c>
      <c r="M460" s="7" t="str">
        <f t="shared" si="14"/>
        <v>High</v>
      </c>
      <c r="N460" s="7">
        <f t="shared" si="15"/>
        <v>3483456</v>
      </c>
      <c r="O460" s="7">
        <f t="shared" si="16"/>
        <v>830799.6813</v>
      </c>
      <c r="P460" s="7">
        <f t="shared" ref="P460:Q460" si="2763">RANDBETWEEN(0,22)</f>
        <v>12</v>
      </c>
      <c r="Q460" s="7">
        <f t="shared" si="2763"/>
        <v>5</v>
      </c>
      <c r="R460" s="7">
        <f t="shared" ref="R460:T460" si="2764">IF(S460=1,1,RANDBETWEEN(0,1))</f>
        <v>1</v>
      </c>
      <c r="S460" s="7">
        <f t="shared" si="2764"/>
        <v>1</v>
      </c>
      <c r="T460" s="7">
        <f t="shared" si="2764"/>
        <v>1</v>
      </c>
      <c r="U460" s="7">
        <f t="shared" si="19"/>
        <v>1</v>
      </c>
      <c r="V460" s="7">
        <f t="shared" ref="V460:X460" si="2765">IF(W460=1,1,RANDBETWEEN(0,1))</f>
        <v>1</v>
      </c>
      <c r="W460" s="7">
        <f t="shared" si="2765"/>
        <v>0</v>
      </c>
      <c r="X460" s="7">
        <f t="shared" si="2765"/>
        <v>0</v>
      </c>
      <c r="Y460" s="7">
        <f t="shared" si="21"/>
        <v>0</v>
      </c>
      <c r="Z460" s="7">
        <f t="shared" ref="Z460:AB460" si="2766">IF(AA460=1,1,RANDBETWEEN(0,1))</f>
        <v>1</v>
      </c>
      <c r="AA460" s="7">
        <f t="shared" si="2766"/>
        <v>1</v>
      </c>
      <c r="AB460" s="7">
        <f t="shared" si="2766"/>
        <v>1</v>
      </c>
      <c r="AC460" s="7">
        <f t="shared" si="23"/>
        <v>1</v>
      </c>
      <c r="AD460" s="7">
        <f t="shared" ref="AD460:AF460" si="2767">IF(AE460=1,1,RANDBETWEEN(0,1))</f>
        <v>1</v>
      </c>
      <c r="AE460" s="7">
        <f t="shared" si="2767"/>
        <v>1</v>
      </c>
      <c r="AF460" s="7">
        <f t="shared" si="2767"/>
        <v>1</v>
      </c>
      <c r="AG460" s="7">
        <f t="shared" si="25"/>
        <v>1</v>
      </c>
    </row>
    <row r="461">
      <c r="A461" s="4" t="s">
        <v>1289</v>
      </c>
      <c r="B461" s="4" t="s">
        <v>1290</v>
      </c>
      <c r="C461" s="4" t="s">
        <v>1291</v>
      </c>
      <c r="D461" s="5">
        <v>9052.0</v>
      </c>
      <c r="E461" s="6">
        <f t="shared" si="7"/>
        <v>1051</v>
      </c>
      <c r="F461" s="7">
        <f t="shared" ref="F461:G461" si="2768">ROUND(RAND(),2)</f>
        <v>0.5</v>
      </c>
      <c r="G461" s="7">
        <f t="shared" si="2768"/>
        <v>0.68</v>
      </c>
      <c r="H461" s="7">
        <f t="shared" si="9"/>
        <v>4</v>
      </c>
      <c r="I461" s="7">
        <f t="shared" si="10"/>
        <v>59759</v>
      </c>
      <c r="J461" s="7">
        <f t="shared" si="11"/>
        <v>21422</v>
      </c>
      <c r="K461" s="7" t="str">
        <f t="shared" si="12"/>
        <v>E</v>
      </c>
      <c r="L461" s="7" t="str">
        <f t="shared" si="13"/>
        <v>Transformative change</v>
      </c>
      <c r="M461" s="7" t="str">
        <f t="shared" si="14"/>
        <v>High</v>
      </c>
      <c r="N461" s="7">
        <f t="shared" si="15"/>
        <v>2387016</v>
      </c>
      <c r="O461" s="7">
        <f t="shared" si="16"/>
        <v>2386069.219</v>
      </c>
      <c r="P461" s="7">
        <f t="shared" ref="P461:Q461" si="2769">RANDBETWEEN(0,22)</f>
        <v>2</v>
      </c>
      <c r="Q461" s="7">
        <f t="shared" si="2769"/>
        <v>10</v>
      </c>
      <c r="R461" s="7">
        <f t="shared" ref="R461:T461" si="2770">IF(S461=1,1,RANDBETWEEN(0,1))</f>
        <v>1</v>
      </c>
      <c r="S461" s="7">
        <f t="shared" si="2770"/>
        <v>1</v>
      </c>
      <c r="T461" s="7">
        <f t="shared" si="2770"/>
        <v>0</v>
      </c>
      <c r="U461" s="7">
        <f t="shared" si="19"/>
        <v>0</v>
      </c>
      <c r="V461" s="7">
        <f t="shared" ref="V461:X461" si="2771">IF(W461=1,1,RANDBETWEEN(0,1))</f>
        <v>1</v>
      </c>
      <c r="W461" s="7">
        <f t="shared" si="2771"/>
        <v>1</v>
      </c>
      <c r="X461" s="7">
        <f t="shared" si="2771"/>
        <v>0</v>
      </c>
      <c r="Y461" s="7">
        <f t="shared" si="21"/>
        <v>0</v>
      </c>
      <c r="Z461" s="7">
        <f t="shared" ref="Z461:AB461" si="2772">IF(AA461=1,1,RANDBETWEEN(0,1))</f>
        <v>1</v>
      </c>
      <c r="AA461" s="7">
        <f t="shared" si="2772"/>
        <v>1</v>
      </c>
      <c r="AB461" s="7">
        <f t="shared" si="2772"/>
        <v>0</v>
      </c>
      <c r="AC461" s="7">
        <f t="shared" si="23"/>
        <v>0</v>
      </c>
      <c r="AD461" s="7">
        <f t="shared" ref="AD461:AF461" si="2773">IF(AE461=1,1,RANDBETWEEN(0,1))</f>
        <v>1</v>
      </c>
      <c r="AE461" s="7">
        <f t="shared" si="2773"/>
        <v>1</v>
      </c>
      <c r="AF461" s="7">
        <f t="shared" si="2773"/>
        <v>1</v>
      </c>
      <c r="AG461" s="7">
        <f t="shared" si="25"/>
        <v>1</v>
      </c>
    </row>
    <row r="462">
      <c r="A462" s="4" t="s">
        <v>1292</v>
      </c>
      <c r="B462" s="4" t="s">
        <v>1293</v>
      </c>
      <c r="C462" s="4" t="s">
        <v>1294</v>
      </c>
      <c r="D462" s="5">
        <v>8289.0</v>
      </c>
      <c r="E462" s="6">
        <f t="shared" si="7"/>
        <v>956</v>
      </c>
      <c r="F462" s="7">
        <f t="shared" ref="F462:G462" si="2774">ROUND(RAND(),2)</f>
        <v>0.45</v>
      </c>
      <c r="G462" s="7">
        <f t="shared" si="2774"/>
        <v>0.79</v>
      </c>
      <c r="H462" s="7">
        <f t="shared" si="9"/>
        <v>3</v>
      </c>
      <c r="I462" s="7">
        <f t="shared" si="10"/>
        <v>50312</v>
      </c>
      <c r="J462" s="7">
        <f t="shared" si="11"/>
        <v>20260</v>
      </c>
      <c r="K462" s="7" t="str">
        <f t="shared" si="12"/>
        <v>C</v>
      </c>
      <c r="L462" s="7" t="str">
        <f t="shared" si="13"/>
        <v>High ambition</v>
      </c>
      <c r="M462" s="7" t="str">
        <f t="shared" si="14"/>
        <v>Medium</v>
      </c>
      <c r="N462" s="7">
        <f t="shared" si="15"/>
        <v>2867114</v>
      </c>
      <c r="O462" s="7">
        <f t="shared" si="16"/>
        <v>754328.0043</v>
      </c>
      <c r="P462" s="7">
        <f t="shared" ref="P462:Q462" si="2775">RANDBETWEEN(0,22)</f>
        <v>14</v>
      </c>
      <c r="Q462" s="7">
        <f t="shared" si="2775"/>
        <v>21</v>
      </c>
      <c r="R462" s="7">
        <f t="shared" ref="R462:T462" si="2776">IF(S462=1,1,RANDBETWEEN(0,1))</f>
        <v>1</v>
      </c>
      <c r="S462" s="7">
        <f t="shared" si="2776"/>
        <v>1</v>
      </c>
      <c r="T462" s="7">
        <f t="shared" si="2776"/>
        <v>1</v>
      </c>
      <c r="U462" s="7">
        <f t="shared" si="19"/>
        <v>1</v>
      </c>
      <c r="V462" s="7">
        <f t="shared" ref="V462:X462" si="2777">IF(W462=1,1,RANDBETWEEN(0,1))</f>
        <v>1</v>
      </c>
      <c r="W462" s="7">
        <f t="shared" si="2777"/>
        <v>1</v>
      </c>
      <c r="X462" s="7">
        <f t="shared" si="2777"/>
        <v>1</v>
      </c>
      <c r="Y462" s="7">
        <f t="shared" si="21"/>
        <v>1</v>
      </c>
      <c r="Z462" s="7">
        <f t="shared" ref="Z462:AB462" si="2778">IF(AA462=1,1,RANDBETWEEN(0,1))</f>
        <v>1</v>
      </c>
      <c r="AA462" s="7">
        <f t="shared" si="2778"/>
        <v>1</v>
      </c>
      <c r="AB462" s="7">
        <f t="shared" si="2778"/>
        <v>1</v>
      </c>
      <c r="AC462" s="7">
        <f t="shared" si="23"/>
        <v>1</v>
      </c>
      <c r="AD462" s="7">
        <f t="shared" ref="AD462:AF462" si="2779">IF(AE462=1,1,RANDBETWEEN(0,1))</f>
        <v>1</v>
      </c>
      <c r="AE462" s="7">
        <f t="shared" si="2779"/>
        <v>1</v>
      </c>
      <c r="AF462" s="7">
        <f t="shared" si="2779"/>
        <v>1</v>
      </c>
      <c r="AG462" s="7">
        <f t="shared" si="25"/>
        <v>0</v>
      </c>
    </row>
    <row r="463">
      <c r="A463" s="4" t="s">
        <v>1295</v>
      </c>
      <c r="B463" s="4" t="s">
        <v>1296</v>
      </c>
      <c r="C463" s="4" t="s">
        <v>95</v>
      </c>
      <c r="D463" s="5">
        <v>12674.0</v>
      </c>
      <c r="E463" s="6">
        <f t="shared" si="7"/>
        <v>851</v>
      </c>
      <c r="F463" s="7">
        <f t="shared" ref="F463:G463" si="2780">ROUND(RAND(),2)</f>
        <v>0.86</v>
      </c>
      <c r="G463" s="7">
        <f t="shared" si="2780"/>
        <v>0.09</v>
      </c>
      <c r="H463" s="7">
        <f t="shared" si="9"/>
        <v>3</v>
      </c>
      <c r="I463" s="7">
        <f t="shared" si="10"/>
        <v>33674</v>
      </c>
      <c r="J463" s="7">
        <f t="shared" si="11"/>
        <v>46613</v>
      </c>
      <c r="K463" s="7" t="str">
        <f t="shared" si="12"/>
        <v>G</v>
      </c>
      <c r="L463" s="7" t="str">
        <f t="shared" si="13"/>
        <v>Transformative change</v>
      </c>
      <c r="M463" s="7" t="str">
        <f t="shared" si="14"/>
        <v>Low</v>
      </c>
      <c r="N463" s="7">
        <f t="shared" si="15"/>
        <v>3692857</v>
      </c>
      <c r="O463" s="7">
        <f t="shared" si="16"/>
        <v>41004.29599</v>
      </c>
      <c r="P463" s="7">
        <f t="shared" ref="P463:Q463" si="2781">RANDBETWEEN(0,22)</f>
        <v>14</v>
      </c>
      <c r="Q463" s="7">
        <f t="shared" si="2781"/>
        <v>19</v>
      </c>
      <c r="R463" s="7">
        <f t="shared" ref="R463:T463" si="2782">IF(S463=1,1,RANDBETWEEN(0,1))</f>
        <v>1</v>
      </c>
      <c r="S463" s="7">
        <f t="shared" si="2782"/>
        <v>1</v>
      </c>
      <c r="T463" s="7">
        <f t="shared" si="2782"/>
        <v>1</v>
      </c>
      <c r="U463" s="7">
        <f t="shared" si="19"/>
        <v>1</v>
      </c>
      <c r="V463" s="7">
        <f t="shared" ref="V463:X463" si="2783">IF(W463=1,1,RANDBETWEEN(0,1))</f>
        <v>1</v>
      </c>
      <c r="W463" s="7">
        <f t="shared" si="2783"/>
        <v>1</v>
      </c>
      <c r="X463" s="7">
        <f t="shared" si="2783"/>
        <v>1</v>
      </c>
      <c r="Y463" s="7">
        <f t="shared" si="21"/>
        <v>1</v>
      </c>
      <c r="Z463" s="7">
        <f t="shared" ref="Z463:AB463" si="2784">IF(AA463=1,1,RANDBETWEEN(0,1))</f>
        <v>1</v>
      </c>
      <c r="AA463" s="7">
        <f t="shared" si="2784"/>
        <v>1</v>
      </c>
      <c r="AB463" s="7">
        <f t="shared" si="2784"/>
        <v>1</v>
      </c>
      <c r="AC463" s="7">
        <f t="shared" si="23"/>
        <v>1</v>
      </c>
      <c r="AD463" s="7">
        <f t="shared" ref="AD463:AF463" si="2785">IF(AE463=1,1,RANDBETWEEN(0,1))</f>
        <v>1</v>
      </c>
      <c r="AE463" s="7">
        <f t="shared" si="2785"/>
        <v>1</v>
      </c>
      <c r="AF463" s="7">
        <f t="shared" si="2785"/>
        <v>1</v>
      </c>
      <c r="AG463" s="7">
        <f t="shared" si="25"/>
        <v>1</v>
      </c>
    </row>
    <row r="464">
      <c r="A464" s="4" t="s">
        <v>684</v>
      </c>
      <c r="B464" s="4" t="s">
        <v>1297</v>
      </c>
      <c r="C464" s="4" t="s">
        <v>1298</v>
      </c>
      <c r="D464" s="5">
        <v>19759.0</v>
      </c>
      <c r="E464" s="6">
        <f t="shared" si="7"/>
        <v>992</v>
      </c>
      <c r="F464" s="7">
        <f t="shared" ref="F464:G464" si="2786">ROUND(RAND(),2)</f>
        <v>0.74</v>
      </c>
      <c r="G464" s="7">
        <f t="shared" si="2786"/>
        <v>0.03</v>
      </c>
      <c r="H464" s="7">
        <f t="shared" si="9"/>
        <v>4</v>
      </c>
      <c r="I464" s="7">
        <f t="shared" si="10"/>
        <v>78398</v>
      </c>
      <c r="J464" s="7">
        <f t="shared" si="11"/>
        <v>24376</v>
      </c>
      <c r="K464" s="7" t="str">
        <f t="shared" si="12"/>
        <v>B</v>
      </c>
      <c r="L464" s="7" t="str">
        <f t="shared" si="13"/>
        <v>Transformative change</v>
      </c>
      <c r="M464" s="7" t="str">
        <f t="shared" si="14"/>
        <v>Low</v>
      </c>
      <c r="N464" s="7">
        <f t="shared" si="15"/>
        <v>1466310</v>
      </c>
      <c r="O464" s="7">
        <f t="shared" si="16"/>
        <v>1093646.528</v>
      </c>
      <c r="P464" s="7">
        <f t="shared" ref="P464:Q464" si="2787">RANDBETWEEN(0,22)</f>
        <v>22</v>
      </c>
      <c r="Q464" s="7">
        <f t="shared" si="2787"/>
        <v>22</v>
      </c>
      <c r="R464" s="7">
        <f t="shared" ref="R464:T464" si="2788">IF(S464=1,1,RANDBETWEEN(0,1))</f>
        <v>1</v>
      </c>
      <c r="S464" s="7">
        <f t="shared" si="2788"/>
        <v>0</v>
      </c>
      <c r="T464" s="7">
        <f t="shared" si="2788"/>
        <v>0</v>
      </c>
      <c r="U464" s="7">
        <f t="shared" si="19"/>
        <v>0</v>
      </c>
      <c r="V464" s="7">
        <f t="shared" ref="V464:X464" si="2789">IF(W464=1,1,RANDBETWEEN(0,1))</f>
        <v>1</v>
      </c>
      <c r="W464" s="7">
        <f t="shared" si="2789"/>
        <v>1</v>
      </c>
      <c r="X464" s="7">
        <f t="shared" si="2789"/>
        <v>1</v>
      </c>
      <c r="Y464" s="7">
        <f t="shared" si="21"/>
        <v>1</v>
      </c>
      <c r="Z464" s="7">
        <f t="shared" ref="Z464:AB464" si="2790">IF(AA464=1,1,RANDBETWEEN(0,1))</f>
        <v>1</v>
      </c>
      <c r="AA464" s="7">
        <f t="shared" si="2790"/>
        <v>1</v>
      </c>
      <c r="AB464" s="7">
        <f t="shared" si="2790"/>
        <v>1</v>
      </c>
      <c r="AC464" s="7">
        <f t="shared" si="23"/>
        <v>0</v>
      </c>
      <c r="AD464" s="7">
        <f t="shared" ref="AD464:AF464" si="2791">IF(AE464=1,1,RANDBETWEEN(0,1))</f>
        <v>1</v>
      </c>
      <c r="AE464" s="7">
        <f t="shared" si="2791"/>
        <v>1</v>
      </c>
      <c r="AF464" s="7">
        <f t="shared" si="2791"/>
        <v>1</v>
      </c>
      <c r="AG464" s="7">
        <f t="shared" si="25"/>
        <v>0</v>
      </c>
    </row>
    <row r="465">
      <c r="A465" s="4" t="s">
        <v>1299</v>
      </c>
      <c r="B465" s="4" t="s">
        <v>952</v>
      </c>
      <c r="C465" s="4" t="s">
        <v>1300</v>
      </c>
      <c r="D465" s="5">
        <v>8746.0</v>
      </c>
      <c r="E465" s="6">
        <f t="shared" si="7"/>
        <v>861</v>
      </c>
      <c r="F465" s="7">
        <f t="shared" ref="F465:G465" si="2792">ROUND(RAND(),2)</f>
        <v>0.74</v>
      </c>
      <c r="G465" s="7">
        <f t="shared" si="2792"/>
        <v>0.23</v>
      </c>
      <c r="H465" s="7">
        <f t="shared" si="9"/>
        <v>5</v>
      </c>
      <c r="I465" s="7">
        <f t="shared" si="10"/>
        <v>60242</v>
      </c>
      <c r="J465" s="7">
        <f t="shared" si="11"/>
        <v>5704</v>
      </c>
      <c r="K465" s="7" t="str">
        <f t="shared" si="12"/>
        <v>D</v>
      </c>
      <c r="L465" s="7" t="str">
        <f t="shared" si="13"/>
        <v>High ambition</v>
      </c>
      <c r="M465" s="7" t="str">
        <f t="shared" si="14"/>
        <v>Low</v>
      </c>
      <c r="N465" s="7">
        <f t="shared" si="15"/>
        <v>2776872</v>
      </c>
      <c r="O465" s="7">
        <f t="shared" si="16"/>
        <v>1740062.162</v>
      </c>
      <c r="P465" s="7">
        <f t="shared" ref="P465:Q465" si="2793">RANDBETWEEN(0,22)</f>
        <v>8</v>
      </c>
      <c r="Q465" s="7">
        <f t="shared" si="2793"/>
        <v>16</v>
      </c>
      <c r="R465" s="7">
        <f t="shared" ref="R465:T465" si="2794">IF(S465=1,1,RANDBETWEEN(0,1))</f>
        <v>1</v>
      </c>
      <c r="S465" s="7">
        <f t="shared" si="2794"/>
        <v>1</v>
      </c>
      <c r="T465" s="7">
        <f t="shared" si="2794"/>
        <v>0</v>
      </c>
      <c r="U465" s="7">
        <f t="shared" si="19"/>
        <v>0</v>
      </c>
      <c r="V465" s="7">
        <f t="shared" ref="V465:X465" si="2795">IF(W465=1,1,RANDBETWEEN(0,1))</f>
        <v>1</v>
      </c>
      <c r="W465" s="7">
        <f t="shared" si="2795"/>
        <v>1</v>
      </c>
      <c r="X465" s="7">
        <f t="shared" si="2795"/>
        <v>0</v>
      </c>
      <c r="Y465" s="7">
        <f t="shared" si="21"/>
        <v>0</v>
      </c>
      <c r="Z465" s="7">
        <f t="shared" ref="Z465:AB465" si="2796">IF(AA465=1,1,RANDBETWEEN(0,1))</f>
        <v>1</v>
      </c>
      <c r="AA465" s="7">
        <f t="shared" si="2796"/>
        <v>1</v>
      </c>
      <c r="AB465" s="7">
        <f t="shared" si="2796"/>
        <v>1</v>
      </c>
      <c r="AC465" s="7">
        <f t="shared" si="23"/>
        <v>1</v>
      </c>
      <c r="AD465" s="7">
        <f t="shared" ref="AD465:AF465" si="2797">IF(AE465=1,1,RANDBETWEEN(0,1))</f>
        <v>1</v>
      </c>
      <c r="AE465" s="7">
        <f t="shared" si="2797"/>
        <v>1</v>
      </c>
      <c r="AF465" s="7">
        <f t="shared" si="2797"/>
        <v>1</v>
      </c>
      <c r="AG465" s="7">
        <f t="shared" si="25"/>
        <v>1</v>
      </c>
    </row>
    <row r="466">
      <c r="A466" s="4" t="s">
        <v>1301</v>
      </c>
      <c r="B466" s="4" t="s">
        <v>1302</v>
      </c>
      <c r="C466" s="4" t="s">
        <v>1303</v>
      </c>
      <c r="D466" s="5">
        <v>61543.0</v>
      </c>
      <c r="E466" s="6">
        <f t="shared" si="7"/>
        <v>882</v>
      </c>
      <c r="F466" s="7">
        <f t="shared" ref="F466:G466" si="2798">ROUND(RAND(),2)</f>
        <v>0.13</v>
      </c>
      <c r="G466" s="7">
        <f t="shared" si="2798"/>
        <v>0.51</v>
      </c>
      <c r="H466" s="7">
        <f t="shared" si="9"/>
        <v>2</v>
      </c>
      <c r="I466" s="7">
        <f t="shared" si="10"/>
        <v>73007</v>
      </c>
      <c r="J466" s="7">
        <f t="shared" si="11"/>
        <v>23132</v>
      </c>
      <c r="K466" s="7" t="str">
        <f t="shared" si="12"/>
        <v>G</v>
      </c>
      <c r="L466" s="7" t="str">
        <f t="shared" si="13"/>
        <v>Transformative change</v>
      </c>
      <c r="M466" s="7" t="str">
        <f t="shared" si="14"/>
        <v>Medium</v>
      </c>
      <c r="N466" s="7">
        <f t="shared" si="15"/>
        <v>1444029</v>
      </c>
      <c r="O466" s="7">
        <f t="shared" si="16"/>
        <v>1433713.322</v>
      </c>
      <c r="P466" s="7">
        <f t="shared" ref="P466:Q466" si="2799">RANDBETWEEN(0,22)</f>
        <v>11</v>
      </c>
      <c r="Q466" s="7">
        <f t="shared" si="2799"/>
        <v>7</v>
      </c>
      <c r="R466" s="7">
        <f t="shared" ref="R466:T466" si="2800">IF(S466=1,1,RANDBETWEEN(0,1))</f>
        <v>1</v>
      </c>
      <c r="S466" s="7">
        <f t="shared" si="2800"/>
        <v>1</v>
      </c>
      <c r="T466" s="7">
        <f t="shared" si="2800"/>
        <v>1</v>
      </c>
      <c r="U466" s="7">
        <f t="shared" si="19"/>
        <v>1</v>
      </c>
      <c r="V466" s="7">
        <f t="shared" ref="V466:X466" si="2801">IF(W466=1,1,RANDBETWEEN(0,1))</f>
        <v>1</v>
      </c>
      <c r="W466" s="7">
        <f t="shared" si="2801"/>
        <v>1</v>
      </c>
      <c r="X466" s="7">
        <f t="shared" si="2801"/>
        <v>1</v>
      </c>
      <c r="Y466" s="7">
        <f t="shared" si="21"/>
        <v>1</v>
      </c>
      <c r="Z466" s="7">
        <f t="shared" ref="Z466:AB466" si="2802">IF(AA466=1,1,RANDBETWEEN(0,1))</f>
        <v>0</v>
      </c>
      <c r="AA466" s="7">
        <f t="shared" si="2802"/>
        <v>0</v>
      </c>
      <c r="AB466" s="7">
        <f t="shared" si="2802"/>
        <v>0</v>
      </c>
      <c r="AC466" s="7">
        <f t="shared" si="23"/>
        <v>0</v>
      </c>
      <c r="AD466" s="7">
        <f t="shared" ref="AD466:AF466" si="2803">IF(AE466=1,1,RANDBETWEEN(0,1))</f>
        <v>1</v>
      </c>
      <c r="AE466" s="7">
        <f t="shared" si="2803"/>
        <v>1</v>
      </c>
      <c r="AF466" s="7">
        <f t="shared" si="2803"/>
        <v>1</v>
      </c>
      <c r="AG466" s="7">
        <f t="shared" si="25"/>
        <v>0</v>
      </c>
    </row>
    <row r="467">
      <c r="A467" s="4" t="s">
        <v>1304</v>
      </c>
      <c r="B467" s="4" t="s">
        <v>1305</v>
      </c>
      <c r="C467" s="4" t="s">
        <v>1169</v>
      </c>
      <c r="D467" s="5">
        <v>16008.0</v>
      </c>
      <c r="E467" s="6">
        <f t="shared" si="7"/>
        <v>925</v>
      </c>
      <c r="F467" s="7">
        <f t="shared" ref="F467:G467" si="2804">ROUND(RAND(),2)</f>
        <v>0.8</v>
      </c>
      <c r="G467" s="7">
        <f t="shared" si="2804"/>
        <v>0.09</v>
      </c>
      <c r="H467" s="7">
        <f t="shared" si="9"/>
        <v>2</v>
      </c>
      <c r="I467" s="7">
        <f t="shared" si="10"/>
        <v>87348</v>
      </c>
      <c r="J467" s="7">
        <f t="shared" si="11"/>
        <v>53552</v>
      </c>
      <c r="K467" s="7" t="str">
        <f t="shared" si="12"/>
        <v>E</v>
      </c>
      <c r="L467" s="7" t="str">
        <f t="shared" si="13"/>
        <v>Transformative change</v>
      </c>
      <c r="M467" s="7" t="str">
        <f t="shared" si="14"/>
        <v>Low</v>
      </c>
      <c r="N467" s="7">
        <f t="shared" si="15"/>
        <v>3424571</v>
      </c>
      <c r="O467" s="7">
        <f t="shared" si="16"/>
        <v>2567865.295</v>
      </c>
      <c r="P467" s="7">
        <f t="shared" ref="P467:Q467" si="2805">RANDBETWEEN(0,22)</f>
        <v>13</v>
      </c>
      <c r="Q467" s="7">
        <f t="shared" si="2805"/>
        <v>13</v>
      </c>
      <c r="R467" s="7">
        <f t="shared" ref="R467:T467" si="2806">IF(S467=1,1,RANDBETWEEN(0,1))</f>
        <v>1</v>
      </c>
      <c r="S467" s="7">
        <f t="shared" si="2806"/>
        <v>1</v>
      </c>
      <c r="T467" s="7">
        <f t="shared" si="2806"/>
        <v>1</v>
      </c>
      <c r="U467" s="7">
        <f t="shared" si="19"/>
        <v>1</v>
      </c>
      <c r="V467" s="7">
        <f t="shared" ref="V467:X467" si="2807">IF(W467=1,1,RANDBETWEEN(0,1))</f>
        <v>0</v>
      </c>
      <c r="W467" s="7">
        <f t="shared" si="2807"/>
        <v>0</v>
      </c>
      <c r="X467" s="7">
        <f t="shared" si="2807"/>
        <v>0</v>
      </c>
      <c r="Y467" s="7">
        <f t="shared" si="21"/>
        <v>0</v>
      </c>
      <c r="Z467" s="7">
        <f t="shared" ref="Z467:AB467" si="2808">IF(AA467=1,1,RANDBETWEEN(0,1))</f>
        <v>1</v>
      </c>
      <c r="AA467" s="7">
        <f t="shared" si="2808"/>
        <v>1</v>
      </c>
      <c r="AB467" s="7">
        <f t="shared" si="2808"/>
        <v>1</v>
      </c>
      <c r="AC467" s="7">
        <f t="shared" si="23"/>
        <v>1</v>
      </c>
      <c r="AD467" s="7">
        <f t="shared" ref="AD467:AF467" si="2809">IF(AE467=1,1,RANDBETWEEN(0,1))</f>
        <v>1</v>
      </c>
      <c r="AE467" s="7">
        <f t="shared" si="2809"/>
        <v>1</v>
      </c>
      <c r="AF467" s="7">
        <f t="shared" si="2809"/>
        <v>1</v>
      </c>
      <c r="AG467" s="7">
        <f t="shared" si="25"/>
        <v>1</v>
      </c>
    </row>
    <row r="468">
      <c r="A468" s="4" t="s">
        <v>1306</v>
      </c>
      <c r="B468" s="4" t="s">
        <v>1307</v>
      </c>
      <c r="C468" s="4" t="s">
        <v>1308</v>
      </c>
      <c r="D468" s="5">
        <v>271828.0</v>
      </c>
      <c r="E468" s="6">
        <f t="shared" si="7"/>
        <v>814</v>
      </c>
      <c r="F468" s="7">
        <f t="shared" ref="F468:G468" si="2810">ROUND(RAND(),2)</f>
        <v>0.53</v>
      </c>
      <c r="G468" s="7">
        <f t="shared" si="2810"/>
        <v>0.7</v>
      </c>
      <c r="H468" s="7">
        <f t="shared" si="9"/>
        <v>5</v>
      </c>
      <c r="I468" s="7">
        <f t="shared" si="10"/>
        <v>96109</v>
      </c>
      <c r="J468" s="7">
        <f t="shared" si="11"/>
        <v>20846</v>
      </c>
      <c r="K468" s="7" t="str">
        <f t="shared" si="12"/>
        <v>G</v>
      </c>
      <c r="L468" s="7" t="str">
        <f t="shared" si="13"/>
        <v>High ambition</v>
      </c>
      <c r="M468" s="7" t="str">
        <f t="shared" si="14"/>
        <v>High</v>
      </c>
      <c r="N468" s="7">
        <f t="shared" si="15"/>
        <v>2530014</v>
      </c>
      <c r="O468" s="7">
        <f t="shared" si="16"/>
        <v>789715.8243</v>
      </c>
      <c r="P468" s="7">
        <f t="shared" ref="P468:Q468" si="2811">RANDBETWEEN(0,22)</f>
        <v>18</v>
      </c>
      <c r="Q468" s="7">
        <f t="shared" si="2811"/>
        <v>20</v>
      </c>
      <c r="R468" s="7">
        <f t="shared" ref="R468:T468" si="2812">IF(S468=1,1,RANDBETWEEN(0,1))</f>
        <v>1</v>
      </c>
      <c r="S468" s="7">
        <f t="shared" si="2812"/>
        <v>1</v>
      </c>
      <c r="T468" s="7">
        <f t="shared" si="2812"/>
        <v>1</v>
      </c>
      <c r="U468" s="7">
        <f t="shared" si="19"/>
        <v>1</v>
      </c>
      <c r="V468" s="7">
        <f t="shared" ref="V468:X468" si="2813">IF(W468=1,1,RANDBETWEEN(0,1))</f>
        <v>1</v>
      </c>
      <c r="W468" s="7">
        <f t="shared" si="2813"/>
        <v>1</v>
      </c>
      <c r="X468" s="7">
        <f t="shared" si="2813"/>
        <v>1</v>
      </c>
      <c r="Y468" s="7">
        <f t="shared" si="21"/>
        <v>0</v>
      </c>
      <c r="Z468" s="7">
        <f t="shared" ref="Z468:AB468" si="2814">IF(AA468=1,1,RANDBETWEEN(0,1))</f>
        <v>1</v>
      </c>
      <c r="AA468" s="7">
        <f t="shared" si="2814"/>
        <v>1</v>
      </c>
      <c r="AB468" s="7">
        <f t="shared" si="2814"/>
        <v>1</v>
      </c>
      <c r="AC468" s="7">
        <f t="shared" si="23"/>
        <v>0</v>
      </c>
      <c r="AD468" s="7">
        <f t="shared" ref="AD468:AF468" si="2815">IF(AE468=1,1,RANDBETWEEN(0,1))</f>
        <v>1</v>
      </c>
      <c r="AE468" s="7">
        <f t="shared" si="2815"/>
        <v>0</v>
      </c>
      <c r="AF468" s="7">
        <f t="shared" si="2815"/>
        <v>0</v>
      </c>
      <c r="AG468" s="7">
        <f t="shared" si="25"/>
        <v>0</v>
      </c>
    </row>
    <row r="469">
      <c r="A469" s="4" t="s">
        <v>1309</v>
      </c>
      <c r="B469" s="4" t="s">
        <v>1310</v>
      </c>
      <c r="C469" s="4" t="s">
        <v>1311</v>
      </c>
      <c r="D469" s="5">
        <v>16445.0</v>
      </c>
      <c r="E469" s="6">
        <f t="shared" si="7"/>
        <v>1017</v>
      </c>
      <c r="F469" s="7">
        <f t="shared" ref="F469:G469" si="2816">ROUND(RAND(),2)</f>
        <v>0.85</v>
      </c>
      <c r="G469" s="7">
        <f t="shared" si="2816"/>
        <v>0.56</v>
      </c>
      <c r="H469" s="7">
        <f t="shared" si="9"/>
        <v>3</v>
      </c>
      <c r="I469" s="7">
        <f t="shared" si="10"/>
        <v>22407</v>
      </c>
      <c r="J469" s="7">
        <f t="shared" si="11"/>
        <v>20520</v>
      </c>
      <c r="K469" s="7" t="str">
        <f t="shared" si="12"/>
        <v>A</v>
      </c>
      <c r="L469" s="7" t="str">
        <f t="shared" si="13"/>
        <v>Transformative change</v>
      </c>
      <c r="M469" s="7" t="str">
        <f t="shared" si="14"/>
        <v>High</v>
      </c>
      <c r="N469" s="7">
        <f t="shared" si="15"/>
        <v>3054341</v>
      </c>
      <c r="O469" s="7">
        <f t="shared" si="16"/>
        <v>803991.0473</v>
      </c>
      <c r="P469" s="7">
        <f t="shared" ref="P469:Q469" si="2817">RANDBETWEEN(0,22)</f>
        <v>14</v>
      </c>
      <c r="Q469" s="7">
        <f t="shared" si="2817"/>
        <v>14</v>
      </c>
      <c r="R469" s="7">
        <f t="shared" ref="R469:T469" si="2818">IF(S469=1,1,RANDBETWEEN(0,1))</f>
        <v>1</v>
      </c>
      <c r="S469" s="7">
        <f t="shared" si="2818"/>
        <v>1</v>
      </c>
      <c r="T469" s="7">
        <f t="shared" si="2818"/>
        <v>1</v>
      </c>
      <c r="U469" s="7">
        <f t="shared" si="19"/>
        <v>1</v>
      </c>
      <c r="V469" s="7">
        <f t="shared" ref="V469:X469" si="2819">IF(W469=1,1,RANDBETWEEN(0,1))</f>
        <v>1</v>
      </c>
      <c r="W469" s="7">
        <f t="shared" si="2819"/>
        <v>1</v>
      </c>
      <c r="X469" s="7">
        <f t="shared" si="2819"/>
        <v>1</v>
      </c>
      <c r="Y469" s="7">
        <f t="shared" si="21"/>
        <v>1</v>
      </c>
      <c r="Z469" s="7">
        <f t="shared" ref="Z469:AB469" si="2820">IF(AA469=1,1,RANDBETWEEN(0,1))</f>
        <v>1</v>
      </c>
      <c r="AA469" s="7">
        <f t="shared" si="2820"/>
        <v>1</v>
      </c>
      <c r="AB469" s="7">
        <f t="shared" si="2820"/>
        <v>1</v>
      </c>
      <c r="AC469" s="7">
        <f t="shared" si="23"/>
        <v>1</v>
      </c>
      <c r="AD469" s="7">
        <f t="shared" ref="AD469:AF469" si="2821">IF(AE469=1,1,RANDBETWEEN(0,1))</f>
        <v>1</v>
      </c>
      <c r="AE469" s="7">
        <f t="shared" si="2821"/>
        <v>1</v>
      </c>
      <c r="AF469" s="7">
        <f t="shared" si="2821"/>
        <v>1</v>
      </c>
      <c r="AG469" s="7">
        <f t="shared" si="25"/>
        <v>1</v>
      </c>
    </row>
    <row r="470">
      <c r="A470" s="4" t="s">
        <v>856</v>
      </c>
      <c r="B470" s="4" t="s">
        <v>1312</v>
      </c>
      <c r="C470" s="4" t="s">
        <v>1313</v>
      </c>
      <c r="D470" s="5">
        <v>13125.0</v>
      </c>
      <c r="E470" s="6">
        <f t="shared" si="7"/>
        <v>1027</v>
      </c>
      <c r="F470" s="7">
        <f t="shared" ref="F470:G470" si="2822">ROUND(RAND(),2)</f>
        <v>0.4</v>
      </c>
      <c r="G470" s="7">
        <f t="shared" si="2822"/>
        <v>0.61</v>
      </c>
      <c r="H470" s="7">
        <f t="shared" si="9"/>
        <v>2</v>
      </c>
      <c r="I470" s="7">
        <f t="shared" si="10"/>
        <v>69785</v>
      </c>
      <c r="J470" s="7">
        <f t="shared" si="11"/>
        <v>6628</v>
      </c>
      <c r="K470" s="7" t="str">
        <f t="shared" si="12"/>
        <v>B</v>
      </c>
      <c r="L470" s="7" t="str">
        <f t="shared" si="13"/>
        <v>Transformative change</v>
      </c>
      <c r="M470" s="7" t="str">
        <f t="shared" si="14"/>
        <v>High</v>
      </c>
      <c r="N470" s="7">
        <f t="shared" si="15"/>
        <v>478869</v>
      </c>
      <c r="O470" s="7">
        <f t="shared" si="16"/>
        <v>40053.28072</v>
      </c>
      <c r="P470" s="7">
        <f t="shared" ref="P470:Q470" si="2823">RANDBETWEEN(0,22)</f>
        <v>18</v>
      </c>
      <c r="Q470" s="7">
        <f t="shared" si="2823"/>
        <v>10</v>
      </c>
      <c r="R470" s="7">
        <f t="shared" ref="R470:T470" si="2824">IF(S470=1,1,RANDBETWEEN(0,1))</f>
        <v>1</v>
      </c>
      <c r="S470" s="7">
        <f t="shared" si="2824"/>
        <v>1</v>
      </c>
      <c r="T470" s="7">
        <f t="shared" si="2824"/>
        <v>1</v>
      </c>
      <c r="U470" s="7">
        <f t="shared" si="19"/>
        <v>1</v>
      </c>
      <c r="V470" s="7">
        <f t="shared" ref="V470:X470" si="2825">IF(W470=1,1,RANDBETWEEN(0,1))</f>
        <v>1</v>
      </c>
      <c r="W470" s="7">
        <f t="shared" si="2825"/>
        <v>1</v>
      </c>
      <c r="X470" s="7">
        <f t="shared" si="2825"/>
        <v>0</v>
      </c>
      <c r="Y470" s="7">
        <f t="shared" si="21"/>
        <v>0</v>
      </c>
      <c r="Z470" s="7">
        <f t="shared" ref="Z470:AB470" si="2826">IF(AA470=1,1,RANDBETWEEN(0,1))</f>
        <v>1</v>
      </c>
      <c r="AA470" s="7">
        <f t="shared" si="2826"/>
        <v>1</v>
      </c>
      <c r="AB470" s="7">
        <f t="shared" si="2826"/>
        <v>1</v>
      </c>
      <c r="AC470" s="7">
        <f t="shared" si="23"/>
        <v>1</v>
      </c>
      <c r="AD470" s="7">
        <f t="shared" ref="AD470:AF470" si="2827">IF(AE470=1,1,RANDBETWEEN(0,1))</f>
        <v>1</v>
      </c>
      <c r="AE470" s="7">
        <f t="shared" si="2827"/>
        <v>1</v>
      </c>
      <c r="AF470" s="7">
        <f t="shared" si="2827"/>
        <v>1</v>
      </c>
      <c r="AG470" s="7">
        <f t="shared" si="25"/>
        <v>0</v>
      </c>
    </row>
    <row r="471">
      <c r="A471" s="4" t="s">
        <v>1314</v>
      </c>
      <c r="B471" s="4" t="s">
        <v>1315</v>
      </c>
      <c r="C471" s="4" t="s">
        <v>1316</v>
      </c>
      <c r="D471" s="5">
        <v>317778.0</v>
      </c>
      <c r="E471" s="6">
        <f t="shared" si="7"/>
        <v>4074.08</v>
      </c>
      <c r="F471" s="7">
        <f t="shared" ref="F471:G471" si="2828">ROUND(RAND(),2)</f>
        <v>0.15</v>
      </c>
      <c r="G471" s="7">
        <f t="shared" si="2828"/>
        <v>0.29</v>
      </c>
      <c r="H471" s="7">
        <f t="shared" si="9"/>
        <v>4</v>
      </c>
      <c r="I471" s="7">
        <f t="shared" si="10"/>
        <v>93715</v>
      </c>
      <c r="J471" s="7">
        <f t="shared" si="11"/>
        <v>86663</v>
      </c>
      <c r="K471" s="7" t="str">
        <f t="shared" si="12"/>
        <v>C</v>
      </c>
      <c r="L471" s="7" t="str">
        <f t="shared" si="13"/>
        <v>Transformative change</v>
      </c>
      <c r="M471" s="7" t="str">
        <f t="shared" si="14"/>
        <v>High</v>
      </c>
      <c r="N471" s="7">
        <f t="shared" si="15"/>
        <v>2372244</v>
      </c>
      <c r="O471" s="7">
        <f t="shared" si="16"/>
        <v>1786898.375</v>
      </c>
      <c r="P471" s="7">
        <f t="shared" ref="P471:Q471" si="2829">RANDBETWEEN(0,22)</f>
        <v>18</v>
      </c>
      <c r="Q471" s="7">
        <f t="shared" si="2829"/>
        <v>18</v>
      </c>
      <c r="R471" s="7">
        <f t="shared" ref="R471:T471" si="2830">IF(S471=1,1,RANDBETWEEN(0,1))</f>
        <v>0</v>
      </c>
      <c r="S471" s="7">
        <f t="shared" si="2830"/>
        <v>0</v>
      </c>
      <c r="T471" s="7">
        <f t="shared" si="2830"/>
        <v>0</v>
      </c>
      <c r="U471" s="7">
        <f t="shared" si="19"/>
        <v>0</v>
      </c>
      <c r="V471" s="7">
        <f t="shared" ref="V471:X471" si="2831">IF(W471=1,1,RANDBETWEEN(0,1))</f>
        <v>1</v>
      </c>
      <c r="W471" s="7">
        <f t="shared" si="2831"/>
        <v>1</v>
      </c>
      <c r="X471" s="7">
        <f t="shared" si="2831"/>
        <v>1</v>
      </c>
      <c r="Y471" s="7">
        <f t="shared" si="21"/>
        <v>1</v>
      </c>
      <c r="Z471" s="7">
        <f t="shared" ref="Z471:AB471" si="2832">IF(AA471=1,1,RANDBETWEEN(0,1))</f>
        <v>1</v>
      </c>
      <c r="AA471" s="7">
        <f t="shared" si="2832"/>
        <v>1</v>
      </c>
      <c r="AB471" s="7">
        <f t="shared" si="2832"/>
        <v>1</v>
      </c>
      <c r="AC471" s="7">
        <f t="shared" si="23"/>
        <v>0</v>
      </c>
      <c r="AD471" s="7">
        <f t="shared" ref="AD471:AF471" si="2833">IF(AE471=1,1,RANDBETWEEN(0,1))</f>
        <v>1</v>
      </c>
      <c r="AE471" s="7">
        <f t="shared" si="2833"/>
        <v>1</v>
      </c>
      <c r="AF471" s="7">
        <f t="shared" si="2833"/>
        <v>1</v>
      </c>
      <c r="AG471" s="7">
        <f t="shared" si="25"/>
        <v>0</v>
      </c>
    </row>
    <row r="472">
      <c r="A472" s="4" t="s">
        <v>455</v>
      </c>
      <c r="B472" s="4" t="s">
        <v>1317</v>
      </c>
      <c r="C472" s="4" t="s">
        <v>1318</v>
      </c>
      <c r="D472" s="5">
        <v>7501.0</v>
      </c>
      <c r="E472" s="6">
        <f t="shared" si="7"/>
        <v>860</v>
      </c>
      <c r="F472" s="7">
        <f t="shared" ref="F472:G472" si="2834">ROUND(RAND(),2)</f>
        <v>0.5</v>
      </c>
      <c r="G472" s="7">
        <f t="shared" si="2834"/>
        <v>0.27</v>
      </c>
      <c r="H472" s="7">
        <f t="shared" si="9"/>
        <v>2</v>
      </c>
      <c r="I472" s="7">
        <f t="shared" si="10"/>
        <v>31226</v>
      </c>
      <c r="J472" s="7">
        <f t="shared" si="11"/>
        <v>9429</v>
      </c>
      <c r="K472" s="7" t="str">
        <f t="shared" si="12"/>
        <v>F</v>
      </c>
      <c r="L472" s="7" t="str">
        <f t="shared" si="13"/>
        <v>Transformative change</v>
      </c>
      <c r="M472" s="7" t="str">
        <f t="shared" si="14"/>
        <v>Medium</v>
      </c>
      <c r="N472" s="7">
        <f t="shared" si="15"/>
        <v>489608</v>
      </c>
      <c r="O472" s="7">
        <f t="shared" si="16"/>
        <v>31902.97354</v>
      </c>
      <c r="P472" s="7">
        <f t="shared" ref="P472:Q472" si="2835">RANDBETWEEN(0,22)</f>
        <v>15</v>
      </c>
      <c r="Q472" s="7">
        <f t="shared" si="2835"/>
        <v>5</v>
      </c>
      <c r="R472" s="7">
        <f t="shared" ref="R472:T472" si="2836">IF(S472=1,1,RANDBETWEEN(0,1))</f>
        <v>1</v>
      </c>
      <c r="S472" s="7">
        <f t="shared" si="2836"/>
        <v>1</v>
      </c>
      <c r="T472" s="7">
        <f t="shared" si="2836"/>
        <v>1</v>
      </c>
      <c r="U472" s="7">
        <f t="shared" si="19"/>
        <v>1</v>
      </c>
      <c r="V472" s="7">
        <f t="shared" ref="V472:X472" si="2837">IF(W472=1,1,RANDBETWEEN(0,1))</f>
        <v>0</v>
      </c>
      <c r="W472" s="7">
        <f t="shared" si="2837"/>
        <v>0</v>
      </c>
      <c r="X472" s="7">
        <f t="shared" si="2837"/>
        <v>0</v>
      </c>
      <c r="Y472" s="7">
        <f t="shared" si="21"/>
        <v>0</v>
      </c>
      <c r="Z472" s="7">
        <f t="shared" ref="Z472:AB472" si="2838">IF(AA472=1,1,RANDBETWEEN(0,1))</f>
        <v>1</v>
      </c>
      <c r="AA472" s="7">
        <f t="shared" si="2838"/>
        <v>1</v>
      </c>
      <c r="AB472" s="7">
        <f t="shared" si="2838"/>
        <v>1</v>
      </c>
      <c r="AC472" s="7">
        <f t="shared" si="23"/>
        <v>1</v>
      </c>
      <c r="AD472" s="7">
        <f t="shared" ref="AD472:AF472" si="2839">IF(AE472=1,1,RANDBETWEEN(0,1))</f>
        <v>1</v>
      </c>
      <c r="AE472" s="7">
        <f t="shared" si="2839"/>
        <v>1</v>
      </c>
      <c r="AF472" s="7">
        <f t="shared" si="2839"/>
        <v>1</v>
      </c>
      <c r="AG472" s="7">
        <f t="shared" si="25"/>
        <v>1</v>
      </c>
    </row>
    <row r="473">
      <c r="A473" s="4" t="s">
        <v>317</v>
      </c>
      <c r="B473" s="4" t="s">
        <v>1319</v>
      </c>
      <c r="C473" s="4" t="s">
        <v>1320</v>
      </c>
      <c r="D473" s="5">
        <v>5838.0</v>
      </c>
      <c r="E473" s="6">
        <f t="shared" si="7"/>
        <v>846</v>
      </c>
      <c r="F473" s="7">
        <f t="shared" ref="F473:G473" si="2840">ROUND(RAND(),2)</f>
        <v>0.92</v>
      </c>
      <c r="G473" s="7">
        <f t="shared" si="2840"/>
        <v>0.37</v>
      </c>
      <c r="H473" s="7">
        <f t="shared" si="9"/>
        <v>4</v>
      </c>
      <c r="I473" s="7">
        <f t="shared" si="10"/>
        <v>46570</v>
      </c>
      <c r="J473" s="7">
        <f t="shared" si="11"/>
        <v>27295</v>
      </c>
      <c r="K473" s="7" t="str">
        <f t="shared" si="12"/>
        <v>D</v>
      </c>
      <c r="L473" s="7" t="str">
        <f t="shared" si="13"/>
        <v>Transformative change</v>
      </c>
      <c r="M473" s="7" t="str">
        <f t="shared" si="14"/>
        <v>Medium</v>
      </c>
      <c r="N473" s="7">
        <f t="shared" si="15"/>
        <v>2842349</v>
      </c>
      <c r="O473" s="7">
        <f t="shared" si="16"/>
        <v>2438986.654</v>
      </c>
      <c r="P473" s="7">
        <f t="shared" ref="P473:Q473" si="2841">RANDBETWEEN(0,22)</f>
        <v>8</v>
      </c>
      <c r="Q473" s="7">
        <f t="shared" si="2841"/>
        <v>16</v>
      </c>
      <c r="R473" s="7">
        <f t="shared" ref="R473:T473" si="2842">IF(S473=1,1,RANDBETWEEN(0,1))</f>
        <v>0</v>
      </c>
      <c r="S473" s="7">
        <f t="shared" si="2842"/>
        <v>0</v>
      </c>
      <c r="T473" s="7">
        <f t="shared" si="2842"/>
        <v>0</v>
      </c>
      <c r="U473" s="7">
        <f t="shared" si="19"/>
        <v>0</v>
      </c>
      <c r="V473" s="7">
        <f t="shared" ref="V473:X473" si="2843">IF(W473=1,1,RANDBETWEEN(0,1))</f>
        <v>1</v>
      </c>
      <c r="W473" s="7">
        <f t="shared" si="2843"/>
        <v>1</v>
      </c>
      <c r="X473" s="7">
        <f t="shared" si="2843"/>
        <v>0</v>
      </c>
      <c r="Y473" s="7">
        <f t="shared" si="21"/>
        <v>0</v>
      </c>
      <c r="Z473" s="7">
        <f t="shared" ref="Z473:AB473" si="2844">IF(AA473=1,1,RANDBETWEEN(0,1))</f>
        <v>1</v>
      </c>
      <c r="AA473" s="7">
        <f t="shared" si="2844"/>
        <v>1</v>
      </c>
      <c r="AB473" s="7">
        <f t="shared" si="2844"/>
        <v>1</v>
      </c>
      <c r="AC473" s="7">
        <f t="shared" si="23"/>
        <v>0</v>
      </c>
      <c r="AD473" s="7">
        <f t="shared" ref="AD473:AF473" si="2845">IF(AE473=1,1,RANDBETWEEN(0,1))</f>
        <v>1</v>
      </c>
      <c r="AE473" s="7">
        <f t="shared" si="2845"/>
        <v>1</v>
      </c>
      <c r="AF473" s="7">
        <f t="shared" si="2845"/>
        <v>1</v>
      </c>
      <c r="AG473" s="7">
        <f t="shared" si="25"/>
        <v>1</v>
      </c>
    </row>
    <row r="474">
      <c r="A474" s="4" t="s">
        <v>1321</v>
      </c>
      <c r="B474" s="4" t="s">
        <v>1255</v>
      </c>
      <c r="C474" s="4" t="s">
        <v>1322</v>
      </c>
      <c r="D474" s="5">
        <v>16667.0</v>
      </c>
      <c r="E474" s="6">
        <f t="shared" si="7"/>
        <v>1092</v>
      </c>
      <c r="F474" s="7">
        <f t="shared" ref="F474:G474" si="2846">ROUND(RAND(),2)</f>
        <v>0.29</v>
      </c>
      <c r="G474" s="7">
        <f t="shared" si="2846"/>
        <v>0.61</v>
      </c>
      <c r="H474" s="7">
        <f t="shared" si="9"/>
        <v>2</v>
      </c>
      <c r="I474" s="7">
        <f t="shared" si="10"/>
        <v>97023</v>
      </c>
      <c r="J474" s="7">
        <f t="shared" si="11"/>
        <v>84613</v>
      </c>
      <c r="K474" s="7" t="str">
        <f t="shared" si="12"/>
        <v>D</v>
      </c>
      <c r="L474" s="7" t="str">
        <f t="shared" si="13"/>
        <v>Transformative change</v>
      </c>
      <c r="M474" s="7" t="str">
        <f t="shared" si="14"/>
        <v>Medium</v>
      </c>
      <c r="N474" s="7">
        <f t="shared" si="15"/>
        <v>3493859</v>
      </c>
      <c r="O474" s="7">
        <f t="shared" si="16"/>
        <v>1214921.184</v>
      </c>
      <c r="P474" s="7">
        <f t="shared" ref="P474:Q474" si="2847">RANDBETWEEN(0,22)</f>
        <v>3</v>
      </c>
      <c r="Q474" s="7">
        <f t="shared" si="2847"/>
        <v>17</v>
      </c>
      <c r="R474" s="7">
        <f t="shared" ref="R474:T474" si="2848">IF(S474=1,1,RANDBETWEEN(0,1))</f>
        <v>1</v>
      </c>
      <c r="S474" s="7">
        <f t="shared" si="2848"/>
        <v>1</v>
      </c>
      <c r="T474" s="7">
        <f t="shared" si="2848"/>
        <v>1</v>
      </c>
      <c r="U474" s="7">
        <f t="shared" si="19"/>
        <v>1</v>
      </c>
      <c r="V474" s="7">
        <f t="shared" ref="V474:X474" si="2849">IF(W474=1,1,RANDBETWEEN(0,1))</f>
        <v>1</v>
      </c>
      <c r="W474" s="7">
        <f t="shared" si="2849"/>
        <v>1</v>
      </c>
      <c r="X474" s="7">
        <f t="shared" si="2849"/>
        <v>1</v>
      </c>
      <c r="Y474" s="7">
        <f t="shared" si="21"/>
        <v>1</v>
      </c>
      <c r="Z474" s="7">
        <f t="shared" ref="Z474:AB474" si="2850">IF(AA474=1,1,RANDBETWEEN(0,1))</f>
        <v>1</v>
      </c>
      <c r="AA474" s="7">
        <f t="shared" si="2850"/>
        <v>0</v>
      </c>
      <c r="AB474" s="7">
        <f t="shared" si="2850"/>
        <v>0</v>
      </c>
      <c r="AC474" s="7">
        <f t="shared" si="23"/>
        <v>0</v>
      </c>
      <c r="AD474" s="7">
        <f t="shared" ref="AD474:AF474" si="2851">IF(AE474=1,1,RANDBETWEEN(0,1))</f>
        <v>1</v>
      </c>
      <c r="AE474" s="7">
        <f t="shared" si="2851"/>
        <v>1</v>
      </c>
      <c r="AF474" s="7">
        <f t="shared" si="2851"/>
        <v>1</v>
      </c>
      <c r="AG474" s="7">
        <f t="shared" si="25"/>
        <v>1</v>
      </c>
    </row>
    <row r="475">
      <c r="A475" s="4" t="s">
        <v>1323</v>
      </c>
      <c r="B475" s="4" t="s">
        <v>1324</v>
      </c>
      <c r="C475" s="4" t="s">
        <v>1325</v>
      </c>
      <c r="D475" s="5">
        <v>82527.0</v>
      </c>
      <c r="E475" s="6">
        <f t="shared" si="7"/>
        <v>1081</v>
      </c>
      <c r="F475" s="7">
        <f t="shared" ref="F475:G475" si="2852">ROUND(RAND(),2)</f>
        <v>0.29</v>
      </c>
      <c r="G475" s="7">
        <f t="shared" si="2852"/>
        <v>0.78</v>
      </c>
      <c r="H475" s="7">
        <f t="shared" si="9"/>
        <v>3</v>
      </c>
      <c r="I475" s="7">
        <f t="shared" si="10"/>
        <v>88755</v>
      </c>
      <c r="J475" s="7">
        <f t="shared" si="11"/>
        <v>18853</v>
      </c>
      <c r="K475" s="7" t="str">
        <f t="shared" si="12"/>
        <v>C</v>
      </c>
      <c r="L475" s="7" t="str">
        <f t="shared" si="13"/>
        <v>Transformative change</v>
      </c>
      <c r="M475" s="7" t="str">
        <f t="shared" si="14"/>
        <v>Low</v>
      </c>
      <c r="N475" s="7">
        <f t="shared" si="15"/>
        <v>3891438</v>
      </c>
      <c r="O475" s="7">
        <f t="shared" si="16"/>
        <v>2554142.498</v>
      </c>
      <c r="P475" s="7">
        <f t="shared" ref="P475:Q475" si="2853">RANDBETWEEN(0,22)</f>
        <v>7</v>
      </c>
      <c r="Q475" s="7">
        <f t="shared" si="2853"/>
        <v>3</v>
      </c>
      <c r="R475" s="7">
        <f t="shared" ref="R475:T475" si="2854">IF(S475=1,1,RANDBETWEEN(0,1))</f>
        <v>0</v>
      </c>
      <c r="S475" s="7">
        <f t="shared" si="2854"/>
        <v>0</v>
      </c>
      <c r="T475" s="7">
        <f t="shared" si="2854"/>
        <v>0</v>
      </c>
      <c r="U475" s="7">
        <f t="shared" si="19"/>
        <v>0</v>
      </c>
      <c r="V475" s="7">
        <f t="shared" ref="V475:X475" si="2855">IF(W475=1,1,RANDBETWEEN(0,1))</f>
        <v>1</v>
      </c>
      <c r="W475" s="7">
        <f t="shared" si="2855"/>
        <v>1</v>
      </c>
      <c r="X475" s="7">
        <f t="shared" si="2855"/>
        <v>0</v>
      </c>
      <c r="Y475" s="7">
        <f t="shared" si="21"/>
        <v>0</v>
      </c>
      <c r="Z475" s="7">
        <f t="shared" ref="Z475:AB475" si="2856">IF(AA475=1,1,RANDBETWEEN(0,1))</f>
        <v>1</v>
      </c>
      <c r="AA475" s="7">
        <f t="shared" si="2856"/>
        <v>1</v>
      </c>
      <c r="AB475" s="7">
        <f t="shared" si="2856"/>
        <v>1</v>
      </c>
      <c r="AC475" s="7">
        <f t="shared" si="23"/>
        <v>1</v>
      </c>
      <c r="AD475" s="7">
        <f t="shared" ref="AD475:AF475" si="2857">IF(AE475=1,1,RANDBETWEEN(0,1))</f>
        <v>1</v>
      </c>
      <c r="AE475" s="7">
        <f t="shared" si="2857"/>
        <v>1</v>
      </c>
      <c r="AF475" s="7">
        <f t="shared" si="2857"/>
        <v>1</v>
      </c>
      <c r="AG475" s="7">
        <f t="shared" si="25"/>
        <v>1</v>
      </c>
    </row>
    <row r="476">
      <c r="A476" s="4" t="s">
        <v>1326</v>
      </c>
      <c r="B476" s="4" t="s">
        <v>1327</v>
      </c>
      <c r="C476" s="4" t="s">
        <v>1328</v>
      </c>
      <c r="D476" s="5">
        <v>7692.0</v>
      </c>
      <c r="E476" s="6">
        <f t="shared" si="7"/>
        <v>880</v>
      </c>
      <c r="F476" s="7">
        <f t="shared" ref="F476:G476" si="2858">ROUND(RAND(),2)</f>
        <v>0.52</v>
      </c>
      <c r="G476" s="7">
        <f t="shared" si="2858"/>
        <v>0.05</v>
      </c>
      <c r="H476" s="7">
        <f t="shared" si="9"/>
        <v>1</v>
      </c>
      <c r="I476" s="7">
        <f t="shared" si="10"/>
        <v>31768</v>
      </c>
      <c r="J476" s="7">
        <f t="shared" si="11"/>
        <v>17625</v>
      </c>
      <c r="K476" s="7" t="str">
        <f t="shared" si="12"/>
        <v>E</v>
      </c>
      <c r="L476" s="7" t="str">
        <f t="shared" si="13"/>
        <v>Transformative change</v>
      </c>
      <c r="M476" s="7" t="str">
        <f t="shared" si="14"/>
        <v>Medium</v>
      </c>
      <c r="N476" s="7">
        <f t="shared" si="15"/>
        <v>2284483</v>
      </c>
      <c r="O476" s="7">
        <f t="shared" si="16"/>
        <v>1022133.637</v>
      </c>
      <c r="P476" s="7">
        <f t="shared" ref="P476:Q476" si="2859">RANDBETWEEN(0,22)</f>
        <v>22</v>
      </c>
      <c r="Q476" s="7">
        <f t="shared" si="2859"/>
        <v>19</v>
      </c>
      <c r="R476" s="7">
        <f t="shared" ref="R476:T476" si="2860">IF(S476=1,1,RANDBETWEEN(0,1))</f>
        <v>1</v>
      </c>
      <c r="S476" s="7">
        <f t="shared" si="2860"/>
        <v>1</v>
      </c>
      <c r="T476" s="7">
        <f t="shared" si="2860"/>
        <v>1</v>
      </c>
      <c r="U476" s="7">
        <f t="shared" si="19"/>
        <v>1</v>
      </c>
      <c r="V476" s="7">
        <f t="shared" ref="V476:X476" si="2861">IF(W476=1,1,RANDBETWEEN(0,1))</f>
        <v>1</v>
      </c>
      <c r="W476" s="7">
        <f t="shared" si="2861"/>
        <v>1</v>
      </c>
      <c r="X476" s="7">
        <f t="shared" si="2861"/>
        <v>1</v>
      </c>
      <c r="Y476" s="7">
        <f t="shared" si="21"/>
        <v>0</v>
      </c>
      <c r="Z476" s="7">
        <f t="shared" ref="Z476:AB476" si="2862">IF(AA476=1,1,RANDBETWEEN(0,1))</f>
        <v>1</v>
      </c>
      <c r="AA476" s="7">
        <f t="shared" si="2862"/>
        <v>1</v>
      </c>
      <c r="AB476" s="7">
        <f t="shared" si="2862"/>
        <v>1</v>
      </c>
      <c r="AC476" s="7">
        <f t="shared" si="23"/>
        <v>1</v>
      </c>
      <c r="AD476" s="7">
        <f t="shared" ref="AD476:AF476" si="2863">IF(AE476=1,1,RANDBETWEEN(0,1))</f>
        <v>1</v>
      </c>
      <c r="AE476" s="7">
        <f t="shared" si="2863"/>
        <v>1</v>
      </c>
      <c r="AF476" s="7">
        <f t="shared" si="2863"/>
        <v>1</v>
      </c>
      <c r="AG476" s="7">
        <f t="shared" si="25"/>
        <v>0</v>
      </c>
    </row>
    <row r="477">
      <c r="A477" s="4" t="s">
        <v>1329</v>
      </c>
      <c r="B477" s="4" t="s">
        <v>1330</v>
      </c>
      <c r="C477" s="4" t="s">
        <v>1331</v>
      </c>
      <c r="D477" s="5">
        <v>8147.0</v>
      </c>
      <c r="E477" s="6">
        <f t="shared" si="7"/>
        <v>909</v>
      </c>
      <c r="F477" s="7">
        <f t="shared" ref="F477:G477" si="2864">ROUND(RAND(),2)</f>
        <v>0.73</v>
      </c>
      <c r="G477" s="7">
        <f t="shared" si="2864"/>
        <v>0.25</v>
      </c>
      <c r="H477" s="7">
        <f t="shared" si="9"/>
        <v>1</v>
      </c>
      <c r="I477" s="7">
        <f t="shared" si="10"/>
        <v>31723</v>
      </c>
      <c r="J477" s="7">
        <f t="shared" si="11"/>
        <v>37919</v>
      </c>
      <c r="K477" s="7" t="str">
        <f t="shared" si="12"/>
        <v>C</v>
      </c>
      <c r="L477" s="7" t="str">
        <f t="shared" si="13"/>
        <v>High ambition</v>
      </c>
      <c r="M477" s="7" t="str">
        <f t="shared" si="14"/>
        <v>High</v>
      </c>
      <c r="N477" s="7">
        <f t="shared" si="15"/>
        <v>2373088</v>
      </c>
      <c r="O477" s="7">
        <f t="shared" si="16"/>
        <v>1385964.038</v>
      </c>
      <c r="P477" s="7">
        <f t="shared" ref="P477:Q477" si="2865">RANDBETWEEN(0,22)</f>
        <v>12</v>
      </c>
      <c r="Q477" s="7">
        <f t="shared" si="2865"/>
        <v>5</v>
      </c>
      <c r="R477" s="7">
        <f t="shared" ref="R477:T477" si="2866">IF(S477=1,1,RANDBETWEEN(0,1))</f>
        <v>1</v>
      </c>
      <c r="S477" s="7">
        <f t="shared" si="2866"/>
        <v>1</v>
      </c>
      <c r="T477" s="7">
        <f t="shared" si="2866"/>
        <v>0</v>
      </c>
      <c r="U477" s="7">
        <f t="shared" si="19"/>
        <v>0</v>
      </c>
      <c r="V477" s="7">
        <f t="shared" ref="V477:X477" si="2867">IF(W477=1,1,RANDBETWEEN(0,1))</f>
        <v>1</v>
      </c>
      <c r="W477" s="7">
        <f t="shared" si="2867"/>
        <v>1</v>
      </c>
      <c r="X477" s="7">
        <f t="shared" si="2867"/>
        <v>1</v>
      </c>
      <c r="Y477" s="7">
        <f t="shared" si="21"/>
        <v>0</v>
      </c>
      <c r="Z477" s="7">
        <f t="shared" ref="Z477:AB477" si="2868">IF(AA477=1,1,RANDBETWEEN(0,1))</f>
        <v>1</v>
      </c>
      <c r="AA477" s="7">
        <f t="shared" si="2868"/>
        <v>1</v>
      </c>
      <c r="AB477" s="7">
        <f t="shared" si="2868"/>
        <v>1</v>
      </c>
      <c r="AC477" s="7">
        <f t="shared" si="23"/>
        <v>1</v>
      </c>
      <c r="AD477" s="7">
        <f t="shared" ref="AD477:AF477" si="2869">IF(AE477=1,1,RANDBETWEEN(0,1))</f>
        <v>1</v>
      </c>
      <c r="AE477" s="7">
        <f t="shared" si="2869"/>
        <v>0</v>
      </c>
      <c r="AF477" s="7">
        <f t="shared" si="2869"/>
        <v>0</v>
      </c>
      <c r="AG477" s="7">
        <f t="shared" si="25"/>
        <v>0</v>
      </c>
    </row>
    <row r="478">
      <c r="A478" s="4" t="s">
        <v>1332</v>
      </c>
      <c r="B478" s="4" t="s">
        <v>1333</v>
      </c>
      <c r="C478" s="4" t="s">
        <v>95</v>
      </c>
      <c r="D478" s="5">
        <v>7035.0</v>
      </c>
      <c r="E478" s="6">
        <f t="shared" si="7"/>
        <v>996</v>
      </c>
      <c r="F478" s="7">
        <f t="shared" ref="F478:G478" si="2870">ROUND(RAND(),2)</f>
        <v>0.65</v>
      </c>
      <c r="G478" s="7">
        <f t="shared" si="2870"/>
        <v>0.25</v>
      </c>
      <c r="H478" s="7">
        <f t="shared" si="9"/>
        <v>3</v>
      </c>
      <c r="I478" s="7">
        <f t="shared" si="10"/>
        <v>97898</v>
      </c>
      <c r="J478" s="7">
        <f t="shared" si="11"/>
        <v>21502</v>
      </c>
      <c r="K478" s="7" t="str">
        <f t="shared" si="12"/>
        <v>D</v>
      </c>
      <c r="L478" s="7" t="str">
        <f t="shared" si="13"/>
        <v>Transformative change</v>
      </c>
      <c r="M478" s="7" t="str">
        <f t="shared" si="14"/>
        <v>Low</v>
      </c>
      <c r="N478" s="7">
        <f t="shared" si="15"/>
        <v>926577</v>
      </c>
      <c r="O478" s="7">
        <f t="shared" si="16"/>
        <v>351472.6359</v>
      </c>
      <c r="P478" s="7">
        <f t="shared" ref="P478:Q478" si="2871">RANDBETWEEN(0,22)</f>
        <v>0</v>
      </c>
      <c r="Q478" s="7">
        <f t="shared" si="2871"/>
        <v>2</v>
      </c>
      <c r="R478" s="7">
        <f t="shared" ref="R478:T478" si="2872">IF(S478=1,1,RANDBETWEEN(0,1))</f>
        <v>1</v>
      </c>
      <c r="S478" s="7">
        <f t="shared" si="2872"/>
        <v>1</v>
      </c>
      <c r="T478" s="7">
        <f t="shared" si="2872"/>
        <v>1</v>
      </c>
      <c r="U478" s="7">
        <f t="shared" si="19"/>
        <v>1</v>
      </c>
      <c r="V478" s="7">
        <f t="shared" ref="V478:X478" si="2873">IF(W478=1,1,RANDBETWEEN(0,1))</f>
        <v>1</v>
      </c>
      <c r="W478" s="7">
        <f t="shared" si="2873"/>
        <v>1</v>
      </c>
      <c r="X478" s="7">
        <f t="shared" si="2873"/>
        <v>1</v>
      </c>
      <c r="Y478" s="7">
        <f t="shared" si="21"/>
        <v>1</v>
      </c>
      <c r="Z478" s="7">
        <f t="shared" ref="Z478:AB478" si="2874">IF(AA478=1,1,RANDBETWEEN(0,1))</f>
        <v>1</v>
      </c>
      <c r="AA478" s="7">
        <f t="shared" si="2874"/>
        <v>1</v>
      </c>
      <c r="AB478" s="7">
        <f t="shared" si="2874"/>
        <v>1</v>
      </c>
      <c r="AC478" s="7">
        <f t="shared" si="23"/>
        <v>1</v>
      </c>
      <c r="AD478" s="7">
        <f t="shared" ref="AD478:AF478" si="2875">IF(AE478=1,1,RANDBETWEEN(0,1))</f>
        <v>1</v>
      </c>
      <c r="AE478" s="7">
        <f t="shared" si="2875"/>
        <v>1</v>
      </c>
      <c r="AF478" s="7">
        <f t="shared" si="2875"/>
        <v>1</v>
      </c>
      <c r="AG478" s="7">
        <f t="shared" si="25"/>
        <v>1</v>
      </c>
    </row>
    <row r="479">
      <c r="A479" s="4" t="s">
        <v>1334</v>
      </c>
      <c r="B479" s="4" t="s">
        <v>431</v>
      </c>
      <c r="C479" s="4" t="s">
        <v>1335</v>
      </c>
      <c r="D479" s="5">
        <v>16799.0</v>
      </c>
      <c r="E479" s="6">
        <f t="shared" si="7"/>
        <v>896</v>
      </c>
      <c r="F479" s="7">
        <f t="shared" ref="F479:G479" si="2876">ROUND(RAND(),2)</f>
        <v>0.97</v>
      </c>
      <c r="G479" s="7">
        <f t="shared" si="2876"/>
        <v>0.8</v>
      </c>
      <c r="H479" s="7">
        <f t="shared" si="9"/>
        <v>3</v>
      </c>
      <c r="I479" s="7">
        <f t="shared" si="10"/>
        <v>17176</v>
      </c>
      <c r="J479" s="7">
        <f t="shared" si="11"/>
        <v>7521</v>
      </c>
      <c r="K479" s="7" t="str">
        <f t="shared" si="12"/>
        <v>B</v>
      </c>
      <c r="L479" s="7" t="str">
        <f t="shared" si="13"/>
        <v>High ambition</v>
      </c>
      <c r="M479" s="7" t="str">
        <f t="shared" si="14"/>
        <v>High</v>
      </c>
      <c r="N479" s="7">
        <f t="shared" si="15"/>
        <v>1234008</v>
      </c>
      <c r="O479" s="7">
        <f t="shared" si="16"/>
        <v>59377.81635</v>
      </c>
      <c r="P479" s="7">
        <f t="shared" ref="P479:Q479" si="2877">RANDBETWEEN(0,22)</f>
        <v>15</v>
      </c>
      <c r="Q479" s="7">
        <f t="shared" si="2877"/>
        <v>6</v>
      </c>
      <c r="R479" s="7">
        <f t="shared" ref="R479:T479" si="2878">IF(S479=1,1,RANDBETWEEN(0,1))</f>
        <v>1</v>
      </c>
      <c r="S479" s="7">
        <f t="shared" si="2878"/>
        <v>1</v>
      </c>
      <c r="T479" s="7">
        <f t="shared" si="2878"/>
        <v>1</v>
      </c>
      <c r="U479" s="7">
        <f t="shared" si="19"/>
        <v>1</v>
      </c>
      <c r="V479" s="7">
        <f t="shared" ref="V479:X479" si="2879">IF(W479=1,1,RANDBETWEEN(0,1))</f>
        <v>1</v>
      </c>
      <c r="W479" s="7">
        <f t="shared" si="2879"/>
        <v>1</v>
      </c>
      <c r="X479" s="7">
        <f t="shared" si="2879"/>
        <v>1</v>
      </c>
      <c r="Y479" s="7">
        <f t="shared" si="21"/>
        <v>1</v>
      </c>
      <c r="Z479" s="7">
        <f t="shared" ref="Z479:AB479" si="2880">IF(AA479=1,1,RANDBETWEEN(0,1))</f>
        <v>1</v>
      </c>
      <c r="AA479" s="7">
        <f t="shared" si="2880"/>
        <v>1</v>
      </c>
      <c r="AB479" s="7">
        <f t="shared" si="2880"/>
        <v>1</v>
      </c>
      <c r="AC479" s="7">
        <f t="shared" si="23"/>
        <v>1</v>
      </c>
      <c r="AD479" s="7">
        <f t="shared" ref="AD479:AF479" si="2881">IF(AE479=1,1,RANDBETWEEN(0,1))</f>
        <v>1</v>
      </c>
      <c r="AE479" s="7">
        <f t="shared" si="2881"/>
        <v>1</v>
      </c>
      <c r="AF479" s="7">
        <f t="shared" si="2881"/>
        <v>0</v>
      </c>
      <c r="AG479" s="7">
        <f t="shared" si="25"/>
        <v>0</v>
      </c>
    </row>
    <row r="480">
      <c r="A480" s="4" t="s">
        <v>1336</v>
      </c>
      <c r="B480" s="4" t="s">
        <v>1337</v>
      </c>
      <c r="C480" s="4" t="s">
        <v>1338</v>
      </c>
      <c r="D480" s="5">
        <v>10922.0</v>
      </c>
      <c r="E480" s="6">
        <f t="shared" si="7"/>
        <v>973</v>
      </c>
      <c r="F480" s="7">
        <f t="shared" ref="F480:G480" si="2882">ROUND(RAND(),2)</f>
        <v>0.16</v>
      </c>
      <c r="G480" s="7">
        <f t="shared" si="2882"/>
        <v>0.43</v>
      </c>
      <c r="H480" s="7">
        <f t="shared" si="9"/>
        <v>2</v>
      </c>
      <c r="I480" s="7">
        <f t="shared" si="10"/>
        <v>56924</v>
      </c>
      <c r="J480" s="7">
        <f t="shared" si="11"/>
        <v>16368</v>
      </c>
      <c r="K480" s="7" t="str">
        <f t="shared" si="12"/>
        <v>B</v>
      </c>
      <c r="L480" s="7" t="str">
        <f t="shared" si="13"/>
        <v>Transformative change</v>
      </c>
      <c r="M480" s="7" t="str">
        <f t="shared" si="14"/>
        <v>High</v>
      </c>
      <c r="N480" s="7">
        <f t="shared" si="15"/>
        <v>1454590</v>
      </c>
      <c r="O480" s="7">
        <f t="shared" si="16"/>
        <v>984130.253</v>
      </c>
      <c r="P480" s="7">
        <f t="shared" ref="P480:Q480" si="2883">RANDBETWEEN(0,22)</f>
        <v>7</v>
      </c>
      <c r="Q480" s="7">
        <f t="shared" si="2883"/>
        <v>11</v>
      </c>
      <c r="R480" s="7">
        <f t="shared" ref="R480:T480" si="2884">IF(S480=1,1,RANDBETWEEN(0,1))</f>
        <v>1</v>
      </c>
      <c r="S480" s="7">
        <f t="shared" si="2884"/>
        <v>1</v>
      </c>
      <c r="T480" s="7">
        <f t="shared" si="2884"/>
        <v>1</v>
      </c>
      <c r="U480" s="7">
        <f t="shared" si="19"/>
        <v>1</v>
      </c>
      <c r="V480" s="7">
        <f t="shared" ref="V480:X480" si="2885">IF(W480=1,1,RANDBETWEEN(0,1))</f>
        <v>1</v>
      </c>
      <c r="W480" s="7">
        <f t="shared" si="2885"/>
        <v>1</v>
      </c>
      <c r="X480" s="7">
        <f t="shared" si="2885"/>
        <v>1</v>
      </c>
      <c r="Y480" s="7">
        <f t="shared" si="21"/>
        <v>1</v>
      </c>
      <c r="Z480" s="7">
        <f t="shared" ref="Z480:AB480" si="2886">IF(AA480=1,1,RANDBETWEEN(0,1))</f>
        <v>1</v>
      </c>
      <c r="AA480" s="7">
        <f t="shared" si="2886"/>
        <v>1</v>
      </c>
      <c r="AB480" s="7">
        <f t="shared" si="2886"/>
        <v>1</v>
      </c>
      <c r="AC480" s="7">
        <f t="shared" si="23"/>
        <v>1</v>
      </c>
      <c r="AD480" s="7">
        <f t="shared" ref="AD480:AF480" si="2887">IF(AE480=1,1,RANDBETWEEN(0,1))</f>
        <v>1</v>
      </c>
      <c r="AE480" s="7">
        <f t="shared" si="2887"/>
        <v>1</v>
      </c>
      <c r="AF480" s="7">
        <f t="shared" si="2887"/>
        <v>0</v>
      </c>
      <c r="AG480" s="7">
        <f t="shared" si="25"/>
        <v>0</v>
      </c>
    </row>
    <row r="481">
      <c r="A481" s="4" t="s">
        <v>1339</v>
      </c>
      <c r="B481" s="4" t="s">
        <v>1340</v>
      </c>
      <c r="C481" s="4" t="s">
        <v>1341</v>
      </c>
      <c r="D481" s="5">
        <v>15337.0</v>
      </c>
      <c r="E481" s="6">
        <f t="shared" si="7"/>
        <v>987</v>
      </c>
      <c r="F481" s="7">
        <f t="shared" ref="F481:G481" si="2888">ROUND(RAND(),2)</f>
        <v>0.02</v>
      </c>
      <c r="G481" s="7">
        <f t="shared" si="2888"/>
        <v>0.53</v>
      </c>
      <c r="H481" s="7">
        <f t="shared" si="9"/>
        <v>2</v>
      </c>
      <c r="I481" s="7">
        <f t="shared" si="10"/>
        <v>23081</v>
      </c>
      <c r="J481" s="7">
        <f t="shared" si="11"/>
        <v>38421</v>
      </c>
      <c r="K481" s="7" t="str">
        <f t="shared" si="12"/>
        <v>D</v>
      </c>
      <c r="L481" s="7" t="str">
        <f t="shared" si="13"/>
        <v>Transformative change</v>
      </c>
      <c r="M481" s="7" t="str">
        <f t="shared" si="14"/>
        <v>Medium</v>
      </c>
      <c r="N481" s="7">
        <f t="shared" si="15"/>
        <v>2630834</v>
      </c>
      <c r="O481" s="7">
        <f t="shared" si="16"/>
        <v>87805.28208</v>
      </c>
      <c r="P481" s="7">
        <f t="shared" ref="P481:Q481" si="2889">RANDBETWEEN(0,22)</f>
        <v>4</v>
      </c>
      <c r="Q481" s="7">
        <f t="shared" si="2889"/>
        <v>1</v>
      </c>
      <c r="R481" s="7">
        <f t="shared" ref="R481:T481" si="2890">IF(S481=1,1,RANDBETWEEN(0,1))</f>
        <v>0</v>
      </c>
      <c r="S481" s="7">
        <f t="shared" si="2890"/>
        <v>0</v>
      </c>
      <c r="T481" s="7">
        <f t="shared" si="2890"/>
        <v>0</v>
      </c>
      <c r="U481" s="7">
        <f t="shared" si="19"/>
        <v>0</v>
      </c>
      <c r="V481" s="7">
        <f t="shared" ref="V481:X481" si="2891">IF(W481=1,1,RANDBETWEEN(0,1))</f>
        <v>1</v>
      </c>
      <c r="W481" s="7">
        <f t="shared" si="2891"/>
        <v>1</v>
      </c>
      <c r="X481" s="7">
        <f t="shared" si="2891"/>
        <v>1</v>
      </c>
      <c r="Y481" s="7">
        <f t="shared" si="21"/>
        <v>0</v>
      </c>
      <c r="Z481" s="7">
        <f t="shared" ref="Z481:AB481" si="2892">IF(AA481=1,1,RANDBETWEEN(0,1))</f>
        <v>1</v>
      </c>
      <c r="AA481" s="7">
        <f t="shared" si="2892"/>
        <v>1</v>
      </c>
      <c r="AB481" s="7">
        <f t="shared" si="2892"/>
        <v>1</v>
      </c>
      <c r="AC481" s="7">
        <f t="shared" si="23"/>
        <v>1</v>
      </c>
      <c r="AD481" s="7">
        <f t="shared" ref="AD481:AF481" si="2893">IF(AE481=1,1,RANDBETWEEN(0,1))</f>
        <v>1</v>
      </c>
      <c r="AE481" s="7">
        <f t="shared" si="2893"/>
        <v>1</v>
      </c>
      <c r="AF481" s="7">
        <f t="shared" si="2893"/>
        <v>1</v>
      </c>
      <c r="AG481" s="7">
        <f t="shared" si="25"/>
        <v>1</v>
      </c>
    </row>
    <row r="482">
      <c r="A482" s="4" t="s">
        <v>1342</v>
      </c>
      <c r="B482" s="4" t="s">
        <v>1343</v>
      </c>
      <c r="C482" s="4" t="s">
        <v>1344</v>
      </c>
      <c r="D482" s="5">
        <v>5357.0</v>
      </c>
      <c r="E482" s="6">
        <f t="shared" si="7"/>
        <v>925</v>
      </c>
      <c r="F482" s="7">
        <f t="shared" ref="F482:G482" si="2894">ROUND(RAND(),2)</f>
        <v>0.13</v>
      </c>
      <c r="G482" s="7">
        <f t="shared" si="2894"/>
        <v>0.62</v>
      </c>
      <c r="H482" s="7">
        <f t="shared" si="9"/>
        <v>4</v>
      </c>
      <c r="I482" s="7">
        <f t="shared" si="10"/>
        <v>42155</v>
      </c>
      <c r="J482" s="7">
        <f t="shared" si="11"/>
        <v>33570</v>
      </c>
      <c r="K482" s="7" t="str">
        <f t="shared" si="12"/>
        <v>G</v>
      </c>
      <c r="L482" s="7" t="str">
        <f t="shared" si="13"/>
        <v>High ambition</v>
      </c>
      <c r="M482" s="7" t="str">
        <f t="shared" si="14"/>
        <v>Medium</v>
      </c>
      <c r="N482" s="7">
        <f t="shared" si="15"/>
        <v>3185468</v>
      </c>
      <c r="O482" s="7">
        <f t="shared" si="16"/>
        <v>2891512.433</v>
      </c>
      <c r="P482" s="7">
        <f t="shared" ref="P482:Q482" si="2895">RANDBETWEEN(0,22)</f>
        <v>0</v>
      </c>
      <c r="Q482" s="7">
        <f t="shared" si="2895"/>
        <v>15</v>
      </c>
      <c r="R482" s="7">
        <f t="shared" ref="R482:T482" si="2896">IF(S482=1,1,RANDBETWEEN(0,1))</f>
        <v>1</v>
      </c>
      <c r="S482" s="7">
        <f t="shared" si="2896"/>
        <v>1</v>
      </c>
      <c r="T482" s="7">
        <f t="shared" si="2896"/>
        <v>1</v>
      </c>
      <c r="U482" s="7">
        <f t="shared" si="19"/>
        <v>0</v>
      </c>
      <c r="V482" s="7">
        <f t="shared" ref="V482:X482" si="2897">IF(W482=1,1,RANDBETWEEN(0,1))</f>
        <v>1</v>
      </c>
      <c r="W482" s="7">
        <f t="shared" si="2897"/>
        <v>1</v>
      </c>
      <c r="X482" s="7">
        <f t="shared" si="2897"/>
        <v>1</v>
      </c>
      <c r="Y482" s="7">
        <f t="shared" si="21"/>
        <v>1</v>
      </c>
      <c r="Z482" s="7">
        <f t="shared" ref="Z482:AB482" si="2898">IF(AA482=1,1,RANDBETWEEN(0,1))</f>
        <v>1</v>
      </c>
      <c r="AA482" s="7">
        <f t="shared" si="2898"/>
        <v>1</v>
      </c>
      <c r="AB482" s="7">
        <f t="shared" si="2898"/>
        <v>1</v>
      </c>
      <c r="AC482" s="7">
        <f t="shared" si="23"/>
        <v>1</v>
      </c>
      <c r="AD482" s="7">
        <f t="shared" ref="AD482:AF482" si="2899">IF(AE482=1,1,RANDBETWEEN(0,1))</f>
        <v>1</v>
      </c>
      <c r="AE482" s="7">
        <f t="shared" si="2899"/>
        <v>1</v>
      </c>
      <c r="AF482" s="7">
        <f t="shared" si="2899"/>
        <v>1</v>
      </c>
      <c r="AG482" s="7">
        <f t="shared" si="25"/>
        <v>0</v>
      </c>
    </row>
    <row r="483">
      <c r="A483" s="4" t="s">
        <v>1345</v>
      </c>
      <c r="B483" s="4" t="s">
        <v>1346</v>
      </c>
      <c r="C483" s="4" t="s">
        <v>1347</v>
      </c>
      <c r="D483" s="5">
        <v>19536.0</v>
      </c>
      <c r="E483" s="6">
        <f t="shared" si="7"/>
        <v>822</v>
      </c>
      <c r="F483" s="7">
        <f t="shared" ref="F483:G483" si="2900">ROUND(RAND(),2)</f>
        <v>0.83</v>
      </c>
      <c r="G483" s="7">
        <f t="shared" si="2900"/>
        <v>0.51</v>
      </c>
      <c r="H483" s="7">
        <f t="shared" si="9"/>
        <v>5</v>
      </c>
      <c r="I483" s="7">
        <f t="shared" si="10"/>
        <v>92509</v>
      </c>
      <c r="J483" s="7">
        <f t="shared" si="11"/>
        <v>56860</v>
      </c>
      <c r="K483" s="7" t="str">
        <f t="shared" si="12"/>
        <v>G</v>
      </c>
      <c r="L483" s="7" t="str">
        <f t="shared" si="13"/>
        <v>Transformative change</v>
      </c>
      <c r="M483" s="7" t="str">
        <f t="shared" si="14"/>
        <v>Medium</v>
      </c>
      <c r="N483" s="7">
        <f t="shared" si="15"/>
        <v>1537609</v>
      </c>
      <c r="O483" s="7">
        <f t="shared" si="16"/>
        <v>796892.2474</v>
      </c>
      <c r="P483" s="7">
        <f t="shared" ref="P483:Q483" si="2901">RANDBETWEEN(0,22)</f>
        <v>2</v>
      </c>
      <c r="Q483" s="7">
        <f t="shared" si="2901"/>
        <v>14</v>
      </c>
      <c r="R483" s="7">
        <f t="shared" ref="R483:T483" si="2902">IF(S483=1,1,RANDBETWEEN(0,1))</f>
        <v>1</v>
      </c>
      <c r="S483" s="7">
        <f t="shared" si="2902"/>
        <v>1</v>
      </c>
      <c r="T483" s="7">
        <f t="shared" si="2902"/>
        <v>1</v>
      </c>
      <c r="U483" s="7">
        <f t="shared" si="19"/>
        <v>0</v>
      </c>
      <c r="V483" s="7">
        <f t="shared" ref="V483:X483" si="2903">IF(W483=1,1,RANDBETWEEN(0,1))</f>
        <v>1</v>
      </c>
      <c r="W483" s="7">
        <f t="shared" si="2903"/>
        <v>1</v>
      </c>
      <c r="X483" s="7">
        <f t="shared" si="2903"/>
        <v>1</v>
      </c>
      <c r="Y483" s="7">
        <f t="shared" si="21"/>
        <v>1</v>
      </c>
      <c r="Z483" s="7">
        <f t="shared" ref="Z483:AB483" si="2904">IF(AA483=1,1,RANDBETWEEN(0,1))</f>
        <v>1</v>
      </c>
      <c r="AA483" s="7">
        <f t="shared" si="2904"/>
        <v>1</v>
      </c>
      <c r="AB483" s="7">
        <f t="shared" si="2904"/>
        <v>1</v>
      </c>
      <c r="AC483" s="7">
        <f t="shared" si="23"/>
        <v>1</v>
      </c>
      <c r="AD483" s="7">
        <f t="shared" ref="AD483:AF483" si="2905">IF(AE483=1,1,RANDBETWEEN(0,1))</f>
        <v>0</v>
      </c>
      <c r="AE483" s="7">
        <f t="shared" si="2905"/>
        <v>0</v>
      </c>
      <c r="AF483" s="7">
        <f t="shared" si="2905"/>
        <v>0</v>
      </c>
      <c r="AG483" s="7">
        <f t="shared" si="25"/>
        <v>0</v>
      </c>
    </row>
    <row r="484">
      <c r="A484" s="4" t="s">
        <v>1348</v>
      </c>
      <c r="B484" s="4" t="s">
        <v>1349</v>
      </c>
      <c r="C484" s="4" t="s">
        <v>1350</v>
      </c>
      <c r="D484" s="5">
        <v>59418.0</v>
      </c>
      <c r="E484" s="6">
        <f t="shared" si="7"/>
        <v>943</v>
      </c>
      <c r="F484" s="7">
        <f t="shared" ref="F484:G484" si="2906">ROUND(RAND(),2)</f>
        <v>0.92</v>
      </c>
      <c r="G484" s="7">
        <f t="shared" si="2906"/>
        <v>0.78</v>
      </c>
      <c r="H484" s="7">
        <f t="shared" si="9"/>
        <v>1</v>
      </c>
      <c r="I484" s="7">
        <f t="shared" si="10"/>
        <v>25978</v>
      </c>
      <c r="J484" s="7">
        <f t="shared" si="11"/>
        <v>8440</v>
      </c>
      <c r="K484" s="7" t="str">
        <f t="shared" si="12"/>
        <v>F</v>
      </c>
      <c r="L484" s="7" t="str">
        <f t="shared" si="13"/>
        <v>Transformative change</v>
      </c>
      <c r="M484" s="7" t="str">
        <f t="shared" si="14"/>
        <v>Low</v>
      </c>
      <c r="N484" s="7">
        <f t="shared" si="15"/>
        <v>1721701</v>
      </c>
      <c r="O484" s="7">
        <f t="shared" si="16"/>
        <v>1011095.317</v>
      </c>
      <c r="P484" s="7">
        <f t="shared" ref="P484:Q484" si="2907">RANDBETWEEN(0,22)</f>
        <v>18</v>
      </c>
      <c r="Q484" s="7">
        <f t="shared" si="2907"/>
        <v>4</v>
      </c>
      <c r="R484" s="7">
        <f t="shared" ref="R484:T484" si="2908">IF(S484=1,1,RANDBETWEEN(0,1))</f>
        <v>0</v>
      </c>
      <c r="S484" s="7">
        <f t="shared" si="2908"/>
        <v>0</v>
      </c>
      <c r="T484" s="7">
        <f t="shared" si="2908"/>
        <v>0</v>
      </c>
      <c r="U484" s="7">
        <f t="shared" si="19"/>
        <v>0</v>
      </c>
      <c r="V484" s="7">
        <f t="shared" ref="V484:X484" si="2909">IF(W484=1,1,RANDBETWEEN(0,1))</f>
        <v>1</v>
      </c>
      <c r="W484" s="7">
        <f t="shared" si="2909"/>
        <v>0</v>
      </c>
      <c r="X484" s="7">
        <f t="shared" si="2909"/>
        <v>0</v>
      </c>
      <c r="Y484" s="7">
        <f t="shared" si="21"/>
        <v>0</v>
      </c>
      <c r="Z484" s="7">
        <f t="shared" ref="Z484:AB484" si="2910">IF(AA484=1,1,RANDBETWEEN(0,1))</f>
        <v>1</v>
      </c>
      <c r="AA484" s="7">
        <f t="shared" si="2910"/>
        <v>1</v>
      </c>
      <c r="AB484" s="7">
        <f t="shared" si="2910"/>
        <v>1</v>
      </c>
      <c r="AC484" s="7">
        <f t="shared" si="23"/>
        <v>1</v>
      </c>
      <c r="AD484" s="7">
        <f t="shared" ref="AD484:AF484" si="2911">IF(AE484=1,1,RANDBETWEEN(0,1))</f>
        <v>1</v>
      </c>
      <c r="AE484" s="7">
        <f t="shared" si="2911"/>
        <v>1</v>
      </c>
      <c r="AF484" s="7">
        <f t="shared" si="2911"/>
        <v>0</v>
      </c>
      <c r="AG484" s="7">
        <f t="shared" si="25"/>
        <v>0</v>
      </c>
    </row>
    <row r="485">
      <c r="A485" s="4" t="s">
        <v>1351</v>
      </c>
      <c r="B485" s="4" t="s">
        <v>1352</v>
      </c>
      <c r="C485" s="4" t="s">
        <v>95</v>
      </c>
      <c r="D485" s="5">
        <v>19598.0</v>
      </c>
      <c r="E485" s="6">
        <f t="shared" si="7"/>
        <v>1034</v>
      </c>
      <c r="F485" s="7">
        <f t="shared" ref="F485:G485" si="2912">ROUND(RAND(),2)</f>
        <v>0.12</v>
      </c>
      <c r="G485" s="7">
        <f t="shared" si="2912"/>
        <v>0.32</v>
      </c>
      <c r="H485" s="7">
        <f t="shared" si="9"/>
        <v>1</v>
      </c>
      <c r="I485" s="7">
        <f t="shared" si="10"/>
        <v>80527</v>
      </c>
      <c r="J485" s="7">
        <f t="shared" si="11"/>
        <v>970</v>
      </c>
      <c r="K485" s="7" t="str">
        <f t="shared" si="12"/>
        <v>C</v>
      </c>
      <c r="L485" s="7" t="str">
        <f t="shared" si="13"/>
        <v>High ambition</v>
      </c>
      <c r="M485" s="7" t="str">
        <f t="shared" si="14"/>
        <v>High</v>
      </c>
      <c r="N485" s="7">
        <f t="shared" si="15"/>
        <v>3366494</v>
      </c>
      <c r="O485" s="7">
        <f t="shared" si="16"/>
        <v>3317160.084</v>
      </c>
      <c r="P485" s="7">
        <f t="shared" ref="P485:Q485" si="2913">RANDBETWEEN(0,22)</f>
        <v>21</v>
      </c>
      <c r="Q485" s="7">
        <f t="shared" si="2913"/>
        <v>0</v>
      </c>
      <c r="R485" s="7">
        <f t="shared" ref="R485:T485" si="2914">IF(S485=1,1,RANDBETWEEN(0,1))</f>
        <v>0</v>
      </c>
      <c r="S485" s="7">
        <f t="shared" si="2914"/>
        <v>0</v>
      </c>
      <c r="T485" s="7">
        <f t="shared" si="2914"/>
        <v>0</v>
      </c>
      <c r="U485" s="7">
        <f t="shared" si="19"/>
        <v>0</v>
      </c>
      <c r="V485" s="7">
        <f t="shared" ref="V485:X485" si="2915">IF(W485=1,1,RANDBETWEEN(0,1))</f>
        <v>1</v>
      </c>
      <c r="W485" s="7">
        <f t="shared" si="2915"/>
        <v>1</v>
      </c>
      <c r="X485" s="7">
        <f t="shared" si="2915"/>
        <v>0</v>
      </c>
      <c r="Y485" s="7">
        <f t="shared" si="21"/>
        <v>0</v>
      </c>
      <c r="Z485" s="7">
        <f t="shared" ref="Z485:AB485" si="2916">IF(AA485=1,1,RANDBETWEEN(0,1))</f>
        <v>1</v>
      </c>
      <c r="AA485" s="7">
        <f t="shared" si="2916"/>
        <v>1</v>
      </c>
      <c r="AB485" s="7">
        <f t="shared" si="2916"/>
        <v>1</v>
      </c>
      <c r="AC485" s="7">
        <f t="shared" si="23"/>
        <v>1</v>
      </c>
      <c r="AD485" s="7">
        <f t="shared" ref="AD485:AF485" si="2917">IF(AE485=1,1,RANDBETWEEN(0,1))</f>
        <v>1</v>
      </c>
      <c r="AE485" s="7">
        <f t="shared" si="2917"/>
        <v>1</v>
      </c>
      <c r="AF485" s="7">
        <f t="shared" si="2917"/>
        <v>1</v>
      </c>
      <c r="AG485" s="7">
        <f t="shared" si="25"/>
        <v>0</v>
      </c>
    </row>
    <row r="486">
      <c r="A486" s="4" t="s">
        <v>1353</v>
      </c>
      <c r="B486" s="4" t="s">
        <v>1354</v>
      </c>
      <c r="C486" s="4" t="s">
        <v>1355</v>
      </c>
      <c r="D486" s="5">
        <v>5871.0</v>
      </c>
      <c r="E486" s="6">
        <f t="shared" si="7"/>
        <v>851</v>
      </c>
      <c r="F486" s="7">
        <f t="shared" ref="F486:G486" si="2918">ROUND(RAND(),2)</f>
        <v>0.34</v>
      </c>
      <c r="G486" s="7">
        <f t="shared" si="2918"/>
        <v>0.99</v>
      </c>
      <c r="H486" s="7">
        <f t="shared" si="9"/>
        <v>2</v>
      </c>
      <c r="I486" s="7">
        <f t="shared" si="10"/>
        <v>20715</v>
      </c>
      <c r="J486" s="7">
        <f t="shared" si="11"/>
        <v>9465</v>
      </c>
      <c r="K486" s="7" t="str">
        <f t="shared" si="12"/>
        <v>F</v>
      </c>
      <c r="L486" s="7" t="str">
        <f t="shared" si="13"/>
        <v>Transformative change</v>
      </c>
      <c r="M486" s="7" t="str">
        <f t="shared" si="14"/>
        <v>Medium</v>
      </c>
      <c r="N486" s="7">
        <f t="shared" si="15"/>
        <v>3857393</v>
      </c>
      <c r="O486" s="7">
        <f t="shared" si="16"/>
        <v>2996736.693</v>
      </c>
      <c r="P486" s="7">
        <f t="shared" ref="P486:Q486" si="2919">RANDBETWEEN(0,22)</f>
        <v>15</v>
      </c>
      <c r="Q486" s="7">
        <f t="shared" si="2919"/>
        <v>7</v>
      </c>
      <c r="R486" s="7">
        <f t="shared" ref="R486:T486" si="2920">IF(S486=1,1,RANDBETWEEN(0,1))</f>
        <v>1</v>
      </c>
      <c r="S486" s="7">
        <f t="shared" si="2920"/>
        <v>1</v>
      </c>
      <c r="T486" s="7">
        <f t="shared" si="2920"/>
        <v>1</v>
      </c>
      <c r="U486" s="7">
        <f t="shared" si="19"/>
        <v>1</v>
      </c>
      <c r="V486" s="7">
        <f t="shared" ref="V486:X486" si="2921">IF(W486=1,1,RANDBETWEEN(0,1))</f>
        <v>1</v>
      </c>
      <c r="W486" s="7">
        <f t="shared" si="2921"/>
        <v>1</v>
      </c>
      <c r="X486" s="7">
        <f t="shared" si="2921"/>
        <v>1</v>
      </c>
      <c r="Y486" s="7">
        <f t="shared" si="21"/>
        <v>1</v>
      </c>
      <c r="Z486" s="7">
        <f t="shared" ref="Z486:AB486" si="2922">IF(AA486=1,1,RANDBETWEEN(0,1))</f>
        <v>1</v>
      </c>
      <c r="AA486" s="7">
        <f t="shared" si="2922"/>
        <v>1</v>
      </c>
      <c r="AB486" s="7">
        <f t="shared" si="2922"/>
        <v>1</v>
      </c>
      <c r="AC486" s="7">
        <f t="shared" si="23"/>
        <v>1</v>
      </c>
      <c r="AD486" s="7">
        <f t="shared" ref="AD486:AF486" si="2923">IF(AE486=1,1,RANDBETWEEN(0,1))</f>
        <v>0</v>
      </c>
      <c r="AE486" s="7">
        <f t="shared" si="2923"/>
        <v>0</v>
      </c>
      <c r="AF486" s="7">
        <f t="shared" si="2923"/>
        <v>0</v>
      </c>
      <c r="AG486" s="7">
        <f t="shared" si="25"/>
        <v>0</v>
      </c>
    </row>
    <row r="487">
      <c r="A487" s="4" t="s">
        <v>1356</v>
      </c>
      <c r="B487" s="4" t="s">
        <v>1357</v>
      </c>
      <c r="C487" s="4" t="s">
        <v>95</v>
      </c>
      <c r="D487" s="5">
        <v>8190.0</v>
      </c>
      <c r="E487" s="6">
        <f t="shared" si="7"/>
        <v>874</v>
      </c>
      <c r="F487" s="7">
        <f t="shared" ref="F487:G487" si="2924">ROUND(RAND(),2)</f>
        <v>0.59</v>
      </c>
      <c r="G487" s="7">
        <f t="shared" si="2924"/>
        <v>0.39</v>
      </c>
      <c r="H487" s="7">
        <f t="shared" si="9"/>
        <v>5</v>
      </c>
      <c r="I487" s="7">
        <f t="shared" si="10"/>
        <v>9747</v>
      </c>
      <c r="J487" s="7">
        <f t="shared" si="11"/>
        <v>59137</v>
      </c>
      <c r="K487" s="7" t="str">
        <f t="shared" si="12"/>
        <v>A</v>
      </c>
      <c r="L487" s="7" t="str">
        <f t="shared" si="13"/>
        <v>Transformative change</v>
      </c>
      <c r="M487" s="7" t="str">
        <f t="shared" si="14"/>
        <v>Low</v>
      </c>
      <c r="N487" s="7">
        <f t="shared" si="15"/>
        <v>3138978</v>
      </c>
      <c r="O487" s="7">
        <f t="shared" si="16"/>
        <v>2427111.559</v>
      </c>
      <c r="P487" s="7">
        <f t="shared" ref="P487:Q487" si="2925">RANDBETWEEN(0,22)</f>
        <v>3</v>
      </c>
      <c r="Q487" s="7">
        <f t="shared" si="2925"/>
        <v>7</v>
      </c>
      <c r="R487" s="7">
        <f t="shared" ref="R487:T487" si="2926">IF(S487=1,1,RANDBETWEEN(0,1))</f>
        <v>1</v>
      </c>
      <c r="S487" s="7">
        <f t="shared" si="2926"/>
        <v>1</v>
      </c>
      <c r="T487" s="7">
        <f t="shared" si="2926"/>
        <v>1</v>
      </c>
      <c r="U487" s="7">
        <f t="shared" si="19"/>
        <v>1</v>
      </c>
      <c r="V487" s="7">
        <f t="shared" ref="V487:X487" si="2927">IF(W487=1,1,RANDBETWEEN(0,1))</f>
        <v>1</v>
      </c>
      <c r="W487" s="7">
        <f t="shared" si="2927"/>
        <v>1</v>
      </c>
      <c r="X487" s="7">
        <f t="shared" si="2927"/>
        <v>1</v>
      </c>
      <c r="Y487" s="7">
        <f t="shared" si="21"/>
        <v>1</v>
      </c>
      <c r="Z487" s="7">
        <f t="shared" ref="Z487:AB487" si="2928">IF(AA487=1,1,RANDBETWEEN(0,1))</f>
        <v>1</v>
      </c>
      <c r="AA487" s="7">
        <f t="shared" si="2928"/>
        <v>1</v>
      </c>
      <c r="AB487" s="7">
        <f t="shared" si="2928"/>
        <v>1</v>
      </c>
      <c r="AC487" s="7">
        <f t="shared" si="23"/>
        <v>0</v>
      </c>
      <c r="AD487" s="7">
        <f t="shared" ref="AD487:AF487" si="2929">IF(AE487=1,1,RANDBETWEEN(0,1))</f>
        <v>1</v>
      </c>
      <c r="AE487" s="7">
        <f t="shared" si="2929"/>
        <v>1</v>
      </c>
      <c r="AF487" s="7">
        <f t="shared" si="2929"/>
        <v>1</v>
      </c>
      <c r="AG487" s="7">
        <f t="shared" si="25"/>
        <v>1</v>
      </c>
    </row>
    <row r="488">
      <c r="A488" s="4" t="s">
        <v>1358</v>
      </c>
      <c r="B488" s="4" t="s">
        <v>1359</v>
      </c>
      <c r="C488" s="4" t="s">
        <v>1360</v>
      </c>
      <c r="D488" s="5">
        <v>11180.0</v>
      </c>
      <c r="E488" s="6">
        <f t="shared" si="7"/>
        <v>983</v>
      </c>
      <c r="F488" s="7">
        <f t="shared" ref="F488:G488" si="2930">ROUND(RAND(),2)</f>
        <v>0.32</v>
      </c>
      <c r="G488" s="7">
        <f t="shared" si="2930"/>
        <v>0.95</v>
      </c>
      <c r="H488" s="7">
        <f t="shared" si="9"/>
        <v>1</v>
      </c>
      <c r="I488" s="7">
        <f t="shared" si="10"/>
        <v>15285</v>
      </c>
      <c r="J488" s="7">
        <f t="shared" si="11"/>
        <v>26536</v>
      </c>
      <c r="K488" s="7" t="str">
        <f t="shared" si="12"/>
        <v>B</v>
      </c>
      <c r="L488" s="7" t="str">
        <f t="shared" si="13"/>
        <v>Transformative change</v>
      </c>
      <c r="M488" s="7" t="str">
        <f t="shared" si="14"/>
        <v>High</v>
      </c>
      <c r="N488" s="7">
        <f t="shared" si="15"/>
        <v>294976</v>
      </c>
      <c r="O488" s="7">
        <f t="shared" si="16"/>
        <v>31130.77504</v>
      </c>
      <c r="P488" s="7">
        <f t="shared" ref="P488:Q488" si="2931">RANDBETWEEN(0,22)</f>
        <v>20</v>
      </c>
      <c r="Q488" s="7">
        <f t="shared" si="2931"/>
        <v>22</v>
      </c>
      <c r="R488" s="7">
        <f t="shared" ref="R488:T488" si="2932">IF(S488=1,1,RANDBETWEEN(0,1))</f>
        <v>1</v>
      </c>
      <c r="S488" s="7">
        <f t="shared" si="2932"/>
        <v>1</v>
      </c>
      <c r="T488" s="7">
        <f t="shared" si="2932"/>
        <v>1</v>
      </c>
      <c r="U488" s="7">
        <f t="shared" si="19"/>
        <v>1</v>
      </c>
      <c r="V488" s="7">
        <f t="shared" ref="V488:X488" si="2933">IF(W488=1,1,RANDBETWEEN(0,1))</f>
        <v>1</v>
      </c>
      <c r="W488" s="7">
        <f t="shared" si="2933"/>
        <v>1</v>
      </c>
      <c r="X488" s="7">
        <f t="shared" si="2933"/>
        <v>1</v>
      </c>
      <c r="Y488" s="7">
        <f t="shared" si="21"/>
        <v>1</v>
      </c>
      <c r="Z488" s="7">
        <f t="shared" ref="Z488:AB488" si="2934">IF(AA488=1,1,RANDBETWEEN(0,1))</f>
        <v>1</v>
      </c>
      <c r="AA488" s="7">
        <f t="shared" si="2934"/>
        <v>1</v>
      </c>
      <c r="AB488" s="7">
        <f t="shared" si="2934"/>
        <v>1</v>
      </c>
      <c r="AC488" s="7">
        <f t="shared" si="23"/>
        <v>1</v>
      </c>
      <c r="AD488" s="7">
        <f t="shared" ref="AD488:AF488" si="2935">IF(AE488=1,1,RANDBETWEEN(0,1))</f>
        <v>1</v>
      </c>
      <c r="AE488" s="7">
        <f t="shared" si="2935"/>
        <v>1</v>
      </c>
      <c r="AF488" s="7">
        <f t="shared" si="2935"/>
        <v>1</v>
      </c>
      <c r="AG488" s="7">
        <f t="shared" si="25"/>
        <v>1</v>
      </c>
    </row>
    <row r="489">
      <c r="A489" s="4" t="s">
        <v>1361</v>
      </c>
      <c r="B489" s="4" t="s">
        <v>1362</v>
      </c>
      <c r="C489" s="4" t="s">
        <v>95</v>
      </c>
      <c r="D489" s="5">
        <v>19622.0</v>
      </c>
      <c r="E489" s="6">
        <f t="shared" si="7"/>
        <v>892</v>
      </c>
      <c r="F489" s="7">
        <f t="shared" ref="F489:G489" si="2936">ROUND(RAND(),2)</f>
        <v>0.2</v>
      </c>
      <c r="G489" s="7">
        <f t="shared" si="2936"/>
        <v>0.23</v>
      </c>
      <c r="H489" s="7">
        <f t="shared" si="9"/>
        <v>4</v>
      </c>
      <c r="I489" s="7">
        <f t="shared" si="10"/>
        <v>89081</v>
      </c>
      <c r="J489" s="7">
        <f t="shared" si="11"/>
        <v>66935</v>
      </c>
      <c r="K489" s="7" t="str">
        <f t="shared" si="12"/>
        <v>E</v>
      </c>
      <c r="L489" s="7" t="str">
        <f t="shared" si="13"/>
        <v>High ambition</v>
      </c>
      <c r="M489" s="7" t="str">
        <f t="shared" si="14"/>
        <v>Medium</v>
      </c>
      <c r="N489" s="7">
        <f t="shared" si="15"/>
        <v>3041699</v>
      </c>
      <c r="O489" s="7">
        <f t="shared" si="16"/>
        <v>249557.7752</v>
      </c>
      <c r="P489" s="7">
        <f t="shared" ref="P489:Q489" si="2937">RANDBETWEEN(0,22)</f>
        <v>16</v>
      </c>
      <c r="Q489" s="7">
        <f t="shared" si="2937"/>
        <v>13</v>
      </c>
      <c r="R489" s="7">
        <f t="shared" ref="R489:T489" si="2938">IF(S489=1,1,RANDBETWEEN(0,1))</f>
        <v>1</v>
      </c>
      <c r="S489" s="7">
        <f t="shared" si="2938"/>
        <v>1</v>
      </c>
      <c r="T489" s="7">
        <f t="shared" si="2938"/>
        <v>0</v>
      </c>
      <c r="U489" s="7">
        <f t="shared" si="19"/>
        <v>0</v>
      </c>
      <c r="V489" s="7">
        <f t="shared" ref="V489:X489" si="2939">IF(W489=1,1,RANDBETWEEN(0,1))</f>
        <v>1</v>
      </c>
      <c r="W489" s="7">
        <f t="shared" si="2939"/>
        <v>1</v>
      </c>
      <c r="X489" s="7">
        <f t="shared" si="2939"/>
        <v>0</v>
      </c>
      <c r="Y489" s="7">
        <f t="shared" si="21"/>
        <v>0</v>
      </c>
      <c r="Z489" s="7">
        <f t="shared" ref="Z489:AB489" si="2940">IF(AA489=1,1,RANDBETWEEN(0,1))</f>
        <v>1</v>
      </c>
      <c r="AA489" s="7">
        <f t="shared" si="2940"/>
        <v>1</v>
      </c>
      <c r="AB489" s="7">
        <f t="shared" si="2940"/>
        <v>1</v>
      </c>
      <c r="AC489" s="7">
        <f t="shared" si="23"/>
        <v>0</v>
      </c>
      <c r="AD489" s="7">
        <f t="shared" ref="AD489:AF489" si="2941">IF(AE489=1,1,RANDBETWEEN(0,1))</f>
        <v>1</v>
      </c>
      <c r="AE489" s="7">
        <f t="shared" si="2941"/>
        <v>1</v>
      </c>
      <c r="AF489" s="7">
        <f t="shared" si="2941"/>
        <v>1</v>
      </c>
      <c r="AG489" s="7">
        <f t="shared" si="25"/>
        <v>1</v>
      </c>
    </row>
    <row r="490">
      <c r="A490" s="4" t="s">
        <v>1363</v>
      </c>
      <c r="B490" s="4" t="s">
        <v>1364</v>
      </c>
      <c r="C490" s="4" t="s">
        <v>1365</v>
      </c>
      <c r="D490" s="5">
        <v>9021.0</v>
      </c>
      <c r="E490" s="6">
        <f t="shared" si="7"/>
        <v>1036</v>
      </c>
      <c r="F490" s="7">
        <f t="shared" ref="F490:G490" si="2942">ROUND(RAND(),2)</f>
        <v>0.29</v>
      </c>
      <c r="G490" s="7">
        <f t="shared" si="2942"/>
        <v>0.99</v>
      </c>
      <c r="H490" s="7">
        <f t="shared" si="9"/>
        <v>3</v>
      </c>
      <c r="I490" s="7">
        <f t="shared" si="10"/>
        <v>20329</v>
      </c>
      <c r="J490" s="7">
        <f t="shared" si="11"/>
        <v>8851</v>
      </c>
      <c r="K490" s="7" t="str">
        <f t="shared" si="12"/>
        <v>E</v>
      </c>
      <c r="L490" s="7" t="str">
        <f t="shared" si="13"/>
        <v>Transformative change</v>
      </c>
      <c r="M490" s="7" t="str">
        <f t="shared" si="14"/>
        <v>Low</v>
      </c>
      <c r="N490" s="7">
        <f t="shared" si="15"/>
        <v>1213872</v>
      </c>
      <c r="O490" s="7">
        <f t="shared" si="16"/>
        <v>477448.4776</v>
      </c>
      <c r="P490" s="7">
        <f t="shared" ref="P490:Q490" si="2943">RANDBETWEEN(0,22)</f>
        <v>1</v>
      </c>
      <c r="Q490" s="7">
        <f t="shared" si="2943"/>
        <v>4</v>
      </c>
      <c r="R490" s="7">
        <f t="shared" ref="R490:T490" si="2944">IF(S490=1,1,RANDBETWEEN(0,1))</f>
        <v>1</v>
      </c>
      <c r="S490" s="7">
        <f t="shared" si="2944"/>
        <v>1</v>
      </c>
      <c r="T490" s="7">
        <f t="shared" si="2944"/>
        <v>1</v>
      </c>
      <c r="U490" s="7">
        <f t="shared" si="19"/>
        <v>1</v>
      </c>
      <c r="V490" s="7">
        <f t="shared" ref="V490:X490" si="2945">IF(W490=1,1,RANDBETWEEN(0,1))</f>
        <v>1</v>
      </c>
      <c r="W490" s="7">
        <f t="shared" si="2945"/>
        <v>1</v>
      </c>
      <c r="X490" s="7">
        <f t="shared" si="2945"/>
        <v>1</v>
      </c>
      <c r="Y490" s="7">
        <f t="shared" si="21"/>
        <v>1</v>
      </c>
      <c r="Z490" s="7">
        <f t="shared" ref="Z490:AB490" si="2946">IF(AA490=1,1,RANDBETWEEN(0,1))</f>
        <v>1</v>
      </c>
      <c r="AA490" s="7">
        <f t="shared" si="2946"/>
        <v>1</v>
      </c>
      <c r="AB490" s="7">
        <f t="shared" si="2946"/>
        <v>1</v>
      </c>
      <c r="AC490" s="7">
        <f t="shared" si="23"/>
        <v>0</v>
      </c>
      <c r="AD490" s="7">
        <f t="shared" ref="AD490:AF490" si="2947">IF(AE490=1,1,RANDBETWEEN(0,1))</f>
        <v>1</v>
      </c>
      <c r="AE490" s="7">
        <f t="shared" si="2947"/>
        <v>1</v>
      </c>
      <c r="AF490" s="7">
        <f t="shared" si="2947"/>
        <v>1</v>
      </c>
      <c r="AG490" s="7">
        <f t="shared" si="25"/>
        <v>1</v>
      </c>
    </row>
    <row r="491">
      <c r="A491" s="4" t="s">
        <v>1366</v>
      </c>
      <c r="B491" s="4" t="s">
        <v>1367</v>
      </c>
      <c r="C491" s="4" t="s">
        <v>1368</v>
      </c>
      <c r="D491" s="5">
        <v>375458.0</v>
      </c>
      <c r="E491" s="6">
        <f t="shared" si="7"/>
        <v>2208.58</v>
      </c>
      <c r="F491" s="7">
        <f t="shared" ref="F491:G491" si="2948">ROUND(RAND(),2)</f>
        <v>0.14</v>
      </c>
      <c r="G491" s="7">
        <f t="shared" si="2948"/>
        <v>0.01</v>
      </c>
      <c r="H491" s="7">
        <f t="shared" si="9"/>
        <v>3</v>
      </c>
      <c r="I491" s="7">
        <f t="shared" si="10"/>
        <v>26084</v>
      </c>
      <c r="J491" s="7">
        <f t="shared" si="11"/>
        <v>18979</v>
      </c>
      <c r="K491" s="7" t="str">
        <f t="shared" si="12"/>
        <v>E</v>
      </c>
      <c r="L491" s="7" t="str">
        <f t="shared" si="13"/>
        <v>Transformative change</v>
      </c>
      <c r="M491" s="7" t="str">
        <f t="shared" si="14"/>
        <v>Medium</v>
      </c>
      <c r="N491" s="7">
        <f t="shared" si="15"/>
        <v>687612</v>
      </c>
      <c r="O491" s="7">
        <f t="shared" si="16"/>
        <v>588141.7195</v>
      </c>
      <c r="P491" s="7">
        <f t="shared" ref="P491:Q491" si="2949">RANDBETWEEN(0,22)</f>
        <v>5</v>
      </c>
      <c r="Q491" s="7">
        <f t="shared" si="2949"/>
        <v>7</v>
      </c>
      <c r="R491" s="7">
        <f t="shared" ref="R491:T491" si="2950">IF(S491=1,1,RANDBETWEEN(0,1))</f>
        <v>1</v>
      </c>
      <c r="S491" s="7">
        <f t="shared" si="2950"/>
        <v>1</v>
      </c>
      <c r="T491" s="7">
        <f t="shared" si="2950"/>
        <v>1</v>
      </c>
      <c r="U491" s="7">
        <f t="shared" si="19"/>
        <v>0</v>
      </c>
      <c r="V491" s="7">
        <f t="shared" ref="V491:X491" si="2951">IF(W491=1,1,RANDBETWEEN(0,1))</f>
        <v>1</v>
      </c>
      <c r="W491" s="7">
        <f t="shared" si="2951"/>
        <v>1</v>
      </c>
      <c r="X491" s="7">
        <f t="shared" si="2951"/>
        <v>1</v>
      </c>
      <c r="Y491" s="7">
        <f t="shared" si="21"/>
        <v>1</v>
      </c>
      <c r="Z491" s="7">
        <f t="shared" ref="Z491:AB491" si="2952">IF(AA491=1,1,RANDBETWEEN(0,1))</f>
        <v>0</v>
      </c>
      <c r="AA491" s="7">
        <f t="shared" si="2952"/>
        <v>0</v>
      </c>
      <c r="AB491" s="7">
        <f t="shared" si="2952"/>
        <v>0</v>
      </c>
      <c r="AC491" s="7">
        <f t="shared" si="23"/>
        <v>0</v>
      </c>
      <c r="AD491" s="7">
        <f t="shared" ref="AD491:AF491" si="2953">IF(AE491=1,1,RANDBETWEEN(0,1))</f>
        <v>1</v>
      </c>
      <c r="AE491" s="7">
        <f t="shared" si="2953"/>
        <v>1</v>
      </c>
      <c r="AF491" s="7">
        <f t="shared" si="2953"/>
        <v>1</v>
      </c>
      <c r="AG491" s="7">
        <f t="shared" si="25"/>
        <v>0</v>
      </c>
    </row>
    <row r="492">
      <c r="A492" s="4" t="s">
        <v>1369</v>
      </c>
      <c r="B492" s="4" t="s">
        <v>1370</v>
      </c>
      <c r="C492" s="4" t="s">
        <v>905</v>
      </c>
      <c r="D492" s="5">
        <v>82336.0</v>
      </c>
      <c r="E492" s="6">
        <f t="shared" si="7"/>
        <v>1042</v>
      </c>
      <c r="F492" s="7">
        <f t="shared" ref="F492:G492" si="2954">ROUND(RAND(),2)</f>
        <v>0.57</v>
      </c>
      <c r="G492" s="7">
        <f t="shared" si="2954"/>
        <v>0.27</v>
      </c>
      <c r="H492" s="7">
        <f t="shared" si="9"/>
        <v>4</v>
      </c>
      <c r="I492" s="7">
        <f t="shared" si="10"/>
        <v>6876</v>
      </c>
      <c r="J492" s="7">
        <f t="shared" si="11"/>
        <v>18377</v>
      </c>
      <c r="K492" s="7" t="str">
        <f t="shared" si="12"/>
        <v>C</v>
      </c>
      <c r="L492" s="7" t="str">
        <f t="shared" si="13"/>
        <v>Transformative change</v>
      </c>
      <c r="M492" s="7" t="str">
        <f t="shared" si="14"/>
        <v>Medium</v>
      </c>
      <c r="N492" s="7">
        <f t="shared" si="15"/>
        <v>151034</v>
      </c>
      <c r="O492" s="7">
        <f t="shared" si="16"/>
        <v>42727.49691</v>
      </c>
      <c r="P492" s="7">
        <f t="shared" ref="P492:Q492" si="2955">RANDBETWEEN(0,22)</f>
        <v>12</v>
      </c>
      <c r="Q492" s="7">
        <f t="shared" si="2955"/>
        <v>7</v>
      </c>
      <c r="R492" s="7">
        <f t="shared" ref="R492:T492" si="2956">IF(S492=1,1,RANDBETWEEN(0,1))</f>
        <v>1</v>
      </c>
      <c r="S492" s="7">
        <f t="shared" si="2956"/>
        <v>1</v>
      </c>
      <c r="T492" s="7">
        <f t="shared" si="2956"/>
        <v>1</v>
      </c>
      <c r="U492" s="7">
        <f t="shared" si="19"/>
        <v>0</v>
      </c>
      <c r="V492" s="7">
        <f t="shared" ref="V492:X492" si="2957">IF(W492=1,1,RANDBETWEEN(0,1))</f>
        <v>1</v>
      </c>
      <c r="W492" s="7">
        <f t="shared" si="2957"/>
        <v>1</v>
      </c>
      <c r="X492" s="7">
        <f t="shared" si="2957"/>
        <v>0</v>
      </c>
      <c r="Y492" s="7">
        <f t="shared" si="21"/>
        <v>0</v>
      </c>
      <c r="Z492" s="7">
        <f t="shared" ref="Z492:AB492" si="2958">IF(AA492=1,1,RANDBETWEEN(0,1))</f>
        <v>1</v>
      </c>
      <c r="AA492" s="7">
        <f t="shared" si="2958"/>
        <v>1</v>
      </c>
      <c r="AB492" s="7">
        <f t="shared" si="2958"/>
        <v>1</v>
      </c>
      <c r="AC492" s="7">
        <f t="shared" si="23"/>
        <v>1</v>
      </c>
      <c r="AD492" s="7">
        <f t="shared" ref="AD492:AF492" si="2959">IF(AE492=1,1,RANDBETWEEN(0,1))</f>
        <v>1</v>
      </c>
      <c r="AE492" s="7">
        <f t="shared" si="2959"/>
        <v>1</v>
      </c>
      <c r="AF492" s="7">
        <f t="shared" si="2959"/>
        <v>0</v>
      </c>
      <c r="AG492" s="7">
        <f t="shared" si="25"/>
        <v>0</v>
      </c>
    </row>
    <row r="493">
      <c r="A493" s="4" t="s">
        <v>1371</v>
      </c>
      <c r="B493" s="4" t="s">
        <v>1372</v>
      </c>
      <c r="C493" s="4" t="s">
        <v>1373</v>
      </c>
      <c r="D493" s="5">
        <v>9169.0</v>
      </c>
      <c r="E493" s="6">
        <f t="shared" si="7"/>
        <v>1074</v>
      </c>
      <c r="F493" s="7">
        <f t="shared" ref="F493:G493" si="2960">ROUND(RAND(),2)</f>
        <v>0.7</v>
      </c>
      <c r="G493" s="7">
        <f t="shared" si="2960"/>
        <v>0.88</v>
      </c>
      <c r="H493" s="7">
        <f t="shared" si="9"/>
        <v>2</v>
      </c>
      <c r="I493" s="7">
        <f t="shared" si="10"/>
        <v>37394</v>
      </c>
      <c r="J493" s="7">
        <f t="shared" si="11"/>
        <v>11947</v>
      </c>
      <c r="K493" s="7" t="str">
        <f t="shared" si="12"/>
        <v>C</v>
      </c>
      <c r="L493" s="7" t="str">
        <f t="shared" si="13"/>
        <v>Transformative change</v>
      </c>
      <c r="M493" s="7" t="str">
        <f t="shared" si="14"/>
        <v>Low</v>
      </c>
      <c r="N493" s="7">
        <f t="shared" si="15"/>
        <v>270023</v>
      </c>
      <c r="O493" s="7">
        <f t="shared" si="16"/>
        <v>268317.8249</v>
      </c>
      <c r="P493" s="7">
        <f t="shared" ref="P493:Q493" si="2961">RANDBETWEEN(0,22)</f>
        <v>11</v>
      </c>
      <c r="Q493" s="7">
        <f t="shared" si="2961"/>
        <v>3</v>
      </c>
      <c r="R493" s="7">
        <f t="shared" ref="R493:T493" si="2962">IF(S493=1,1,RANDBETWEEN(0,1))</f>
        <v>1</v>
      </c>
      <c r="S493" s="7">
        <f t="shared" si="2962"/>
        <v>1</v>
      </c>
      <c r="T493" s="7">
        <f t="shared" si="2962"/>
        <v>1</v>
      </c>
      <c r="U493" s="7">
        <f t="shared" si="19"/>
        <v>0</v>
      </c>
      <c r="V493" s="7">
        <f t="shared" ref="V493:X493" si="2963">IF(W493=1,1,RANDBETWEEN(0,1))</f>
        <v>1</v>
      </c>
      <c r="W493" s="7">
        <f t="shared" si="2963"/>
        <v>1</v>
      </c>
      <c r="X493" s="7">
        <f t="shared" si="2963"/>
        <v>0</v>
      </c>
      <c r="Y493" s="7">
        <f t="shared" si="21"/>
        <v>0</v>
      </c>
      <c r="Z493" s="7">
        <f t="shared" ref="Z493:AB493" si="2964">IF(AA493=1,1,RANDBETWEEN(0,1))</f>
        <v>1</v>
      </c>
      <c r="AA493" s="7">
        <f t="shared" si="2964"/>
        <v>1</v>
      </c>
      <c r="AB493" s="7">
        <f t="shared" si="2964"/>
        <v>0</v>
      </c>
      <c r="AC493" s="7">
        <f t="shared" si="23"/>
        <v>0</v>
      </c>
      <c r="AD493" s="7">
        <f t="shared" ref="AD493:AF493" si="2965">IF(AE493=1,1,RANDBETWEEN(0,1))</f>
        <v>1</v>
      </c>
      <c r="AE493" s="7">
        <f t="shared" si="2965"/>
        <v>1</v>
      </c>
      <c r="AF493" s="7">
        <f t="shared" si="2965"/>
        <v>1</v>
      </c>
      <c r="AG493" s="7">
        <f t="shared" si="25"/>
        <v>1</v>
      </c>
    </row>
    <row r="494">
      <c r="A494" s="4" t="s">
        <v>1374</v>
      </c>
      <c r="B494" s="4" t="s">
        <v>1375</v>
      </c>
      <c r="C494" s="4" t="s">
        <v>1376</v>
      </c>
      <c r="D494" s="5">
        <v>15479.0</v>
      </c>
      <c r="E494" s="6">
        <f t="shared" si="7"/>
        <v>922</v>
      </c>
      <c r="F494" s="7">
        <f t="shared" ref="F494:G494" si="2966">ROUND(RAND(),2)</f>
        <v>0.04</v>
      </c>
      <c r="G494" s="7">
        <f t="shared" si="2966"/>
        <v>0.25</v>
      </c>
      <c r="H494" s="7">
        <f t="shared" si="9"/>
        <v>4</v>
      </c>
      <c r="I494" s="7">
        <f t="shared" si="10"/>
        <v>46342</v>
      </c>
      <c r="J494" s="7">
        <f t="shared" si="11"/>
        <v>29396</v>
      </c>
      <c r="K494" s="7" t="str">
        <f t="shared" si="12"/>
        <v>E</v>
      </c>
      <c r="L494" s="7" t="str">
        <f t="shared" si="13"/>
        <v>Transformative change</v>
      </c>
      <c r="M494" s="7" t="str">
        <f t="shared" si="14"/>
        <v>Low</v>
      </c>
      <c r="N494" s="7">
        <f t="shared" si="15"/>
        <v>2415285</v>
      </c>
      <c r="O494" s="7">
        <f t="shared" si="16"/>
        <v>1776542.729</v>
      </c>
      <c r="P494" s="7">
        <f t="shared" ref="P494:Q494" si="2967">RANDBETWEEN(0,22)</f>
        <v>18</v>
      </c>
      <c r="Q494" s="7">
        <f t="shared" si="2967"/>
        <v>16</v>
      </c>
      <c r="R494" s="7">
        <f t="shared" ref="R494:T494" si="2968">IF(S494=1,1,RANDBETWEEN(0,1))</f>
        <v>1</v>
      </c>
      <c r="S494" s="7">
        <f t="shared" si="2968"/>
        <v>1</v>
      </c>
      <c r="T494" s="7">
        <f t="shared" si="2968"/>
        <v>0</v>
      </c>
      <c r="U494" s="7">
        <f t="shared" si="19"/>
        <v>0</v>
      </c>
      <c r="V494" s="7">
        <f t="shared" ref="V494:X494" si="2969">IF(W494=1,1,RANDBETWEEN(0,1))</f>
        <v>1</v>
      </c>
      <c r="W494" s="7">
        <f t="shared" si="2969"/>
        <v>1</v>
      </c>
      <c r="X494" s="7">
        <f t="shared" si="2969"/>
        <v>1</v>
      </c>
      <c r="Y494" s="7">
        <f t="shared" si="21"/>
        <v>1</v>
      </c>
      <c r="Z494" s="7">
        <f t="shared" ref="Z494:AB494" si="2970">IF(AA494=1,1,RANDBETWEEN(0,1))</f>
        <v>1</v>
      </c>
      <c r="AA494" s="7">
        <f t="shared" si="2970"/>
        <v>1</v>
      </c>
      <c r="AB494" s="7">
        <f t="shared" si="2970"/>
        <v>1</v>
      </c>
      <c r="AC494" s="7">
        <f t="shared" si="23"/>
        <v>1</v>
      </c>
      <c r="AD494" s="7">
        <f t="shared" ref="AD494:AF494" si="2971">IF(AE494=1,1,RANDBETWEEN(0,1))</f>
        <v>1</v>
      </c>
      <c r="AE494" s="7">
        <f t="shared" si="2971"/>
        <v>1</v>
      </c>
      <c r="AF494" s="7">
        <f t="shared" si="2971"/>
        <v>1</v>
      </c>
      <c r="AG494" s="7">
        <f t="shared" si="25"/>
        <v>0</v>
      </c>
    </row>
    <row r="495">
      <c r="A495" s="4" t="s">
        <v>1377</v>
      </c>
      <c r="B495" s="4" t="s">
        <v>1378</v>
      </c>
      <c r="C495" s="4" t="s">
        <v>1379</v>
      </c>
      <c r="D495" s="5">
        <v>251125.0</v>
      </c>
      <c r="E495" s="6">
        <f t="shared" si="7"/>
        <v>2821.63</v>
      </c>
      <c r="F495" s="7">
        <f t="shared" ref="F495:G495" si="2972">ROUND(RAND(),2)</f>
        <v>0.54</v>
      </c>
      <c r="G495" s="7">
        <f t="shared" si="2972"/>
        <v>0.15</v>
      </c>
      <c r="H495" s="7">
        <f t="shared" si="9"/>
        <v>2</v>
      </c>
      <c r="I495" s="7">
        <f t="shared" si="10"/>
        <v>69941</v>
      </c>
      <c r="J495" s="7">
        <f t="shared" si="11"/>
        <v>64505</v>
      </c>
      <c r="K495" s="7" t="str">
        <f t="shared" si="12"/>
        <v>C</v>
      </c>
      <c r="L495" s="7" t="str">
        <f t="shared" si="13"/>
        <v>Transformative change</v>
      </c>
      <c r="M495" s="7" t="str">
        <f t="shared" si="14"/>
        <v>Medium</v>
      </c>
      <c r="N495" s="7">
        <f t="shared" si="15"/>
        <v>3974917</v>
      </c>
      <c r="O495" s="7">
        <f t="shared" si="16"/>
        <v>2325409.854</v>
      </c>
      <c r="P495" s="7">
        <f t="shared" ref="P495:Q495" si="2973">RANDBETWEEN(0,22)</f>
        <v>15</v>
      </c>
      <c r="Q495" s="7">
        <f t="shared" si="2973"/>
        <v>21</v>
      </c>
      <c r="R495" s="7">
        <f t="shared" ref="R495:T495" si="2974">IF(S495=1,1,RANDBETWEEN(0,1))</f>
        <v>1</v>
      </c>
      <c r="S495" s="7">
        <f t="shared" si="2974"/>
        <v>1</v>
      </c>
      <c r="T495" s="7">
        <f t="shared" si="2974"/>
        <v>1</v>
      </c>
      <c r="U495" s="7">
        <f t="shared" si="19"/>
        <v>0</v>
      </c>
      <c r="V495" s="7">
        <f t="shared" ref="V495:X495" si="2975">IF(W495=1,1,RANDBETWEEN(0,1))</f>
        <v>1</v>
      </c>
      <c r="W495" s="7">
        <f t="shared" si="2975"/>
        <v>0</v>
      </c>
      <c r="X495" s="7">
        <f t="shared" si="2975"/>
        <v>0</v>
      </c>
      <c r="Y495" s="7">
        <f t="shared" si="21"/>
        <v>0</v>
      </c>
      <c r="Z495" s="7">
        <f t="shared" ref="Z495:AB495" si="2976">IF(AA495=1,1,RANDBETWEEN(0,1))</f>
        <v>1</v>
      </c>
      <c r="AA495" s="7">
        <f t="shared" si="2976"/>
        <v>1</v>
      </c>
      <c r="AB495" s="7">
        <f t="shared" si="2976"/>
        <v>1</v>
      </c>
      <c r="AC495" s="7">
        <f t="shared" si="23"/>
        <v>1</v>
      </c>
      <c r="AD495" s="7">
        <f t="shared" ref="AD495:AF495" si="2977">IF(AE495=1,1,RANDBETWEEN(0,1))</f>
        <v>1</v>
      </c>
      <c r="AE495" s="7">
        <f t="shared" si="2977"/>
        <v>1</v>
      </c>
      <c r="AF495" s="7">
        <f t="shared" si="2977"/>
        <v>1</v>
      </c>
      <c r="AG495" s="7">
        <f t="shared" si="25"/>
        <v>1</v>
      </c>
    </row>
    <row r="496">
      <c r="A496" s="4" t="s">
        <v>1380</v>
      </c>
      <c r="B496" s="4" t="s">
        <v>1381</v>
      </c>
      <c r="C496" s="4" t="s">
        <v>1382</v>
      </c>
      <c r="D496" s="5">
        <v>447956.0</v>
      </c>
      <c r="E496" s="6">
        <f t="shared" si="7"/>
        <v>2357.66</v>
      </c>
      <c r="F496" s="7">
        <f t="shared" ref="F496:G496" si="2978">ROUND(RAND(),2)</f>
        <v>0.37</v>
      </c>
      <c r="G496" s="7">
        <f t="shared" si="2978"/>
        <v>0.9</v>
      </c>
      <c r="H496" s="7">
        <f t="shared" si="9"/>
        <v>3</v>
      </c>
      <c r="I496" s="7">
        <f t="shared" si="10"/>
        <v>4464</v>
      </c>
      <c r="J496" s="7">
        <f t="shared" si="11"/>
        <v>60165</v>
      </c>
      <c r="K496" s="7" t="str">
        <f t="shared" si="12"/>
        <v>F</v>
      </c>
      <c r="L496" s="7" t="str">
        <f t="shared" si="13"/>
        <v>Transformative change</v>
      </c>
      <c r="M496" s="7" t="str">
        <f t="shared" si="14"/>
        <v>Medium</v>
      </c>
      <c r="N496" s="7">
        <f t="shared" si="15"/>
        <v>3165222</v>
      </c>
      <c r="O496" s="7">
        <f t="shared" si="16"/>
        <v>1784385.182</v>
      </c>
      <c r="P496" s="7">
        <f t="shared" ref="P496:Q496" si="2979">RANDBETWEEN(0,22)</f>
        <v>4</v>
      </c>
      <c r="Q496" s="7">
        <f t="shared" si="2979"/>
        <v>15</v>
      </c>
      <c r="R496" s="7">
        <f t="shared" ref="R496:T496" si="2980">IF(S496=1,1,RANDBETWEEN(0,1))</f>
        <v>1</v>
      </c>
      <c r="S496" s="7">
        <f t="shared" si="2980"/>
        <v>1</v>
      </c>
      <c r="T496" s="7">
        <f t="shared" si="2980"/>
        <v>1</v>
      </c>
      <c r="U496" s="7">
        <f t="shared" si="19"/>
        <v>0</v>
      </c>
      <c r="V496" s="7">
        <f t="shared" ref="V496:X496" si="2981">IF(W496=1,1,RANDBETWEEN(0,1))</f>
        <v>1</v>
      </c>
      <c r="W496" s="7">
        <f t="shared" si="2981"/>
        <v>1</v>
      </c>
      <c r="X496" s="7">
        <f t="shared" si="2981"/>
        <v>1</v>
      </c>
      <c r="Y496" s="7">
        <f t="shared" si="21"/>
        <v>0</v>
      </c>
      <c r="Z496" s="7">
        <f t="shared" ref="Z496:AB496" si="2982">IF(AA496=1,1,RANDBETWEEN(0,1))</f>
        <v>1</v>
      </c>
      <c r="AA496" s="7">
        <f t="shared" si="2982"/>
        <v>0</v>
      </c>
      <c r="AB496" s="7">
        <f t="shared" si="2982"/>
        <v>0</v>
      </c>
      <c r="AC496" s="7">
        <f t="shared" si="23"/>
        <v>0</v>
      </c>
      <c r="AD496" s="7">
        <f t="shared" ref="AD496:AF496" si="2983">IF(AE496=1,1,RANDBETWEEN(0,1))</f>
        <v>1</v>
      </c>
      <c r="AE496" s="7">
        <f t="shared" si="2983"/>
        <v>1</v>
      </c>
      <c r="AF496" s="7">
        <f t="shared" si="2983"/>
        <v>1</v>
      </c>
      <c r="AG496" s="7">
        <f t="shared" si="25"/>
        <v>1</v>
      </c>
    </row>
    <row r="497">
      <c r="A497" s="4" t="s">
        <v>1383</v>
      </c>
      <c r="B497" s="4" t="s">
        <v>1384</v>
      </c>
      <c r="C497" s="4" t="s">
        <v>1385</v>
      </c>
      <c r="D497" s="5">
        <v>18006.0</v>
      </c>
      <c r="E497" s="6">
        <f t="shared" si="7"/>
        <v>824</v>
      </c>
      <c r="F497" s="7">
        <f t="shared" ref="F497:G497" si="2984">ROUND(RAND(),2)</f>
        <v>0.48</v>
      </c>
      <c r="G497" s="7">
        <f t="shared" si="2984"/>
        <v>0.46</v>
      </c>
      <c r="H497" s="7">
        <f t="shared" si="9"/>
        <v>5</v>
      </c>
      <c r="I497" s="7">
        <f t="shared" si="10"/>
        <v>65160</v>
      </c>
      <c r="J497" s="7">
        <f t="shared" si="11"/>
        <v>29079</v>
      </c>
      <c r="K497" s="7" t="str">
        <f t="shared" si="12"/>
        <v>B</v>
      </c>
      <c r="L497" s="7" t="str">
        <f t="shared" si="13"/>
        <v>Transformative change</v>
      </c>
      <c r="M497" s="7" t="str">
        <f t="shared" si="14"/>
        <v>Low</v>
      </c>
      <c r="N497" s="7">
        <f t="shared" si="15"/>
        <v>3552192</v>
      </c>
      <c r="O497" s="7">
        <f t="shared" si="16"/>
        <v>1531025.65</v>
      </c>
      <c r="P497" s="7">
        <f t="shared" ref="P497:Q497" si="2985">RANDBETWEEN(0,22)</f>
        <v>14</v>
      </c>
      <c r="Q497" s="7">
        <f t="shared" si="2985"/>
        <v>15</v>
      </c>
      <c r="R497" s="7">
        <f t="shared" ref="R497:T497" si="2986">IF(S497=1,1,RANDBETWEEN(0,1))</f>
        <v>1</v>
      </c>
      <c r="S497" s="7">
        <f t="shared" si="2986"/>
        <v>1</v>
      </c>
      <c r="T497" s="7">
        <f t="shared" si="2986"/>
        <v>1</v>
      </c>
      <c r="U497" s="7">
        <f t="shared" si="19"/>
        <v>1</v>
      </c>
      <c r="V497" s="7">
        <f t="shared" ref="V497:X497" si="2987">IF(W497=1,1,RANDBETWEEN(0,1))</f>
        <v>1</v>
      </c>
      <c r="W497" s="7">
        <f t="shared" si="2987"/>
        <v>1</v>
      </c>
      <c r="X497" s="7">
        <f t="shared" si="2987"/>
        <v>1</v>
      </c>
      <c r="Y497" s="7">
        <f t="shared" si="21"/>
        <v>0</v>
      </c>
      <c r="Z497" s="7">
        <f t="shared" ref="Z497:AB497" si="2988">IF(AA497=1,1,RANDBETWEEN(0,1))</f>
        <v>1</v>
      </c>
      <c r="AA497" s="7">
        <f t="shared" si="2988"/>
        <v>1</v>
      </c>
      <c r="AB497" s="7">
        <f t="shared" si="2988"/>
        <v>1</v>
      </c>
      <c r="AC497" s="7">
        <f t="shared" si="23"/>
        <v>1</v>
      </c>
      <c r="AD497" s="7">
        <f t="shared" ref="AD497:AF497" si="2989">IF(AE497=1,1,RANDBETWEEN(0,1))</f>
        <v>1</v>
      </c>
      <c r="AE497" s="7">
        <f t="shared" si="2989"/>
        <v>1</v>
      </c>
      <c r="AF497" s="7">
        <f t="shared" si="2989"/>
        <v>1</v>
      </c>
      <c r="AG497" s="7">
        <f t="shared" si="25"/>
        <v>0</v>
      </c>
    </row>
    <row r="498">
      <c r="A498" s="4" t="s">
        <v>1386</v>
      </c>
      <c r="B498" s="4" t="s">
        <v>1387</v>
      </c>
      <c r="C498" s="4" t="s">
        <v>95</v>
      </c>
      <c r="D498" s="5">
        <v>14980.0</v>
      </c>
      <c r="E498" s="6">
        <f t="shared" si="7"/>
        <v>833</v>
      </c>
      <c r="F498" s="7">
        <f t="shared" ref="F498:G498" si="2990">ROUND(RAND(),2)</f>
        <v>0.16</v>
      </c>
      <c r="G498" s="7">
        <f t="shared" si="2990"/>
        <v>0.28</v>
      </c>
      <c r="H498" s="7">
        <f t="shared" si="9"/>
        <v>1</v>
      </c>
      <c r="I498" s="7">
        <f t="shared" si="10"/>
        <v>90588</v>
      </c>
      <c r="J498" s="7">
        <f t="shared" si="11"/>
        <v>21178</v>
      </c>
      <c r="K498" s="7" t="str">
        <f t="shared" si="12"/>
        <v>A</v>
      </c>
      <c r="L498" s="7" t="str">
        <f t="shared" si="13"/>
        <v>Transformative change</v>
      </c>
      <c r="M498" s="7" t="str">
        <f t="shared" si="14"/>
        <v>High</v>
      </c>
      <c r="N498" s="7">
        <f t="shared" si="15"/>
        <v>1405152</v>
      </c>
      <c r="O498" s="7">
        <f t="shared" si="16"/>
        <v>216706.6548</v>
      </c>
      <c r="P498" s="7">
        <f t="shared" ref="P498:Q498" si="2991">RANDBETWEEN(0,22)</f>
        <v>17</v>
      </c>
      <c r="Q498" s="7">
        <f t="shared" si="2991"/>
        <v>8</v>
      </c>
      <c r="R498" s="7">
        <f t="shared" ref="R498:T498" si="2992">IF(S498=1,1,RANDBETWEEN(0,1))</f>
        <v>1</v>
      </c>
      <c r="S498" s="7">
        <f t="shared" si="2992"/>
        <v>1</v>
      </c>
      <c r="T498" s="7">
        <f t="shared" si="2992"/>
        <v>1</v>
      </c>
      <c r="U498" s="7">
        <f t="shared" si="19"/>
        <v>1</v>
      </c>
      <c r="V498" s="7">
        <f t="shared" ref="V498:X498" si="2993">IF(W498=1,1,RANDBETWEEN(0,1))</f>
        <v>1</v>
      </c>
      <c r="W498" s="7">
        <f t="shared" si="2993"/>
        <v>1</v>
      </c>
      <c r="X498" s="7">
        <f t="shared" si="2993"/>
        <v>1</v>
      </c>
      <c r="Y498" s="7">
        <f t="shared" si="21"/>
        <v>0</v>
      </c>
      <c r="Z498" s="7">
        <f t="shared" ref="Z498:AB498" si="2994">IF(AA498=1,1,RANDBETWEEN(0,1))</f>
        <v>1</v>
      </c>
      <c r="AA498" s="7">
        <f t="shared" si="2994"/>
        <v>1</v>
      </c>
      <c r="AB498" s="7">
        <f t="shared" si="2994"/>
        <v>0</v>
      </c>
      <c r="AC498" s="7">
        <f t="shared" si="23"/>
        <v>0</v>
      </c>
      <c r="AD498" s="7">
        <f t="shared" ref="AD498:AF498" si="2995">IF(AE498=1,1,RANDBETWEEN(0,1))</f>
        <v>1</v>
      </c>
      <c r="AE498" s="7">
        <f t="shared" si="2995"/>
        <v>0</v>
      </c>
      <c r="AF498" s="7">
        <f t="shared" si="2995"/>
        <v>0</v>
      </c>
      <c r="AG498" s="7">
        <f t="shared" si="25"/>
        <v>0</v>
      </c>
    </row>
    <row r="499">
      <c r="A499" s="4" t="s">
        <v>1388</v>
      </c>
      <c r="B499" s="4" t="s">
        <v>1389</v>
      </c>
      <c r="C499" s="4" t="s">
        <v>1390</v>
      </c>
      <c r="D499" s="5">
        <v>7118.0</v>
      </c>
      <c r="E499" s="6">
        <f t="shared" si="7"/>
        <v>935</v>
      </c>
      <c r="F499" s="7">
        <f t="shared" ref="F499:G499" si="2996">ROUND(RAND(),2)</f>
        <v>0.7</v>
      </c>
      <c r="G499" s="7">
        <f t="shared" si="2996"/>
        <v>0.68</v>
      </c>
      <c r="H499" s="7">
        <f t="shared" si="9"/>
        <v>4</v>
      </c>
      <c r="I499" s="7">
        <f t="shared" si="10"/>
        <v>63320</v>
      </c>
      <c r="J499" s="7">
        <f t="shared" si="11"/>
        <v>62212</v>
      </c>
      <c r="K499" s="7" t="str">
        <f t="shared" si="12"/>
        <v>F</v>
      </c>
      <c r="L499" s="7" t="str">
        <f t="shared" si="13"/>
        <v>Transformative change</v>
      </c>
      <c r="M499" s="7" t="str">
        <f t="shared" si="14"/>
        <v>Low</v>
      </c>
      <c r="N499" s="7">
        <f t="shared" si="15"/>
        <v>3323227</v>
      </c>
      <c r="O499" s="7">
        <f t="shared" si="16"/>
        <v>36992.15997</v>
      </c>
      <c r="P499" s="7">
        <f t="shared" ref="P499:Q499" si="2997">RANDBETWEEN(0,22)</f>
        <v>6</v>
      </c>
      <c r="Q499" s="7">
        <f t="shared" si="2997"/>
        <v>15</v>
      </c>
      <c r="R499" s="7">
        <f t="shared" ref="R499:T499" si="2998">IF(S499=1,1,RANDBETWEEN(0,1))</f>
        <v>1</v>
      </c>
      <c r="S499" s="7">
        <f t="shared" si="2998"/>
        <v>1</v>
      </c>
      <c r="T499" s="7">
        <f t="shared" si="2998"/>
        <v>0</v>
      </c>
      <c r="U499" s="7">
        <f t="shared" si="19"/>
        <v>0</v>
      </c>
      <c r="V499" s="7">
        <f t="shared" ref="V499:X499" si="2999">IF(W499=1,1,RANDBETWEEN(0,1))</f>
        <v>1</v>
      </c>
      <c r="W499" s="7">
        <f t="shared" si="2999"/>
        <v>1</v>
      </c>
      <c r="X499" s="7">
        <f t="shared" si="2999"/>
        <v>1</v>
      </c>
      <c r="Y499" s="7">
        <f t="shared" si="21"/>
        <v>1</v>
      </c>
      <c r="Z499" s="7">
        <f t="shared" ref="Z499:AB499" si="3000">IF(AA499=1,1,RANDBETWEEN(0,1))</f>
        <v>1</v>
      </c>
      <c r="AA499" s="7">
        <f t="shared" si="3000"/>
        <v>1</v>
      </c>
      <c r="AB499" s="7">
        <f t="shared" si="3000"/>
        <v>0</v>
      </c>
      <c r="AC499" s="7">
        <f t="shared" si="23"/>
        <v>0</v>
      </c>
      <c r="AD499" s="7">
        <f t="shared" ref="AD499:AF499" si="3001">IF(AE499=1,1,RANDBETWEEN(0,1))</f>
        <v>1</v>
      </c>
      <c r="AE499" s="7">
        <f t="shared" si="3001"/>
        <v>1</v>
      </c>
      <c r="AF499" s="7">
        <f t="shared" si="3001"/>
        <v>1</v>
      </c>
      <c r="AG499" s="7">
        <f t="shared" si="25"/>
        <v>1</v>
      </c>
    </row>
    <row r="500">
      <c r="A500" s="4" t="s">
        <v>1391</v>
      </c>
      <c r="B500" s="4" t="s">
        <v>1392</v>
      </c>
      <c r="C500" s="4" t="s">
        <v>1393</v>
      </c>
      <c r="D500" s="5">
        <v>7291.0</v>
      </c>
      <c r="E500" s="6">
        <f t="shared" si="7"/>
        <v>1065</v>
      </c>
      <c r="F500" s="7">
        <f t="shared" ref="F500:G500" si="3002">ROUND(RAND(),2)</f>
        <v>0.85</v>
      </c>
      <c r="G500" s="7">
        <f t="shared" si="3002"/>
        <v>0.94</v>
      </c>
      <c r="H500" s="7">
        <f t="shared" si="9"/>
        <v>4</v>
      </c>
      <c r="I500" s="7">
        <f t="shared" si="10"/>
        <v>65142</v>
      </c>
      <c r="J500" s="7">
        <f t="shared" si="11"/>
        <v>63770</v>
      </c>
      <c r="K500" s="7" t="str">
        <f t="shared" si="12"/>
        <v>B</v>
      </c>
      <c r="L500" s="7" t="str">
        <f t="shared" si="13"/>
        <v>Transformative change</v>
      </c>
      <c r="M500" s="7" t="str">
        <f t="shared" si="14"/>
        <v>High</v>
      </c>
      <c r="N500" s="7">
        <f t="shared" si="15"/>
        <v>749671</v>
      </c>
      <c r="O500" s="7">
        <f t="shared" si="16"/>
        <v>187536.6628</v>
      </c>
      <c r="P500" s="7">
        <f t="shared" ref="P500:Q500" si="3003">RANDBETWEEN(0,22)</f>
        <v>6</v>
      </c>
      <c r="Q500" s="7">
        <f t="shared" si="3003"/>
        <v>17</v>
      </c>
      <c r="R500" s="7">
        <f t="shared" ref="R500:T500" si="3004">IF(S500=1,1,RANDBETWEEN(0,1))</f>
        <v>1</v>
      </c>
      <c r="S500" s="7">
        <f t="shared" si="3004"/>
        <v>1</v>
      </c>
      <c r="T500" s="7">
        <f t="shared" si="3004"/>
        <v>1</v>
      </c>
      <c r="U500" s="7">
        <f t="shared" si="19"/>
        <v>0</v>
      </c>
      <c r="V500" s="7">
        <f t="shared" ref="V500:X500" si="3005">IF(W500=1,1,RANDBETWEEN(0,1))</f>
        <v>1</v>
      </c>
      <c r="W500" s="7">
        <f t="shared" si="3005"/>
        <v>1</v>
      </c>
      <c r="X500" s="7">
        <f t="shared" si="3005"/>
        <v>1</v>
      </c>
      <c r="Y500" s="7">
        <f t="shared" si="21"/>
        <v>1</v>
      </c>
      <c r="Z500" s="7">
        <f t="shared" ref="Z500:AB500" si="3006">IF(AA500=1,1,RANDBETWEEN(0,1))</f>
        <v>1</v>
      </c>
      <c r="AA500" s="7">
        <f t="shared" si="3006"/>
        <v>1</v>
      </c>
      <c r="AB500" s="7">
        <f t="shared" si="3006"/>
        <v>1</v>
      </c>
      <c r="AC500" s="7">
        <f t="shared" si="23"/>
        <v>0</v>
      </c>
      <c r="AD500" s="7">
        <f t="shared" ref="AD500:AF500" si="3007">IF(AE500=1,1,RANDBETWEEN(0,1))</f>
        <v>1</v>
      </c>
      <c r="AE500" s="7">
        <f t="shared" si="3007"/>
        <v>1</v>
      </c>
      <c r="AF500" s="7">
        <f t="shared" si="3007"/>
        <v>1</v>
      </c>
      <c r="AG500" s="7">
        <f t="shared" si="25"/>
        <v>1</v>
      </c>
    </row>
    <row r="501">
      <c r="A501" s="4" t="s">
        <v>1394</v>
      </c>
      <c r="B501" s="4" t="s">
        <v>1395</v>
      </c>
      <c r="C501" s="4" t="s">
        <v>95</v>
      </c>
      <c r="D501" s="5">
        <v>87736.0</v>
      </c>
      <c r="E501" s="6">
        <f t="shared" si="7"/>
        <v>269.96</v>
      </c>
      <c r="F501" s="7">
        <f t="shared" ref="F501:G501" si="3008">ROUND(RAND(),2)</f>
        <v>0.41</v>
      </c>
      <c r="G501" s="7">
        <f t="shared" si="3008"/>
        <v>0.15</v>
      </c>
      <c r="H501" s="7">
        <f t="shared" si="9"/>
        <v>4</v>
      </c>
      <c r="I501" s="7">
        <f t="shared" si="10"/>
        <v>68747</v>
      </c>
      <c r="J501" s="7">
        <f t="shared" si="11"/>
        <v>33778</v>
      </c>
      <c r="K501" s="7" t="str">
        <f t="shared" si="12"/>
        <v>D</v>
      </c>
      <c r="L501" s="7" t="str">
        <f t="shared" si="13"/>
        <v>Transformative change</v>
      </c>
      <c r="M501" s="7" t="str">
        <f t="shared" si="14"/>
        <v>Low</v>
      </c>
      <c r="N501" s="7">
        <f t="shared" si="15"/>
        <v>3918178</v>
      </c>
      <c r="O501" s="7">
        <f t="shared" si="16"/>
        <v>3321807.482</v>
      </c>
      <c r="P501" s="7">
        <f t="shared" ref="P501:Q501" si="3009">RANDBETWEEN(0,22)</f>
        <v>8</v>
      </c>
      <c r="Q501" s="7">
        <f t="shared" si="3009"/>
        <v>4</v>
      </c>
      <c r="R501" s="7">
        <f t="shared" ref="R501:T501" si="3010">IF(S501=1,1,RANDBETWEEN(0,1))</f>
        <v>1</v>
      </c>
      <c r="S501" s="7">
        <f t="shared" si="3010"/>
        <v>1</v>
      </c>
      <c r="T501" s="7">
        <f t="shared" si="3010"/>
        <v>0</v>
      </c>
      <c r="U501" s="7">
        <f t="shared" si="19"/>
        <v>0</v>
      </c>
      <c r="V501" s="7">
        <f t="shared" ref="V501:X501" si="3011">IF(W501=1,1,RANDBETWEEN(0,1))</f>
        <v>1</v>
      </c>
      <c r="W501" s="7">
        <f t="shared" si="3011"/>
        <v>1</v>
      </c>
      <c r="X501" s="7">
        <f t="shared" si="3011"/>
        <v>1</v>
      </c>
      <c r="Y501" s="7">
        <f t="shared" si="21"/>
        <v>1</v>
      </c>
      <c r="Z501" s="7">
        <f t="shared" ref="Z501:AB501" si="3012">IF(AA501=1,1,RANDBETWEEN(0,1))</f>
        <v>1</v>
      </c>
      <c r="AA501" s="7">
        <f t="shared" si="3012"/>
        <v>1</v>
      </c>
      <c r="AB501" s="7">
        <f t="shared" si="3012"/>
        <v>0</v>
      </c>
      <c r="AC501" s="7">
        <f t="shared" si="23"/>
        <v>0</v>
      </c>
      <c r="AD501" s="7">
        <f t="shared" ref="AD501:AF501" si="3013">IF(AE501=1,1,RANDBETWEEN(0,1))</f>
        <v>1</v>
      </c>
      <c r="AE501" s="7">
        <f t="shared" si="3013"/>
        <v>1</v>
      </c>
      <c r="AF501" s="7">
        <f t="shared" si="3013"/>
        <v>1</v>
      </c>
      <c r="AG501" s="7">
        <f t="shared" si="25"/>
        <v>1</v>
      </c>
    </row>
    <row r="502">
      <c r="E502" s="8"/>
    </row>
    <row r="503">
      <c r="E503" s="8"/>
    </row>
    <row r="504">
      <c r="E504" s="8"/>
    </row>
    <row r="505">
      <c r="E505" s="8"/>
    </row>
    <row r="506">
      <c r="E506" s="8"/>
    </row>
    <row r="507">
      <c r="E507" s="8"/>
    </row>
    <row r="508">
      <c r="E508" s="8"/>
    </row>
    <row r="509">
      <c r="E509" s="8"/>
    </row>
    <row r="510">
      <c r="E510" s="8"/>
    </row>
    <row r="511">
      <c r="E511" s="8"/>
    </row>
    <row r="512">
      <c r="E512" s="8"/>
    </row>
    <row r="513">
      <c r="E513" s="8"/>
    </row>
    <row r="514">
      <c r="E514" s="8"/>
    </row>
    <row r="515">
      <c r="E515" s="8"/>
    </row>
    <row r="516">
      <c r="E516" s="8"/>
    </row>
    <row r="517">
      <c r="E517" s="8"/>
    </row>
    <row r="518">
      <c r="E518" s="8"/>
    </row>
    <row r="519">
      <c r="E519" s="8"/>
    </row>
    <row r="520">
      <c r="E520" s="8"/>
    </row>
    <row r="521">
      <c r="E521" s="8"/>
    </row>
    <row r="522">
      <c r="E522" s="8"/>
    </row>
    <row r="523">
      <c r="E523" s="8"/>
    </row>
    <row r="524">
      <c r="E524" s="8"/>
    </row>
    <row r="525">
      <c r="E525" s="8"/>
    </row>
    <row r="526">
      <c r="E526" s="8"/>
    </row>
    <row r="527">
      <c r="E527" s="8"/>
    </row>
    <row r="528">
      <c r="E528" s="8"/>
    </row>
    <row r="529">
      <c r="E529" s="8"/>
    </row>
    <row r="530">
      <c r="E530" s="8"/>
    </row>
    <row r="531">
      <c r="E531" s="8"/>
    </row>
    <row r="532">
      <c r="E532" s="8"/>
    </row>
    <row r="533">
      <c r="E533" s="8"/>
    </row>
    <row r="534">
      <c r="E534" s="8"/>
    </row>
    <row r="535">
      <c r="E535" s="8"/>
    </row>
    <row r="536">
      <c r="E536" s="8"/>
    </row>
    <row r="537">
      <c r="E537" s="8"/>
    </row>
    <row r="538">
      <c r="E538" s="8"/>
    </row>
    <row r="539">
      <c r="E539" s="8"/>
    </row>
    <row r="540">
      <c r="E540" s="8"/>
    </row>
    <row r="541">
      <c r="E541" s="8"/>
    </row>
    <row r="542">
      <c r="E542" s="8"/>
    </row>
    <row r="543">
      <c r="E543" s="8"/>
    </row>
    <row r="544">
      <c r="E544" s="8"/>
    </row>
    <row r="545">
      <c r="E545" s="8"/>
    </row>
    <row r="546">
      <c r="E546" s="8"/>
    </row>
    <row r="547">
      <c r="E547" s="8"/>
    </row>
    <row r="548">
      <c r="E548" s="8"/>
    </row>
    <row r="549">
      <c r="E549" s="8"/>
    </row>
    <row r="550">
      <c r="E550" s="8"/>
    </row>
    <row r="551">
      <c r="E551" s="8"/>
    </row>
    <row r="552">
      <c r="E552" s="8"/>
    </row>
    <row r="553">
      <c r="E553" s="8"/>
    </row>
    <row r="554">
      <c r="E554" s="8"/>
    </row>
    <row r="555">
      <c r="E555" s="8"/>
    </row>
    <row r="556">
      <c r="E556" s="8"/>
    </row>
    <row r="557">
      <c r="E557" s="8"/>
    </row>
    <row r="558">
      <c r="E558" s="8"/>
    </row>
    <row r="559">
      <c r="E559" s="8"/>
    </row>
    <row r="560">
      <c r="E560" s="8"/>
    </row>
    <row r="561">
      <c r="E561" s="8"/>
    </row>
    <row r="562">
      <c r="E562" s="8"/>
    </row>
    <row r="563">
      <c r="E563" s="8"/>
    </row>
    <row r="564">
      <c r="E564" s="8"/>
    </row>
    <row r="565">
      <c r="E565" s="8"/>
    </row>
    <row r="566">
      <c r="E566" s="8"/>
    </row>
    <row r="567">
      <c r="E567" s="8"/>
    </row>
    <row r="568">
      <c r="E568" s="8"/>
    </row>
    <row r="569">
      <c r="E569" s="8"/>
    </row>
    <row r="570">
      <c r="E570" s="8"/>
    </row>
    <row r="571">
      <c r="E571" s="8"/>
    </row>
    <row r="572">
      <c r="E572" s="8"/>
    </row>
    <row r="573">
      <c r="E573" s="8"/>
    </row>
    <row r="574">
      <c r="E574" s="8"/>
    </row>
    <row r="575">
      <c r="E575" s="8"/>
    </row>
    <row r="576">
      <c r="E576" s="8"/>
    </row>
    <row r="577">
      <c r="E577" s="8"/>
    </row>
    <row r="578">
      <c r="E578" s="8"/>
    </row>
    <row r="579">
      <c r="E579" s="8"/>
    </row>
    <row r="580">
      <c r="E580" s="8"/>
    </row>
    <row r="581">
      <c r="E581" s="8"/>
    </row>
    <row r="582">
      <c r="E582" s="8"/>
    </row>
    <row r="583">
      <c r="E583" s="8"/>
    </row>
    <row r="584">
      <c r="E584" s="8"/>
    </row>
    <row r="585">
      <c r="E585" s="8"/>
    </row>
    <row r="586">
      <c r="E586" s="8"/>
    </row>
    <row r="587">
      <c r="E587" s="8"/>
    </row>
    <row r="588">
      <c r="E588" s="8"/>
    </row>
    <row r="589">
      <c r="E589" s="8"/>
    </row>
    <row r="590">
      <c r="E590" s="8"/>
    </row>
    <row r="591">
      <c r="E591" s="8"/>
    </row>
    <row r="592">
      <c r="E592" s="8"/>
    </row>
    <row r="593">
      <c r="E593" s="8"/>
    </row>
    <row r="594">
      <c r="E594" s="8"/>
    </row>
    <row r="595">
      <c r="E595" s="8"/>
    </row>
    <row r="596">
      <c r="E596" s="8"/>
    </row>
    <row r="597">
      <c r="E597" s="8"/>
    </row>
    <row r="598">
      <c r="E598" s="8"/>
    </row>
    <row r="599">
      <c r="E599" s="8"/>
    </row>
    <row r="600">
      <c r="E600" s="8"/>
    </row>
    <row r="601">
      <c r="E601" s="8"/>
    </row>
    <row r="602">
      <c r="E602" s="8"/>
    </row>
    <row r="603">
      <c r="E603" s="8"/>
    </row>
    <row r="604">
      <c r="E604" s="8"/>
    </row>
    <row r="605">
      <c r="E605" s="8"/>
    </row>
    <row r="606">
      <c r="E606" s="8"/>
    </row>
    <row r="607">
      <c r="E607" s="8"/>
    </row>
    <row r="608">
      <c r="E608" s="8"/>
    </row>
    <row r="609">
      <c r="E609" s="8"/>
    </row>
    <row r="610">
      <c r="E610" s="8"/>
    </row>
    <row r="611">
      <c r="E611" s="8"/>
    </row>
    <row r="612">
      <c r="E612" s="8"/>
    </row>
    <row r="613">
      <c r="E613" s="8"/>
    </row>
    <row r="614">
      <c r="E614" s="8"/>
    </row>
    <row r="615">
      <c r="E615" s="8"/>
    </row>
    <row r="616">
      <c r="E616" s="8"/>
    </row>
    <row r="617">
      <c r="E617" s="8"/>
    </row>
    <row r="618">
      <c r="E618" s="8"/>
    </row>
    <row r="619">
      <c r="E619" s="8"/>
    </row>
    <row r="620">
      <c r="E620" s="8"/>
    </row>
    <row r="621">
      <c r="E621" s="8"/>
    </row>
    <row r="622">
      <c r="E622" s="8"/>
    </row>
    <row r="623">
      <c r="E623" s="8"/>
    </row>
    <row r="624">
      <c r="E624" s="8"/>
    </row>
    <row r="625">
      <c r="E625" s="8"/>
    </row>
    <row r="626">
      <c r="E626" s="8"/>
    </row>
    <row r="627">
      <c r="E627" s="8"/>
    </row>
    <row r="628">
      <c r="E628" s="8"/>
    </row>
    <row r="629">
      <c r="E629" s="8"/>
    </row>
    <row r="630">
      <c r="E630" s="8"/>
    </row>
    <row r="631">
      <c r="E631" s="8"/>
    </row>
    <row r="632">
      <c r="E632" s="8"/>
    </row>
    <row r="633">
      <c r="E633" s="8"/>
    </row>
    <row r="634">
      <c r="E634" s="8"/>
    </row>
    <row r="635">
      <c r="E635" s="8"/>
    </row>
    <row r="636">
      <c r="E636" s="8"/>
    </row>
    <row r="637">
      <c r="E637" s="8"/>
    </row>
    <row r="638">
      <c r="E638" s="8"/>
    </row>
    <row r="639">
      <c r="E639" s="8"/>
    </row>
    <row r="640">
      <c r="E640" s="8"/>
    </row>
    <row r="641">
      <c r="E641" s="8"/>
    </row>
    <row r="642">
      <c r="E642" s="8"/>
    </row>
    <row r="643">
      <c r="E643" s="8"/>
    </row>
    <row r="644">
      <c r="E644" s="8"/>
    </row>
    <row r="645">
      <c r="E645" s="8"/>
    </row>
    <row r="646">
      <c r="E646" s="8"/>
    </row>
    <row r="647">
      <c r="E647" s="8"/>
    </row>
    <row r="648">
      <c r="E648" s="8"/>
    </row>
    <row r="649">
      <c r="E649" s="8"/>
    </row>
    <row r="650">
      <c r="E650" s="8"/>
    </row>
    <row r="651">
      <c r="E651" s="8"/>
    </row>
    <row r="652">
      <c r="E652" s="8"/>
    </row>
    <row r="653">
      <c r="E653" s="8"/>
    </row>
    <row r="654">
      <c r="E654" s="8"/>
    </row>
    <row r="655">
      <c r="E655" s="8"/>
    </row>
    <row r="656">
      <c r="E656" s="8"/>
    </row>
    <row r="657">
      <c r="E657" s="8"/>
    </row>
    <row r="658">
      <c r="E658" s="8"/>
    </row>
    <row r="659">
      <c r="E659" s="8"/>
    </row>
    <row r="660">
      <c r="E660" s="8"/>
    </row>
    <row r="661">
      <c r="E661" s="8"/>
    </row>
    <row r="662">
      <c r="E662" s="8"/>
    </row>
    <row r="663">
      <c r="E663" s="8"/>
    </row>
    <row r="664">
      <c r="E664" s="8"/>
    </row>
    <row r="665">
      <c r="E665" s="8"/>
    </row>
    <row r="666">
      <c r="E666" s="8"/>
    </row>
    <row r="667">
      <c r="E667" s="8"/>
    </row>
    <row r="668">
      <c r="E668" s="8"/>
    </row>
    <row r="669">
      <c r="E669" s="8"/>
    </row>
    <row r="670">
      <c r="E670" s="8"/>
    </row>
    <row r="671">
      <c r="E671" s="8"/>
    </row>
    <row r="672">
      <c r="E672" s="8"/>
    </row>
    <row r="673">
      <c r="E673" s="8"/>
    </row>
    <row r="674">
      <c r="E674" s="8"/>
    </row>
    <row r="675">
      <c r="E675" s="8"/>
    </row>
    <row r="676">
      <c r="E676" s="8"/>
    </row>
    <row r="677">
      <c r="E677" s="8"/>
    </row>
    <row r="678">
      <c r="E678" s="8"/>
    </row>
    <row r="679">
      <c r="E679" s="8"/>
    </row>
    <row r="680">
      <c r="E680" s="8"/>
    </row>
    <row r="681">
      <c r="E681" s="8"/>
    </row>
    <row r="682">
      <c r="E682" s="8"/>
    </row>
    <row r="683">
      <c r="E683" s="8"/>
    </row>
    <row r="684">
      <c r="E684" s="8"/>
    </row>
    <row r="685">
      <c r="E685" s="8"/>
    </row>
    <row r="686">
      <c r="E686" s="8"/>
    </row>
    <row r="687">
      <c r="E687" s="8"/>
    </row>
    <row r="688">
      <c r="E688" s="8"/>
    </row>
    <row r="689">
      <c r="E689" s="8"/>
    </row>
    <row r="690">
      <c r="E690" s="8"/>
    </row>
    <row r="691">
      <c r="E691" s="8"/>
    </row>
    <row r="692">
      <c r="E692" s="8"/>
    </row>
    <row r="693">
      <c r="E693" s="8"/>
    </row>
    <row r="694">
      <c r="E694" s="8"/>
    </row>
    <row r="695">
      <c r="E695" s="8"/>
    </row>
    <row r="696">
      <c r="E696" s="8"/>
    </row>
    <row r="697">
      <c r="E697" s="8"/>
    </row>
    <row r="698">
      <c r="E698" s="8"/>
    </row>
    <row r="699">
      <c r="E699" s="8"/>
    </row>
    <row r="700">
      <c r="E700" s="8"/>
    </row>
    <row r="701">
      <c r="E701" s="8"/>
    </row>
    <row r="702">
      <c r="E702" s="8"/>
    </row>
    <row r="703">
      <c r="E703" s="8"/>
    </row>
    <row r="704">
      <c r="E704" s="8"/>
    </row>
    <row r="705">
      <c r="E705" s="8"/>
    </row>
    <row r="706">
      <c r="E706" s="8"/>
    </row>
    <row r="707">
      <c r="E707" s="8"/>
    </row>
    <row r="708">
      <c r="E708" s="8"/>
    </row>
    <row r="709">
      <c r="E709" s="8"/>
    </row>
    <row r="710">
      <c r="E710" s="8"/>
    </row>
    <row r="711">
      <c r="E711" s="8"/>
    </row>
    <row r="712">
      <c r="E712" s="8"/>
    </row>
    <row r="713">
      <c r="E713" s="8"/>
    </row>
    <row r="714">
      <c r="E714" s="8"/>
    </row>
    <row r="715">
      <c r="E715" s="8"/>
    </row>
    <row r="716">
      <c r="E716" s="8"/>
    </row>
    <row r="717">
      <c r="E717" s="8"/>
    </row>
    <row r="718">
      <c r="E718" s="8"/>
    </row>
    <row r="719">
      <c r="E719" s="8"/>
    </row>
    <row r="720">
      <c r="E720" s="8"/>
    </row>
    <row r="721">
      <c r="E721" s="8"/>
    </row>
    <row r="722">
      <c r="E722" s="8"/>
    </row>
    <row r="723">
      <c r="E723" s="8"/>
    </row>
    <row r="724">
      <c r="E724" s="8"/>
    </row>
    <row r="725">
      <c r="E725" s="8"/>
    </row>
    <row r="726">
      <c r="E726" s="8"/>
    </row>
    <row r="727">
      <c r="E727" s="8"/>
    </row>
    <row r="728">
      <c r="E728" s="8"/>
    </row>
    <row r="729">
      <c r="E729" s="8"/>
    </row>
    <row r="730">
      <c r="E730" s="8"/>
    </row>
    <row r="731">
      <c r="E731" s="8"/>
    </row>
    <row r="732">
      <c r="E732" s="8"/>
    </row>
    <row r="733">
      <c r="E733" s="8"/>
    </row>
    <row r="734">
      <c r="E734" s="8"/>
    </row>
    <row r="735">
      <c r="E735" s="8"/>
    </row>
    <row r="736">
      <c r="E736" s="8"/>
    </row>
    <row r="737">
      <c r="E737" s="8"/>
    </row>
    <row r="738">
      <c r="E738" s="8"/>
    </row>
    <row r="739">
      <c r="E739" s="8"/>
    </row>
    <row r="740">
      <c r="E740" s="8"/>
    </row>
    <row r="741">
      <c r="E741" s="8"/>
    </row>
    <row r="742">
      <c r="E742" s="8"/>
    </row>
    <row r="743">
      <c r="E743" s="8"/>
    </row>
    <row r="744">
      <c r="E744" s="8"/>
    </row>
    <row r="745">
      <c r="E745" s="8"/>
    </row>
    <row r="746">
      <c r="E746" s="8"/>
    </row>
    <row r="747">
      <c r="E747" s="8"/>
    </row>
    <row r="748">
      <c r="E748" s="8"/>
    </row>
    <row r="749">
      <c r="E749" s="8"/>
    </row>
    <row r="750">
      <c r="E750" s="8"/>
    </row>
    <row r="751">
      <c r="E751" s="8"/>
    </row>
    <row r="752">
      <c r="E752" s="8"/>
    </row>
    <row r="753">
      <c r="E753" s="8"/>
    </row>
    <row r="754">
      <c r="E754" s="8"/>
    </row>
    <row r="755">
      <c r="E755" s="8"/>
    </row>
    <row r="756">
      <c r="E756" s="8"/>
    </row>
    <row r="757">
      <c r="E757" s="8"/>
    </row>
    <row r="758">
      <c r="E758" s="8"/>
    </row>
    <row r="759">
      <c r="E759" s="8"/>
    </row>
    <row r="760">
      <c r="E760" s="8"/>
    </row>
    <row r="761">
      <c r="E761" s="8"/>
    </row>
    <row r="762">
      <c r="E762" s="8"/>
    </row>
    <row r="763">
      <c r="E763" s="8"/>
    </row>
    <row r="764">
      <c r="E764" s="8"/>
    </row>
    <row r="765">
      <c r="E765" s="8"/>
    </row>
    <row r="766">
      <c r="E766" s="8"/>
    </row>
    <row r="767">
      <c r="E767" s="8"/>
    </row>
    <row r="768">
      <c r="E768" s="8"/>
    </row>
    <row r="769">
      <c r="E769" s="8"/>
    </row>
    <row r="770">
      <c r="E770" s="8"/>
    </row>
    <row r="771">
      <c r="E771" s="8"/>
    </row>
    <row r="772">
      <c r="E772" s="8"/>
    </row>
    <row r="773">
      <c r="E773" s="8"/>
    </row>
    <row r="774">
      <c r="E774" s="8"/>
    </row>
    <row r="775">
      <c r="E775" s="8"/>
    </row>
    <row r="776">
      <c r="E776" s="8"/>
    </row>
    <row r="777">
      <c r="E777" s="8"/>
    </row>
    <row r="778">
      <c r="E778" s="8"/>
    </row>
    <row r="779">
      <c r="E779" s="8"/>
    </row>
    <row r="780">
      <c r="E780" s="8"/>
    </row>
    <row r="781">
      <c r="E781" s="8"/>
    </row>
    <row r="782">
      <c r="E782" s="8"/>
    </row>
    <row r="783">
      <c r="E783" s="8"/>
    </row>
    <row r="784">
      <c r="E784" s="8"/>
    </row>
    <row r="785">
      <c r="E785" s="8"/>
    </row>
    <row r="786">
      <c r="E786" s="8"/>
    </row>
    <row r="787">
      <c r="E787" s="8"/>
    </row>
    <row r="788">
      <c r="E788" s="8"/>
    </row>
    <row r="789">
      <c r="E789" s="8"/>
    </row>
    <row r="790">
      <c r="E790" s="8"/>
    </row>
    <row r="791">
      <c r="E791" s="8"/>
    </row>
    <row r="792">
      <c r="E792" s="8"/>
    </row>
    <row r="793">
      <c r="E793" s="8"/>
    </row>
    <row r="794">
      <c r="E794" s="8"/>
    </row>
    <row r="795">
      <c r="E795" s="8"/>
    </row>
    <row r="796">
      <c r="E796" s="8"/>
    </row>
    <row r="797">
      <c r="E797" s="8"/>
    </row>
    <row r="798">
      <c r="E798" s="8"/>
    </row>
    <row r="799">
      <c r="E799" s="8"/>
    </row>
    <row r="800">
      <c r="E800" s="8"/>
    </row>
    <row r="801">
      <c r="E801" s="8"/>
    </row>
    <row r="802">
      <c r="E802" s="8"/>
    </row>
    <row r="803">
      <c r="E803" s="8"/>
    </row>
    <row r="804">
      <c r="E804" s="8"/>
    </row>
    <row r="805">
      <c r="E805" s="8"/>
    </row>
    <row r="806">
      <c r="E806" s="8"/>
    </row>
    <row r="807">
      <c r="E807" s="8"/>
    </row>
    <row r="808">
      <c r="E808" s="8"/>
    </row>
    <row r="809">
      <c r="E809" s="8"/>
    </row>
    <row r="810">
      <c r="E810" s="8"/>
    </row>
    <row r="811">
      <c r="E811" s="8"/>
    </row>
    <row r="812">
      <c r="E812" s="8"/>
    </row>
    <row r="813">
      <c r="E813" s="8"/>
    </row>
    <row r="814">
      <c r="E814" s="8"/>
    </row>
    <row r="815">
      <c r="E815" s="8"/>
    </row>
    <row r="816">
      <c r="E816" s="8"/>
    </row>
    <row r="817">
      <c r="E817" s="8"/>
    </row>
    <row r="818">
      <c r="E818" s="8"/>
    </row>
    <row r="819">
      <c r="E819" s="8"/>
    </row>
    <row r="820">
      <c r="E820" s="8"/>
    </row>
    <row r="821">
      <c r="E821" s="8"/>
    </row>
    <row r="822">
      <c r="E822" s="8"/>
    </row>
    <row r="823">
      <c r="E823" s="8"/>
    </row>
    <row r="824">
      <c r="E824" s="8"/>
    </row>
    <row r="825">
      <c r="E825" s="8"/>
    </row>
    <row r="826">
      <c r="E826" s="8"/>
    </row>
    <row r="827">
      <c r="E827" s="8"/>
    </row>
    <row r="828">
      <c r="E828" s="8"/>
    </row>
    <row r="829">
      <c r="E829" s="8"/>
    </row>
    <row r="830">
      <c r="E830" s="8"/>
    </row>
    <row r="831">
      <c r="E831" s="8"/>
    </row>
    <row r="832">
      <c r="E832" s="8"/>
    </row>
    <row r="833">
      <c r="E833" s="8"/>
    </row>
    <row r="834">
      <c r="E834" s="8"/>
    </row>
    <row r="835">
      <c r="E835" s="8"/>
    </row>
    <row r="836">
      <c r="E836" s="8"/>
    </row>
    <row r="837">
      <c r="E837" s="8"/>
    </row>
    <row r="838">
      <c r="E838" s="8"/>
    </row>
    <row r="839">
      <c r="E839" s="8"/>
    </row>
    <row r="840">
      <c r="E840" s="8"/>
    </row>
    <row r="841">
      <c r="E841" s="8"/>
    </row>
    <row r="842">
      <c r="E842" s="8"/>
    </row>
    <row r="843">
      <c r="E843" s="8"/>
    </row>
    <row r="844">
      <c r="E844" s="8"/>
    </row>
    <row r="845">
      <c r="E845" s="8"/>
    </row>
    <row r="846">
      <c r="E846" s="8"/>
    </row>
    <row r="847">
      <c r="E847" s="8"/>
    </row>
    <row r="848">
      <c r="E848" s="8"/>
    </row>
    <row r="849">
      <c r="E849" s="8"/>
    </row>
    <row r="850">
      <c r="E850" s="8"/>
    </row>
    <row r="851">
      <c r="E851" s="8"/>
    </row>
    <row r="852">
      <c r="E852" s="8"/>
    </row>
    <row r="853">
      <c r="E853" s="8"/>
    </row>
    <row r="854">
      <c r="E854" s="8"/>
    </row>
    <row r="855">
      <c r="E855" s="8"/>
    </row>
    <row r="856">
      <c r="E856" s="8"/>
    </row>
    <row r="857">
      <c r="E857" s="8"/>
    </row>
    <row r="858">
      <c r="E858" s="8"/>
    </row>
    <row r="859">
      <c r="E859" s="8"/>
    </row>
    <row r="860">
      <c r="E860" s="8"/>
    </row>
    <row r="861">
      <c r="E861" s="8"/>
    </row>
    <row r="862">
      <c r="E862" s="8"/>
    </row>
    <row r="863">
      <c r="E863" s="8"/>
    </row>
    <row r="864">
      <c r="E864" s="8"/>
    </row>
    <row r="865">
      <c r="E865" s="8"/>
    </row>
    <row r="866">
      <c r="E866" s="8"/>
    </row>
    <row r="867">
      <c r="E867" s="8"/>
    </row>
    <row r="868">
      <c r="E868" s="8"/>
    </row>
    <row r="869">
      <c r="E869" s="8"/>
    </row>
    <row r="870">
      <c r="E870" s="8"/>
    </row>
    <row r="871">
      <c r="E871" s="8"/>
    </row>
    <row r="872">
      <c r="E872" s="8"/>
    </row>
    <row r="873">
      <c r="E873" s="8"/>
    </row>
    <row r="874">
      <c r="E874" s="8"/>
    </row>
    <row r="875">
      <c r="E875" s="8"/>
    </row>
    <row r="876">
      <c r="E876" s="8"/>
    </row>
    <row r="877">
      <c r="E877" s="8"/>
    </row>
    <row r="878">
      <c r="E878" s="8"/>
    </row>
    <row r="879">
      <c r="E879" s="8"/>
    </row>
    <row r="880">
      <c r="E880" s="8"/>
    </row>
    <row r="881">
      <c r="E881" s="8"/>
    </row>
    <row r="882">
      <c r="E882" s="8"/>
    </row>
    <row r="883">
      <c r="E883" s="8"/>
    </row>
    <row r="884">
      <c r="E884" s="8"/>
    </row>
    <row r="885">
      <c r="E885" s="8"/>
    </row>
    <row r="886">
      <c r="E886" s="8"/>
    </row>
    <row r="887">
      <c r="E887" s="8"/>
    </row>
    <row r="888">
      <c r="E888" s="8"/>
    </row>
    <row r="889">
      <c r="E889" s="8"/>
    </row>
    <row r="890">
      <c r="E890" s="8"/>
    </row>
    <row r="891">
      <c r="E891" s="8"/>
    </row>
    <row r="892">
      <c r="E892" s="8"/>
    </row>
    <row r="893">
      <c r="E893" s="8"/>
    </row>
    <row r="894">
      <c r="E894" s="8"/>
    </row>
    <row r="895">
      <c r="E895" s="8"/>
    </row>
    <row r="896">
      <c r="E896" s="8"/>
    </row>
    <row r="897">
      <c r="E897" s="8"/>
    </row>
    <row r="898">
      <c r="E898" s="8"/>
    </row>
    <row r="899">
      <c r="E899" s="8"/>
    </row>
    <row r="900">
      <c r="E900" s="8"/>
    </row>
    <row r="901">
      <c r="E901" s="8"/>
    </row>
    <row r="902">
      <c r="E902" s="8"/>
    </row>
    <row r="903">
      <c r="E903" s="8"/>
    </row>
    <row r="904">
      <c r="E904" s="8"/>
    </row>
    <row r="905">
      <c r="E905" s="8"/>
    </row>
    <row r="906">
      <c r="E906" s="8"/>
    </row>
    <row r="907">
      <c r="E907" s="8"/>
    </row>
    <row r="908">
      <c r="E908" s="8"/>
    </row>
    <row r="909">
      <c r="E909" s="8"/>
    </row>
    <row r="910">
      <c r="E910" s="8"/>
    </row>
    <row r="911">
      <c r="E911" s="8"/>
    </row>
    <row r="912">
      <c r="E912" s="8"/>
    </row>
    <row r="913">
      <c r="E913" s="8"/>
    </row>
    <row r="914">
      <c r="E914" s="8"/>
    </row>
    <row r="915">
      <c r="E915" s="8"/>
    </row>
    <row r="916">
      <c r="E916" s="8"/>
    </row>
    <row r="917">
      <c r="E917" s="8"/>
    </row>
    <row r="918">
      <c r="E918" s="8"/>
    </row>
    <row r="919">
      <c r="E919" s="8"/>
    </row>
    <row r="920">
      <c r="E920" s="8"/>
    </row>
    <row r="921">
      <c r="E921" s="8"/>
    </row>
    <row r="922">
      <c r="E922" s="8"/>
    </row>
    <row r="923">
      <c r="E923" s="8"/>
    </row>
    <row r="924">
      <c r="E924" s="8"/>
    </row>
    <row r="925">
      <c r="E925" s="8"/>
    </row>
    <row r="926">
      <c r="E926" s="8"/>
    </row>
    <row r="927">
      <c r="E927" s="8"/>
    </row>
    <row r="928">
      <c r="E928" s="8"/>
    </row>
    <row r="929">
      <c r="E929" s="8"/>
    </row>
    <row r="930">
      <c r="E930" s="8"/>
    </row>
    <row r="931">
      <c r="E931" s="8"/>
    </row>
    <row r="932">
      <c r="E932" s="8"/>
    </row>
    <row r="933">
      <c r="E933" s="8"/>
    </row>
    <row r="934">
      <c r="E934" s="8"/>
    </row>
    <row r="935">
      <c r="E935" s="8"/>
    </row>
    <row r="936">
      <c r="E936" s="8"/>
    </row>
    <row r="937">
      <c r="E937" s="8"/>
    </row>
    <row r="938">
      <c r="E938" s="8"/>
    </row>
    <row r="939">
      <c r="E939" s="8"/>
    </row>
    <row r="940">
      <c r="E940" s="8"/>
    </row>
    <row r="941">
      <c r="E941" s="8"/>
    </row>
    <row r="942">
      <c r="E942" s="8"/>
    </row>
    <row r="943">
      <c r="E943" s="8"/>
    </row>
    <row r="944">
      <c r="E944" s="8"/>
    </row>
    <row r="945">
      <c r="E945" s="8"/>
    </row>
    <row r="946">
      <c r="E946" s="8"/>
    </row>
    <row r="947">
      <c r="E947" s="8"/>
    </row>
    <row r="948">
      <c r="E948" s="8"/>
    </row>
    <row r="949">
      <c r="E949" s="8"/>
    </row>
    <row r="950">
      <c r="E950" s="8"/>
    </row>
    <row r="951">
      <c r="E951" s="8"/>
    </row>
    <row r="952">
      <c r="E952" s="8"/>
    </row>
    <row r="953">
      <c r="E953" s="8"/>
    </row>
    <row r="954">
      <c r="E954" s="8"/>
    </row>
    <row r="955">
      <c r="E955" s="8"/>
    </row>
    <row r="956">
      <c r="E956" s="8"/>
    </row>
    <row r="957">
      <c r="E957" s="8"/>
    </row>
    <row r="958">
      <c r="E958" s="8"/>
    </row>
    <row r="959">
      <c r="E959" s="8"/>
    </row>
    <row r="960">
      <c r="E960" s="8"/>
    </row>
    <row r="961">
      <c r="E961" s="8"/>
    </row>
    <row r="962">
      <c r="E962" s="8"/>
    </row>
    <row r="963">
      <c r="E963" s="8"/>
    </row>
    <row r="964">
      <c r="E964" s="8"/>
    </row>
    <row r="965">
      <c r="E965" s="8"/>
    </row>
    <row r="966">
      <c r="E966" s="8"/>
    </row>
    <row r="967">
      <c r="E967" s="8"/>
    </row>
    <row r="968">
      <c r="E968" s="8"/>
    </row>
    <row r="969">
      <c r="E969" s="8"/>
    </row>
    <row r="970">
      <c r="E970" s="8"/>
    </row>
    <row r="971">
      <c r="E971" s="8"/>
    </row>
    <row r="972">
      <c r="E972" s="8"/>
    </row>
    <row r="973">
      <c r="E973" s="8"/>
    </row>
    <row r="974">
      <c r="E974" s="8"/>
    </row>
    <row r="975">
      <c r="E975" s="8"/>
    </row>
    <row r="976">
      <c r="E976" s="8"/>
    </row>
    <row r="977">
      <c r="E977" s="8"/>
    </row>
    <row r="978">
      <c r="E978" s="8"/>
    </row>
    <row r="979">
      <c r="E979" s="8"/>
    </row>
    <row r="980">
      <c r="E980" s="8"/>
    </row>
    <row r="981">
      <c r="E981" s="8"/>
    </row>
    <row r="982">
      <c r="E982" s="8"/>
    </row>
    <row r="983">
      <c r="E983" s="8"/>
    </row>
    <row r="984">
      <c r="E984" s="8"/>
    </row>
    <row r="985">
      <c r="E985" s="8"/>
    </row>
    <row r="986">
      <c r="E986" s="8"/>
    </row>
    <row r="987">
      <c r="E987" s="8"/>
    </row>
    <row r="988">
      <c r="E988" s="8"/>
    </row>
    <row r="989">
      <c r="E989" s="8"/>
    </row>
    <row r="990">
      <c r="E990" s="8"/>
    </row>
    <row r="991">
      <c r="E991" s="8"/>
    </row>
    <row r="992">
      <c r="E992" s="8"/>
    </row>
    <row r="993">
      <c r="E993" s="8"/>
    </row>
    <row r="994">
      <c r="E994" s="8"/>
    </row>
    <row r="995">
      <c r="E995" s="8"/>
    </row>
    <row r="996">
      <c r="E996" s="8"/>
    </row>
    <row r="997">
      <c r="E997" s="8"/>
    </row>
    <row r="998">
      <c r="E998" s="8"/>
    </row>
    <row r="999">
      <c r="E999" s="8"/>
    </row>
    <row r="1000">
      <c r="E1000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7" width="22.71"/>
    <col customWidth="1" min="10" max="10" width="45.86"/>
    <col customWidth="1" min="12" max="12" width="16.86"/>
    <col customWidth="1" min="15" max="15" width="50.14"/>
    <col customWidth="1" min="16" max="16" width="26.0"/>
    <col customWidth="1" min="17" max="17" width="24.71"/>
  </cols>
  <sheetData>
    <row r="1">
      <c r="A1" s="1" t="s">
        <v>0</v>
      </c>
      <c r="B1" s="1" t="s">
        <v>1</v>
      </c>
      <c r="C1" s="1" t="s">
        <v>1396</v>
      </c>
      <c r="D1" s="2" t="s">
        <v>3</v>
      </c>
      <c r="E1" s="2" t="s">
        <v>10</v>
      </c>
      <c r="F1" s="2" t="s">
        <v>1397</v>
      </c>
      <c r="G1" s="2" t="s">
        <v>11</v>
      </c>
      <c r="H1" s="2" t="s">
        <v>5</v>
      </c>
      <c r="I1" s="2" t="s">
        <v>6</v>
      </c>
      <c r="J1" s="9" t="s">
        <v>1398</v>
      </c>
      <c r="K1" s="2" t="s">
        <v>12</v>
      </c>
      <c r="L1" s="2" t="s">
        <v>13</v>
      </c>
      <c r="M1" s="2" t="s">
        <v>14</v>
      </c>
      <c r="N1" s="2" t="s">
        <v>1399</v>
      </c>
      <c r="O1" s="9" t="s">
        <v>1400</v>
      </c>
      <c r="P1" s="2" t="s">
        <v>4</v>
      </c>
      <c r="Q1" s="2" t="s">
        <v>1401</v>
      </c>
    </row>
    <row r="2">
      <c r="A2" s="4" t="s">
        <v>33</v>
      </c>
      <c r="B2" s="4" t="s">
        <v>34</v>
      </c>
      <c r="C2" s="4" t="s">
        <v>35</v>
      </c>
      <c r="D2" s="5">
        <v>17100.0</v>
      </c>
      <c r="E2" s="7" t="str">
        <f t="shared" ref="E2:E501" si="2">CHOOSE(RANDBETWEEN(1,7),"A","B","C","D","E","F","G")</f>
        <v>E</v>
      </c>
      <c r="F2" s="7" t="str">
        <f t="shared" ref="F2:F501" si="3">CHOOSE(RANDBETWEEN(1,3),"A","B","C")</f>
        <v>A</v>
      </c>
      <c r="G2" s="7" t="str">
        <f t="shared" ref="G2:G501" si="4">CHOOSE(RANDBETWEEN(1,6),"Transformative change","High ambition","Transformative change","Transformative change","Transformative change","Transformative change")</f>
        <v>Transformative change</v>
      </c>
      <c r="H2" s="7">
        <f t="shared" ref="H2:J2" si="1">ROUND(RAND(),2)</f>
        <v>0.14</v>
      </c>
      <c r="I2" s="7">
        <f t="shared" si="1"/>
        <v>0.82</v>
      </c>
      <c r="J2" s="7">
        <f t="shared" si="1"/>
        <v>0.25</v>
      </c>
      <c r="K2" s="7" t="str">
        <f t="shared" ref="K2:K501" si="6">CHOOSE(RANDBETWEEN(1,3),"Low","Medium","High")</f>
        <v>Low</v>
      </c>
      <c r="L2" s="7">
        <f t="shared" ref="L2:L501" si="7">RANDBETWEEN(40000,4000000)</f>
        <v>85298</v>
      </c>
      <c r="M2" s="7">
        <f t="shared" ref="M2:M501" si="8">L2*RAND()</f>
        <v>23013.77732</v>
      </c>
      <c r="N2" s="7">
        <f t="shared" ref="N2:N501" si="9">D2*RANDBETWEEN(4,15)</f>
        <v>136800</v>
      </c>
      <c r="O2" s="7">
        <f>N2+RANDBETWEEN(1000,100000)</f>
        <v>143896</v>
      </c>
      <c r="P2" s="7">
        <f t="shared" ref="P2:P501" si="10">ROUND(IF(N2/RANDBETWEEN(24,400)&lt;1100,RANDBETWEEN(800,1100),N2/RANDBETWEEN(24,400)),2)</f>
        <v>437.06</v>
      </c>
      <c r="Q2" s="7">
        <f t="shared" ref="Q2:Q501" si="11">RANDBETWEEN(1,30)/100</f>
        <v>0.21</v>
      </c>
    </row>
    <row r="3">
      <c r="A3" s="4" t="s">
        <v>36</v>
      </c>
      <c r="B3" s="4" t="s">
        <v>37</v>
      </c>
      <c r="C3" s="4" t="s">
        <v>38</v>
      </c>
      <c r="D3" s="5">
        <v>89592.0</v>
      </c>
      <c r="E3" s="7" t="str">
        <f t="shared" si="2"/>
        <v>A</v>
      </c>
      <c r="F3" s="7" t="str">
        <f t="shared" si="3"/>
        <v>A</v>
      </c>
      <c r="G3" s="7" t="str">
        <f t="shared" si="4"/>
        <v>High ambition</v>
      </c>
      <c r="H3" s="7">
        <f t="shared" ref="H3:J3" si="5">ROUND(RAND(),2)</f>
        <v>0.15</v>
      </c>
      <c r="I3" s="7">
        <f t="shared" si="5"/>
        <v>0.66</v>
      </c>
      <c r="J3" s="7">
        <f t="shared" si="5"/>
        <v>0.79</v>
      </c>
      <c r="K3" s="7" t="str">
        <f t="shared" si="6"/>
        <v>High</v>
      </c>
      <c r="L3" s="7">
        <f t="shared" si="7"/>
        <v>3390527</v>
      </c>
      <c r="M3" s="7">
        <f t="shared" si="8"/>
        <v>975591.2158</v>
      </c>
      <c r="N3" s="7">
        <f t="shared" si="9"/>
        <v>1254288</v>
      </c>
      <c r="O3" s="7">
        <f t="shared" ref="O3:O501" si="13">N3+RANDBETWEEN(1000,200000)</f>
        <v>1358303</v>
      </c>
      <c r="P3" s="7">
        <f t="shared" si="10"/>
        <v>3371.74</v>
      </c>
      <c r="Q3" s="7">
        <f t="shared" si="11"/>
        <v>0.21</v>
      </c>
    </row>
    <row r="4">
      <c r="A4" s="4" t="s">
        <v>39</v>
      </c>
      <c r="B4" s="4" t="s">
        <v>40</v>
      </c>
      <c r="C4" s="4" t="s">
        <v>41</v>
      </c>
      <c r="D4" s="5">
        <v>23688.0</v>
      </c>
      <c r="E4" s="7" t="str">
        <f t="shared" si="2"/>
        <v>E</v>
      </c>
      <c r="F4" s="7" t="str">
        <f t="shared" si="3"/>
        <v>B</v>
      </c>
      <c r="G4" s="7" t="str">
        <f t="shared" si="4"/>
        <v>Transformative change</v>
      </c>
      <c r="H4" s="7">
        <f t="shared" ref="H4:J4" si="12">ROUND(RAND(),2)</f>
        <v>0.69</v>
      </c>
      <c r="I4" s="7">
        <f t="shared" si="12"/>
        <v>0.95</v>
      </c>
      <c r="J4" s="7">
        <f t="shared" si="12"/>
        <v>0.53</v>
      </c>
      <c r="K4" s="7" t="str">
        <f t="shared" si="6"/>
        <v>Low</v>
      </c>
      <c r="L4" s="7">
        <f t="shared" si="7"/>
        <v>3888800</v>
      </c>
      <c r="M4" s="7">
        <f t="shared" si="8"/>
        <v>3041744.216</v>
      </c>
      <c r="N4" s="7">
        <f t="shared" si="9"/>
        <v>118440</v>
      </c>
      <c r="O4" s="7">
        <f t="shared" si="13"/>
        <v>195963</v>
      </c>
      <c r="P4" s="7">
        <f t="shared" si="10"/>
        <v>1000</v>
      </c>
      <c r="Q4" s="7">
        <f t="shared" si="11"/>
        <v>0.12</v>
      </c>
    </row>
    <row r="5">
      <c r="A5" s="4" t="s">
        <v>42</v>
      </c>
      <c r="B5" s="4" t="s">
        <v>43</v>
      </c>
      <c r="C5" s="4" t="s">
        <v>44</v>
      </c>
      <c r="D5" s="5">
        <v>707515.0</v>
      </c>
      <c r="E5" s="7" t="str">
        <f t="shared" si="2"/>
        <v>G</v>
      </c>
      <c r="F5" s="7" t="str">
        <f t="shared" si="3"/>
        <v>A</v>
      </c>
      <c r="G5" s="7" t="str">
        <f t="shared" si="4"/>
        <v>Transformative change</v>
      </c>
      <c r="H5" s="7">
        <f t="shared" ref="H5:J5" si="14">ROUND(RAND(),2)</f>
        <v>0.29</v>
      </c>
      <c r="I5" s="7">
        <f t="shared" si="14"/>
        <v>0.61</v>
      </c>
      <c r="J5" s="7">
        <f t="shared" si="14"/>
        <v>0.9</v>
      </c>
      <c r="K5" s="7" t="str">
        <f t="shared" si="6"/>
        <v>Low</v>
      </c>
      <c r="L5" s="7">
        <f t="shared" si="7"/>
        <v>3067676</v>
      </c>
      <c r="M5" s="7">
        <f t="shared" si="8"/>
        <v>1476022.678</v>
      </c>
      <c r="N5" s="7">
        <f t="shared" si="9"/>
        <v>8490180</v>
      </c>
      <c r="O5" s="7">
        <f t="shared" si="13"/>
        <v>8576801</v>
      </c>
      <c r="P5" s="7">
        <f t="shared" si="10"/>
        <v>107470.63</v>
      </c>
      <c r="Q5" s="7">
        <f t="shared" si="11"/>
        <v>0.16</v>
      </c>
    </row>
    <row r="6">
      <c r="A6" s="4" t="s">
        <v>45</v>
      </c>
      <c r="B6" s="4" t="s">
        <v>46</v>
      </c>
      <c r="C6" s="4" t="s">
        <v>47</v>
      </c>
      <c r="D6" s="5">
        <v>8954.0</v>
      </c>
      <c r="E6" s="7" t="str">
        <f t="shared" si="2"/>
        <v>G</v>
      </c>
      <c r="F6" s="7" t="str">
        <f t="shared" si="3"/>
        <v>B</v>
      </c>
      <c r="G6" s="7" t="str">
        <f t="shared" si="4"/>
        <v>Transformative change</v>
      </c>
      <c r="H6" s="7">
        <f t="shared" ref="H6:J6" si="15">ROUND(RAND(),2)</f>
        <v>0.79</v>
      </c>
      <c r="I6" s="7">
        <f t="shared" si="15"/>
        <v>0.95</v>
      </c>
      <c r="J6" s="7">
        <f t="shared" si="15"/>
        <v>0.67</v>
      </c>
      <c r="K6" s="7" t="str">
        <f t="shared" si="6"/>
        <v>Medium</v>
      </c>
      <c r="L6" s="7">
        <f t="shared" si="7"/>
        <v>3286779</v>
      </c>
      <c r="M6" s="7">
        <f t="shared" si="8"/>
        <v>3142409.887</v>
      </c>
      <c r="N6" s="7">
        <f t="shared" si="9"/>
        <v>71632</v>
      </c>
      <c r="O6" s="7">
        <f t="shared" si="13"/>
        <v>195866</v>
      </c>
      <c r="P6" s="7">
        <f t="shared" si="10"/>
        <v>883</v>
      </c>
      <c r="Q6" s="7">
        <f t="shared" si="11"/>
        <v>0.15</v>
      </c>
    </row>
    <row r="7">
      <c r="A7" s="4" t="s">
        <v>48</v>
      </c>
      <c r="B7" s="4" t="s">
        <v>49</v>
      </c>
      <c r="C7" s="4" t="s">
        <v>50</v>
      </c>
      <c r="D7" s="5">
        <v>77325.0</v>
      </c>
      <c r="E7" s="7" t="str">
        <f t="shared" si="2"/>
        <v>D</v>
      </c>
      <c r="F7" s="7" t="str">
        <f t="shared" si="3"/>
        <v>A</v>
      </c>
      <c r="G7" s="7" t="str">
        <f t="shared" si="4"/>
        <v>Transformative change</v>
      </c>
      <c r="H7" s="7">
        <f t="shared" ref="H7:J7" si="16">ROUND(RAND(),2)</f>
        <v>0.08</v>
      </c>
      <c r="I7" s="7">
        <f t="shared" si="16"/>
        <v>0.97</v>
      </c>
      <c r="J7" s="7">
        <f t="shared" si="16"/>
        <v>0.16</v>
      </c>
      <c r="K7" s="7" t="str">
        <f t="shared" si="6"/>
        <v>High</v>
      </c>
      <c r="L7" s="7">
        <f t="shared" si="7"/>
        <v>3527640</v>
      </c>
      <c r="M7" s="7">
        <f t="shared" si="8"/>
        <v>90372.61644</v>
      </c>
      <c r="N7" s="7">
        <f t="shared" si="9"/>
        <v>463950</v>
      </c>
      <c r="O7" s="7">
        <f t="shared" si="13"/>
        <v>642309</v>
      </c>
      <c r="P7" s="7">
        <f t="shared" si="10"/>
        <v>2008.44</v>
      </c>
      <c r="Q7" s="7">
        <f t="shared" si="11"/>
        <v>0.08</v>
      </c>
    </row>
    <row r="8">
      <c r="A8" s="4" t="s">
        <v>51</v>
      </c>
      <c r="B8" s="4" t="s">
        <v>52</v>
      </c>
      <c r="C8" s="4" t="s">
        <v>53</v>
      </c>
      <c r="D8" s="5">
        <v>19336.0</v>
      </c>
      <c r="E8" s="7" t="str">
        <f t="shared" si="2"/>
        <v>A</v>
      </c>
      <c r="F8" s="7" t="str">
        <f t="shared" si="3"/>
        <v>C</v>
      </c>
      <c r="G8" s="7" t="str">
        <f t="shared" si="4"/>
        <v>Transformative change</v>
      </c>
      <c r="H8" s="7">
        <f t="shared" ref="H8:J8" si="17">ROUND(RAND(),2)</f>
        <v>0.12</v>
      </c>
      <c r="I8" s="7">
        <f t="shared" si="17"/>
        <v>0.93</v>
      </c>
      <c r="J8" s="7">
        <f t="shared" si="17"/>
        <v>0.22</v>
      </c>
      <c r="K8" s="7" t="str">
        <f t="shared" si="6"/>
        <v>Medium</v>
      </c>
      <c r="L8" s="7">
        <f t="shared" si="7"/>
        <v>467531</v>
      </c>
      <c r="M8" s="7">
        <f t="shared" si="8"/>
        <v>264695.3891</v>
      </c>
      <c r="N8" s="7">
        <f t="shared" si="9"/>
        <v>116016</v>
      </c>
      <c r="O8" s="7">
        <f t="shared" si="13"/>
        <v>214356</v>
      </c>
      <c r="P8" s="7">
        <f t="shared" si="10"/>
        <v>996</v>
      </c>
      <c r="Q8" s="7">
        <f t="shared" si="11"/>
        <v>0.18</v>
      </c>
    </row>
    <row r="9">
      <c r="A9" s="4" t="s">
        <v>54</v>
      </c>
      <c r="B9" s="4" t="s">
        <v>55</v>
      </c>
      <c r="C9" s="4" t="s">
        <v>56</v>
      </c>
      <c r="D9" s="5">
        <v>234404.0</v>
      </c>
      <c r="E9" s="7" t="str">
        <f t="shared" si="2"/>
        <v>F</v>
      </c>
      <c r="F9" s="7" t="str">
        <f t="shared" si="3"/>
        <v>B</v>
      </c>
      <c r="G9" s="7" t="str">
        <f t="shared" si="4"/>
        <v>Transformative change</v>
      </c>
      <c r="H9" s="7">
        <f t="shared" ref="H9:J9" si="18">ROUND(RAND(),2)</f>
        <v>0.97</v>
      </c>
      <c r="I9" s="7">
        <f t="shared" si="18"/>
        <v>0.69</v>
      </c>
      <c r="J9" s="7">
        <f t="shared" si="18"/>
        <v>0.56</v>
      </c>
      <c r="K9" s="7" t="str">
        <f t="shared" si="6"/>
        <v>Medium</v>
      </c>
      <c r="L9" s="7">
        <f t="shared" si="7"/>
        <v>1694452</v>
      </c>
      <c r="M9" s="7">
        <f t="shared" si="8"/>
        <v>66819.33385</v>
      </c>
      <c r="N9" s="7">
        <f t="shared" si="9"/>
        <v>2344040</v>
      </c>
      <c r="O9" s="7">
        <f t="shared" si="13"/>
        <v>2383153</v>
      </c>
      <c r="P9" s="7">
        <f t="shared" si="10"/>
        <v>8371.57</v>
      </c>
      <c r="Q9" s="7">
        <f t="shared" si="11"/>
        <v>0.02</v>
      </c>
    </row>
    <row r="10">
      <c r="A10" s="4" t="s">
        <v>57</v>
      </c>
      <c r="B10" s="4" t="s">
        <v>58</v>
      </c>
      <c r="C10" s="4" t="s">
        <v>59</v>
      </c>
      <c r="D10" s="5">
        <v>14081.0</v>
      </c>
      <c r="E10" s="7" t="str">
        <f t="shared" si="2"/>
        <v>E</v>
      </c>
      <c r="F10" s="7" t="str">
        <f t="shared" si="3"/>
        <v>A</v>
      </c>
      <c r="G10" s="7" t="str">
        <f t="shared" si="4"/>
        <v>Transformative change</v>
      </c>
      <c r="H10" s="7">
        <f t="shared" ref="H10:J10" si="19">ROUND(RAND(),2)</f>
        <v>0.57</v>
      </c>
      <c r="I10" s="7">
        <f t="shared" si="19"/>
        <v>0.75</v>
      </c>
      <c r="J10" s="7">
        <f t="shared" si="19"/>
        <v>0.22</v>
      </c>
      <c r="K10" s="7" t="str">
        <f t="shared" si="6"/>
        <v>High</v>
      </c>
      <c r="L10" s="7">
        <f t="shared" si="7"/>
        <v>2763643</v>
      </c>
      <c r="M10" s="7">
        <f t="shared" si="8"/>
        <v>1585190.569</v>
      </c>
      <c r="N10" s="7">
        <f t="shared" si="9"/>
        <v>70405</v>
      </c>
      <c r="O10" s="7">
        <f t="shared" si="13"/>
        <v>256174</v>
      </c>
      <c r="P10" s="7">
        <f t="shared" si="10"/>
        <v>867</v>
      </c>
      <c r="Q10" s="7">
        <f t="shared" si="11"/>
        <v>0.03</v>
      </c>
    </row>
    <row r="11">
      <c r="A11" s="4" t="s">
        <v>60</v>
      </c>
      <c r="B11" s="4" t="s">
        <v>61</v>
      </c>
      <c r="C11" s="4" t="s">
        <v>62</v>
      </c>
      <c r="D11" s="5">
        <v>14001.0</v>
      </c>
      <c r="E11" s="7" t="str">
        <f t="shared" si="2"/>
        <v>A</v>
      </c>
      <c r="F11" s="7" t="str">
        <f t="shared" si="3"/>
        <v>A</v>
      </c>
      <c r="G11" s="7" t="str">
        <f t="shared" si="4"/>
        <v>Transformative change</v>
      </c>
      <c r="H11" s="7">
        <f t="shared" ref="H11:J11" si="20">ROUND(RAND(),2)</f>
        <v>0.69</v>
      </c>
      <c r="I11" s="7">
        <f t="shared" si="20"/>
        <v>0.28</v>
      </c>
      <c r="J11" s="7">
        <f t="shared" si="20"/>
        <v>0.7</v>
      </c>
      <c r="K11" s="7" t="str">
        <f t="shared" si="6"/>
        <v>Low</v>
      </c>
      <c r="L11" s="7">
        <f t="shared" si="7"/>
        <v>2535801</v>
      </c>
      <c r="M11" s="7">
        <f t="shared" si="8"/>
        <v>2082225.459</v>
      </c>
      <c r="N11" s="7">
        <f t="shared" si="9"/>
        <v>210015</v>
      </c>
      <c r="O11" s="7">
        <f t="shared" si="13"/>
        <v>383432</v>
      </c>
      <c r="P11" s="7">
        <f t="shared" si="10"/>
        <v>958.97</v>
      </c>
      <c r="Q11" s="7">
        <f t="shared" si="11"/>
        <v>0.11</v>
      </c>
    </row>
    <row r="12">
      <c r="A12" s="4" t="s">
        <v>63</v>
      </c>
      <c r="B12" s="4" t="s">
        <v>64</v>
      </c>
      <c r="C12" s="4" t="s">
        <v>65</v>
      </c>
      <c r="D12" s="5">
        <v>12157.0</v>
      </c>
      <c r="E12" s="7" t="str">
        <f t="shared" si="2"/>
        <v>F</v>
      </c>
      <c r="F12" s="7" t="str">
        <f t="shared" si="3"/>
        <v>A</v>
      </c>
      <c r="G12" s="7" t="str">
        <f t="shared" si="4"/>
        <v>Transformative change</v>
      </c>
      <c r="H12" s="7">
        <f t="shared" ref="H12:J12" si="21">ROUND(RAND(),2)</f>
        <v>0.67</v>
      </c>
      <c r="I12" s="7">
        <f t="shared" si="21"/>
        <v>0.5</v>
      </c>
      <c r="J12" s="7">
        <f t="shared" si="21"/>
        <v>0.71</v>
      </c>
      <c r="K12" s="7" t="str">
        <f t="shared" si="6"/>
        <v>High</v>
      </c>
      <c r="L12" s="7">
        <f t="shared" si="7"/>
        <v>2935312</v>
      </c>
      <c r="M12" s="7">
        <f t="shared" si="8"/>
        <v>784509.1715</v>
      </c>
      <c r="N12" s="7">
        <f t="shared" si="9"/>
        <v>85099</v>
      </c>
      <c r="O12" s="7">
        <f t="shared" si="13"/>
        <v>143450</v>
      </c>
      <c r="P12" s="7">
        <f t="shared" si="10"/>
        <v>917</v>
      </c>
      <c r="Q12" s="7">
        <f t="shared" si="11"/>
        <v>0.23</v>
      </c>
    </row>
    <row r="13">
      <c r="A13" s="4" t="s">
        <v>66</v>
      </c>
      <c r="B13" s="4" t="s">
        <v>67</v>
      </c>
      <c r="C13" s="4" t="s">
        <v>68</v>
      </c>
      <c r="D13" s="5">
        <v>7259.0</v>
      </c>
      <c r="E13" s="7" t="str">
        <f t="shared" si="2"/>
        <v>D</v>
      </c>
      <c r="F13" s="7" t="str">
        <f t="shared" si="3"/>
        <v>A</v>
      </c>
      <c r="G13" s="7" t="str">
        <f t="shared" si="4"/>
        <v>High ambition</v>
      </c>
      <c r="H13" s="7">
        <f t="shared" ref="H13:J13" si="22">ROUND(RAND(),2)</f>
        <v>0.19</v>
      </c>
      <c r="I13" s="7">
        <f t="shared" si="22"/>
        <v>0.63</v>
      </c>
      <c r="J13" s="7">
        <f t="shared" si="22"/>
        <v>0.35</v>
      </c>
      <c r="K13" s="7" t="str">
        <f t="shared" si="6"/>
        <v>High</v>
      </c>
      <c r="L13" s="7">
        <f t="shared" si="7"/>
        <v>2410788</v>
      </c>
      <c r="M13" s="7">
        <f t="shared" si="8"/>
        <v>713042.9879</v>
      </c>
      <c r="N13" s="7">
        <f t="shared" si="9"/>
        <v>50813</v>
      </c>
      <c r="O13" s="7">
        <f t="shared" si="13"/>
        <v>111101</v>
      </c>
      <c r="P13" s="7">
        <f t="shared" si="10"/>
        <v>962</v>
      </c>
      <c r="Q13" s="7">
        <f t="shared" si="11"/>
        <v>0.2</v>
      </c>
    </row>
    <row r="14">
      <c r="A14" s="4" t="s">
        <v>69</v>
      </c>
      <c r="B14" s="4" t="s">
        <v>70</v>
      </c>
      <c r="C14" s="4" t="s">
        <v>71</v>
      </c>
      <c r="D14" s="5">
        <v>15765.0</v>
      </c>
      <c r="E14" s="7" t="str">
        <f t="shared" si="2"/>
        <v>E</v>
      </c>
      <c r="F14" s="7" t="str">
        <f t="shared" si="3"/>
        <v>A</v>
      </c>
      <c r="G14" s="7" t="str">
        <f t="shared" si="4"/>
        <v>High ambition</v>
      </c>
      <c r="H14" s="7">
        <f t="shared" ref="H14:J14" si="23">ROUND(RAND(),2)</f>
        <v>0.5</v>
      </c>
      <c r="I14" s="7">
        <f t="shared" si="23"/>
        <v>0.23</v>
      </c>
      <c r="J14" s="7">
        <f t="shared" si="23"/>
        <v>0.16</v>
      </c>
      <c r="K14" s="7" t="str">
        <f t="shared" si="6"/>
        <v>Medium</v>
      </c>
      <c r="L14" s="7">
        <f t="shared" si="7"/>
        <v>1593174</v>
      </c>
      <c r="M14" s="7">
        <f t="shared" si="8"/>
        <v>688185.0119</v>
      </c>
      <c r="N14" s="7">
        <f t="shared" si="9"/>
        <v>204945</v>
      </c>
      <c r="O14" s="7">
        <f t="shared" si="13"/>
        <v>263412</v>
      </c>
      <c r="P14" s="7">
        <f t="shared" si="10"/>
        <v>970</v>
      </c>
      <c r="Q14" s="7">
        <f t="shared" si="11"/>
        <v>0.04</v>
      </c>
    </row>
    <row r="15">
      <c r="A15" s="4" t="s">
        <v>72</v>
      </c>
      <c r="B15" s="4" t="s">
        <v>73</v>
      </c>
      <c r="C15" s="4" t="s">
        <v>74</v>
      </c>
      <c r="D15" s="5">
        <v>11233.0</v>
      </c>
      <c r="E15" s="7" t="str">
        <f t="shared" si="2"/>
        <v>A</v>
      </c>
      <c r="F15" s="7" t="str">
        <f t="shared" si="3"/>
        <v>A</v>
      </c>
      <c r="G15" s="7" t="str">
        <f t="shared" si="4"/>
        <v>Transformative change</v>
      </c>
      <c r="H15" s="7">
        <f t="shared" ref="H15:J15" si="24">ROUND(RAND(),2)</f>
        <v>0.18</v>
      </c>
      <c r="I15" s="7">
        <f t="shared" si="24"/>
        <v>0.33</v>
      </c>
      <c r="J15" s="7">
        <f t="shared" si="24"/>
        <v>0.38</v>
      </c>
      <c r="K15" s="7" t="str">
        <f t="shared" si="6"/>
        <v>Medium</v>
      </c>
      <c r="L15" s="7">
        <f t="shared" si="7"/>
        <v>1197204</v>
      </c>
      <c r="M15" s="7">
        <f t="shared" si="8"/>
        <v>584631.23</v>
      </c>
      <c r="N15" s="7">
        <f t="shared" si="9"/>
        <v>89864</v>
      </c>
      <c r="O15" s="7">
        <f t="shared" si="13"/>
        <v>120548</v>
      </c>
      <c r="P15" s="7">
        <f t="shared" si="10"/>
        <v>1762.04</v>
      </c>
      <c r="Q15" s="7">
        <f t="shared" si="11"/>
        <v>0.26</v>
      </c>
    </row>
    <row r="16">
      <c r="A16" s="4" t="s">
        <v>75</v>
      </c>
      <c r="B16" s="4" t="s">
        <v>76</v>
      </c>
      <c r="C16" s="4" t="s">
        <v>77</v>
      </c>
      <c r="D16" s="5">
        <v>5414.0</v>
      </c>
      <c r="E16" s="7" t="str">
        <f t="shared" si="2"/>
        <v>F</v>
      </c>
      <c r="F16" s="7" t="str">
        <f t="shared" si="3"/>
        <v>B</v>
      </c>
      <c r="G16" s="7" t="str">
        <f t="shared" si="4"/>
        <v>Transformative change</v>
      </c>
      <c r="H16" s="7">
        <f t="shared" ref="H16:J16" si="25">ROUND(RAND(),2)</f>
        <v>0.13</v>
      </c>
      <c r="I16" s="7">
        <f t="shared" si="25"/>
        <v>0.17</v>
      </c>
      <c r="J16" s="7">
        <f t="shared" si="25"/>
        <v>0.89</v>
      </c>
      <c r="K16" s="7" t="str">
        <f t="shared" si="6"/>
        <v>High</v>
      </c>
      <c r="L16" s="7">
        <f t="shared" si="7"/>
        <v>2444544</v>
      </c>
      <c r="M16" s="7">
        <f t="shared" si="8"/>
        <v>553823.0393</v>
      </c>
      <c r="N16" s="7">
        <f t="shared" si="9"/>
        <v>81210</v>
      </c>
      <c r="O16" s="7">
        <f t="shared" si="13"/>
        <v>218838</v>
      </c>
      <c r="P16" s="7">
        <f t="shared" si="10"/>
        <v>808</v>
      </c>
      <c r="Q16" s="7">
        <f t="shared" si="11"/>
        <v>0.15</v>
      </c>
    </row>
    <row r="17">
      <c r="A17" s="4" t="s">
        <v>78</v>
      </c>
      <c r="B17" s="4" t="s">
        <v>79</v>
      </c>
      <c r="C17" s="4" t="s">
        <v>80</v>
      </c>
      <c r="D17" s="5">
        <v>10706.0</v>
      </c>
      <c r="E17" s="7" t="str">
        <f t="shared" si="2"/>
        <v>A</v>
      </c>
      <c r="F17" s="7" t="str">
        <f t="shared" si="3"/>
        <v>B</v>
      </c>
      <c r="G17" s="7" t="str">
        <f t="shared" si="4"/>
        <v>High ambition</v>
      </c>
      <c r="H17" s="7">
        <f t="shared" ref="H17:J17" si="26">ROUND(RAND(),2)</f>
        <v>0.57</v>
      </c>
      <c r="I17" s="7">
        <f t="shared" si="26"/>
        <v>0.78</v>
      </c>
      <c r="J17" s="7">
        <f t="shared" si="26"/>
        <v>0.77</v>
      </c>
      <c r="K17" s="7" t="str">
        <f t="shared" si="6"/>
        <v>High</v>
      </c>
      <c r="L17" s="7">
        <f t="shared" si="7"/>
        <v>2091445</v>
      </c>
      <c r="M17" s="7">
        <f t="shared" si="8"/>
        <v>1942002.842</v>
      </c>
      <c r="N17" s="7">
        <f t="shared" si="9"/>
        <v>96354</v>
      </c>
      <c r="O17" s="7">
        <f t="shared" si="13"/>
        <v>243042</v>
      </c>
      <c r="P17" s="7">
        <f t="shared" si="10"/>
        <v>247.06</v>
      </c>
      <c r="Q17" s="7">
        <f t="shared" si="11"/>
        <v>0.3</v>
      </c>
    </row>
    <row r="18">
      <c r="A18" s="4" t="s">
        <v>81</v>
      </c>
      <c r="B18" s="4" t="s">
        <v>82</v>
      </c>
      <c r="C18" s="4" t="s">
        <v>83</v>
      </c>
      <c r="D18" s="5">
        <v>8842.0</v>
      </c>
      <c r="E18" s="7" t="str">
        <f t="shared" si="2"/>
        <v>E</v>
      </c>
      <c r="F18" s="7" t="str">
        <f t="shared" si="3"/>
        <v>B</v>
      </c>
      <c r="G18" s="7" t="str">
        <f t="shared" si="4"/>
        <v>Transformative change</v>
      </c>
      <c r="H18" s="7">
        <f t="shared" ref="H18:J18" si="27">ROUND(RAND(),2)</f>
        <v>0.27</v>
      </c>
      <c r="I18" s="7">
        <f t="shared" si="27"/>
        <v>0.79</v>
      </c>
      <c r="J18" s="7">
        <f t="shared" si="27"/>
        <v>0.7</v>
      </c>
      <c r="K18" s="7" t="str">
        <f t="shared" si="6"/>
        <v>Low</v>
      </c>
      <c r="L18" s="7">
        <f t="shared" si="7"/>
        <v>1465709</v>
      </c>
      <c r="M18" s="7">
        <f t="shared" si="8"/>
        <v>617721.6037</v>
      </c>
      <c r="N18" s="7">
        <f t="shared" si="9"/>
        <v>97262</v>
      </c>
      <c r="O18" s="7">
        <f t="shared" si="13"/>
        <v>255087</v>
      </c>
      <c r="P18" s="7">
        <f t="shared" si="10"/>
        <v>1002</v>
      </c>
      <c r="Q18" s="7">
        <f t="shared" si="11"/>
        <v>0.01</v>
      </c>
    </row>
    <row r="19">
      <c r="A19" s="4" t="s">
        <v>84</v>
      </c>
      <c r="B19" s="4" t="s">
        <v>85</v>
      </c>
      <c r="C19" s="4" t="s">
        <v>86</v>
      </c>
      <c r="D19" s="5">
        <v>184035.0</v>
      </c>
      <c r="E19" s="7" t="str">
        <f t="shared" si="2"/>
        <v>D</v>
      </c>
      <c r="F19" s="7" t="str">
        <f t="shared" si="3"/>
        <v>C</v>
      </c>
      <c r="G19" s="7" t="str">
        <f t="shared" si="4"/>
        <v>Transformative change</v>
      </c>
      <c r="H19" s="7">
        <f t="shared" ref="H19:J19" si="28">ROUND(RAND(),2)</f>
        <v>0.1</v>
      </c>
      <c r="I19" s="7">
        <f t="shared" si="28"/>
        <v>0.85</v>
      </c>
      <c r="J19" s="7">
        <f t="shared" si="28"/>
        <v>0.15</v>
      </c>
      <c r="K19" s="7" t="str">
        <f t="shared" si="6"/>
        <v>Medium</v>
      </c>
      <c r="L19" s="7">
        <f t="shared" si="7"/>
        <v>68505</v>
      </c>
      <c r="M19" s="7">
        <f t="shared" si="8"/>
        <v>36261.41494</v>
      </c>
      <c r="N19" s="7">
        <f t="shared" si="9"/>
        <v>2024385</v>
      </c>
      <c r="O19" s="7">
        <f t="shared" si="13"/>
        <v>2025530</v>
      </c>
      <c r="P19" s="7">
        <f t="shared" si="10"/>
        <v>8614.4</v>
      </c>
      <c r="Q19" s="7">
        <f t="shared" si="11"/>
        <v>0.13</v>
      </c>
    </row>
    <row r="20">
      <c r="A20" s="4" t="s">
        <v>87</v>
      </c>
      <c r="B20" s="4" t="s">
        <v>88</v>
      </c>
      <c r="C20" s="4" t="s">
        <v>89</v>
      </c>
      <c r="D20" s="5">
        <v>23265.0</v>
      </c>
      <c r="E20" s="7" t="str">
        <f t="shared" si="2"/>
        <v>F</v>
      </c>
      <c r="F20" s="7" t="str">
        <f t="shared" si="3"/>
        <v>C</v>
      </c>
      <c r="G20" s="7" t="str">
        <f t="shared" si="4"/>
        <v>Transformative change</v>
      </c>
      <c r="H20" s="7">
        <f t="shared" ref="H20:J20" si="29">ROUND(RAND(),2)</f>
        <v>0.04</v>
      </c>
      <c r="I20" s="7">
        <f t="shared" si="29"/>
        <v>0.84</v>
      </c>
      <c r="J20" s="7">
        <f t="shared" si="29"/>
        <v>0.02</v>
      </c>
      <c r="K20" s="7" t="str">
        <f t="shared" si="6"/>
        <v>Low</v>
      </c>
      <c r="L20" s="7">
        <f t="shared" si="7"/>
        <v>1702884</v>
      </c>
      <c r="M20" s="7">
        <f t="shared" si="8"/>
        <v>346768.1812</v>
      </c>
      <c r="N20" s="7">
        <f t="shared" si="9"/>
        <v>93060</v>
      </c>
      <c r="O20" s="7">
        <f t="shared" si="13"/>
        <v>135826</v>
      </c>
      <c r="P20" s="7">
        <f t="shared" si="10"/>
        <v>1052</v>
      </c>
      <c r="Q20" s="7">
        <f t="shared" si="11"/>
        <v>0.13</v>
      </c>
    </row>
    <row r="21">
      <c r="A21" s="4" t="s">
        <v>90</v>
      </c>
      <c r="B21" s="4" t="s">
        <v>91</v>
      </c>
      <c r="C21" s="4" t="s">
        <v>92</v>
      </c>
      <c r="D21" s="5">
        <v>346162.0</v>
      </c>
      <c r="E21" s="7" t="str">
        <f t="shared" si="2"/>
        <v>B</v>
      </c>
      <c r="F21" s="7" t="str">
        <f t="shared" si="3"/>
        <v>B</v>
      </c>
      <c r="G21" s="7" t="str">
        <f t="shared" si="4"/>
        <v>High ambition</v>
      </c>
      <c r="H21" s="7">
        <f t="shared" ref="H21:J21" si="30">ROUND(RAND(),2)</f>
        <v>0.41</v>
      </c>
      <c r="I21" s="7">
        <f t="shared" si="30"/>
        <v>0.61</v>
      </c>
      <c r="J21" s="7">
        <f t="shared" si="30"/>
        <v>0.28</v>
      </c>
      <c r="K21" s="7" t="str">
        <f t="shared" si="6"/>
        <v>Low</v>
      </c>
      <c r="L21" s="7">
        <f t="shared" si="7"/>
        <v>3445135</v>
      </c>
      <c r="M21" s="7">
        <f t="shared" si="8"/>
        <v>731163.0392</v>
      </c>
      <c r="N21" s="7">
        <f t="shared" si="9"/>
        <v>3115458</v>
      </c>
      <c r="O21" s="7">
        <f t="shared" si="13"/>
        <v>3125653</v>
      </c>
      <c r="P21" s="7">
        <f t="shared" si="10"/>
        <v>15050.52</v>
      </c>
      <c r="Q21" s="7">
        <f t="shared" si="11"/>
        <v>0.15</v>
      </c>
    </row>
    <row r="22">
      <c r="A22" s="4" t="s">
        <v>93</v>
      </c>
      <c r="B22" s="4" t="s">
        <v>94</v>
      </c>
      <c r="C22" s="4" t="s">
        <v>95</v>
      </c>
      <c r="D22" s="5">
        <v>8699.0</v>
      </c>
      <c r="E22" s="7" t="str">
        <f t="shared" si="2"/>
        <v>E</v>
      </c>
      <c r="F22" s="7" t="str">
        <f t="shared" si="3"/>
        <v>C</v>
      </c>
      <c r="G22" s="7" t="str">
        <f t="shared" si="4"/>
        <v>Transformative change</v>
      </c>
      <c r="H22" s="7">
        <f t="shared" ref="H22:J22" si="31">ROUND(RAND(),2)</f>
        <v>0.75</v>
      </c>
      <c r="I22" s="7">
        <f t="shared" si="31"/>
        <v>0.38</v>
      </c>
      <c r="J22" s="7">
        <f t="shared" si="31"/>
        <v>0.87</v>
      </c>
      <c r="K22" s="7" t="str">
        <f t="shared" si="6"/>
        <v>Low</v>
      </c>
      <c r="L22" s="7">
        <f t="shared" si="7"/>
        <v>345631</v>
      </c>
      <c r="M22" s="7">
        <f t="shared" si="8"/>
        <v>315018.4206</v>
      </c>
      <c r="N22" s="7">
        <f t="shared" si="9"/>
        <v>86990</v>
      </c>
      <c r="O22" s="7">
        <f t="shared" si="13"/>
        <v>215033</v>
      </c>
      <c r="P22" s="7">
        <f t="shared" si="10"/>
        <v>880</v>
      </c>
      <c r="Q22" s="7">
        <f t="shared" si="11"/>
        <v>0.15</v>
      </c>
    </row>
    <row r="23">
      <c r="A23" s="4" t="s">
        <v>96</v>
      </c>
      <c r="B23" s="4" t="s">
        <v>97</v>
      </c>
      <c r="C23" s="4" t="s">
        <v>98</v>
      </c>
      <c r="D23" s="5">
        <v>18346.0</v>
      </c>
      <c r="E23" s="7" t="str">
        <f t="shared" si="2"/>
        <v>F</v>
      </c>
      <c r="F23" s="7" t="str">
        <f t="shared" si="3"/>
        <v>C</v>
      </c>
      <c r="G23" s="7" t="str">
        <f t="shared" si="4"/>
        <v>Transformative change</v>
      </c>
      <c r="H23" s="7">
        <f t="shared" ref="H23:J23" si="32">ROUND(RAND(),2)</f>
        <v>0.25</v>
      </c>
      <c r="I23" s="7">
        <f t="shared" si="32"/>
        <v>0.03</v>
      </c>
      <c r="J23" s="7">
        <f t="shared" si="32"/>
        <v>0.81</v>
      </c>
      <c r="K23" s="7" t="str">
        <f t="shared" si="6"/>
        <v>High</v>
      </c>
      <c r="L23" s="7">
        <f t="shared" si="7"/>
        <v>3566009</v>
      </c>
      <c r="M23" s="7">
        <f t="shared" si="8"/>
        <v>1350716.927</v>
      </c>
      <c r="N23" s="7">
        <f t="shared" si="9"/>
        <v>128422</v>
      </c>
      <c r="O23" s="7">
        <f t="shared" si="13"/>
        <v>278405</v>
      </c>
      <c r="P23" s="7">
        <f t="shared" si="10"/>
        <v>902</v>
      </c>
      <c r="Q23" s="7">
        <f t="shared" si="11"/>
        <v>0.26</v>
      </c>
    </row>
    <row r="24">
      <c r="A24" s="4" t="s">
        <v>99</v>
      </c>
      <c r="B24" s="4" t="s">
        <v>100</v>
      </c>
      <c r="C24" s="4" t="s">
        <v>95</v>
      </c>
      <c r="D24" s="5">
        <v>17503.0</v>
      </c>
      <c r="E24" s="7" t="str">
        <f t="shared" si="2"/>
        <v>A</v>
      </c>
      <c r="F24" s="7" t="str">
        <f t="shared" si="3"/>
        <v>C</v>
      </c>
      <c r="G24" s="7" t="str">
        <f t="shared" si="4"/>
        <v>Transformative change</v>
      </c>
      <c r="H24" s="7">
        <f t="shared" ref="H24:J24" si="33">ROUND(RAND(),2)</f>
        <v>0.76</v>
      </c>
      <c r="I24" s="7">
        <f t="shared" si="33"/>
        <v>0.44</v>
      </c>
      <c r="J24" s="7">
        <f t="shared" si="33"/>
        <v>0.75</v>
      </c>
      <c r="K24" s="7" t="str">
        <f t="shared" si="6"/>
        <v>Low</v>
      </c>
      <c r="L24" s="7">
        <f t="shared" si="7"/>
        <v>3079016</v>
      </c>
      <c r="M24" s="7">
        <f t="shared" si="8"/>
        <v>2487191.5</v>
      </c>
      <c r="N24" s="7">
        <f t="shared" si="9"/>
        <v>105018</v>
      </c>
      <c r="O24" s="7">
        <f t="shared" si="13"/>
        <v>263875</v>
      </c>
      <c r="P24" s="7">
        <f t="shared" si="10"/>
        <v>999</v>
      </c>
      <c r="Q24" s="7">
        <f t="shared" si="11"/>
        <v>0.17</v>
      </c>
    </row>
    <row r="25">
      <c r="A25" s="4" t="s">
        <v>101</v>
      </c>
      <c r="B25" s="4" t="s">
        <v>102</v>
      </c>
      <c r="C25" s="4" t="s">
        <v>103</v>
      </c>
      <c r="D25" s="5">
        <v>18902.0</v>
      </c>
      <c r="E25" s="7" t="str">
        <f t="shared" si="2"/>
        <v>D</v>
      </c>
      <c r="F25" s="7" t="str">
        <f t="shared" si="3"/>
        <v>B</v>
      </c>
      <c r="G25" s="7" t="str">
        <f t="shared" si="4"/>
        <v>Transformative change</v>
      </c>
      <c r="H25" s="7">
        <f t="shared" ref="H25:J25" si="34">ROUND(RAND(),2)</f>
        <v>0.15</v>
      </c>
      <c r="I25" s="7">
        <f t="shared" si="34"/>
        <v>0.6</v>
      </c>
      <c r="J25" s="7">
        <f t="shared" si="34"/>
        <v>0.91</v>
      </c>
      <c r="K25" s="7" t="str">
        <f t="shared" si="6"/>
        <v>High</v>
      </c>
      <c r="L25" s="7">
        <f t="shared" si="7"/>
        <v>330902</v>
      </c>
      <c r="M25" s="7">
        <f t="shared" si="8"/>
        <v>81135.3605</v>
      </c>
      <c r="N25" s="7">
        <f t="shared" si="9"/>
        <v>170118</v>
      </c>
      <c r="O25" s="7">
        <f t="shared" si="13"/>
        <v>293071</v>
      </c>
      <c r="P25" s="7">
        <f t="shared" si="10"/>
        <v>1022</v>
      </c>
      <c r="Q25" s="7">
        <f t="shared" si="11"/>
        <v>0.1</v>
      </c>
    </row>
    <row r="26">
      <c r="A26" s="4" t="s">
        <v>104</v>
      </c>
      <c r="B26" s="4" t="s">
        <v>105</v>
      </c>
      <c r="C26" s="4" t="s">
        <v>106</v>
      </c>
      <c r="D26" s="5">
        <v>5670.0</v>
      </c>
      <c r="E26" s="7" t="str">
        <f t="shared" si="2"/>
        <v>G</v>
      </c>
      <c r="F26" s="7" t="str">
        <f t="shared" si="3"/>
        <v>B</v>
      </c>
      <c r="G26" s="7" t="str">
        <f t="shared" si="4"/>
        <v>High ambition</v>
      </c>
      <c r="H26" s="7">
        <f t="shared" ref="H26:J26" si="35">ROUND(RAND(),2)</f>
        <v>0.04</v>
      </c>
      <c r="I26" s="7">
        <f t="shared" si="35"/>
        <v>0.98</v>
      </c>
      <c r="J26" s="7">
        <f t="shared" si="35"/>
        <v>0.02</v>
      </c>
      <c r="K26" s="7" t="str">
        <f t="shared" si="6"/>
        <v>High</v>
      </c>
      <c r="L26" s="7">
        <f t="shared" si="7"/>
        <v>2744479</v>
      </c>
      <c r="M26" s="7">
        <f t="shared" si="8"/>
        <v>938694.8553</v>
      </c>
      <c r="N26" s="7">
        <f t="shared" si="9"/>
        <v>68040</v>
      </c>
      <c r="O26" s="7">
        <f t="shared" si="13"/>
        <v>137232</v>
      </c>
      <c r="P26" s="7">
        <f t="shared" si="10"/>
        <v>527.44</v>
      </c>
      <c r="Q26" s="7">
        <f t="shared" si="11"/>
        <v>0.29</v>
      </c>
    </row>
    <row r="27">
      <c r="A27" s="4" t="s">
        <v>107</v>
      </c>
      <c r="B27" s="4" t="s">
        <v>108</v>
      </c>
      <c r="C27" s="4" t="s">
        <v>109</v>
      </c>
      <c r="D27" s="5">
        <v>50696.0</v>
      </c>
      <c r="E27" s="7" t="str">
        <f t="shared" si="2"/>
        <v>D</v>
      </c>
      <c r="F27" s="7" t="str">
        <f t="shared" si="3"/>
        <v>C</v>
      </c>
      <c r="G27" s="7" t="str">
        <f t="shared" si="4"/>
        <v>High ambition</v>
      </c>
      <c r="H27" s="7">
        <f t="shared" ref="H27:J27" si="36">ROUND(RAND(),2)</f>
        <v>0.27</v>
      </c>
      <c r="I27" s="7">
        <f t="shared" si="36"/>
        <v>0.47</v>
      </c>
      <c r="J27" s="7">
        <f t="shared" si="36"/>
        <v>0.17</v>
      </c>
      <c r="K27" s="7" t="str">
        <f t="shared" si="6"/>
        <v>Medium</v>
      </c>
      <c r="L27" s="7">
        <f t="shared" si="7"/>
        <v>1220175</v>
      </c>
      <c r="M27" s="7">
        <f t="shared" si="8"/>
        <v>86701.68188</v>
      </c>
      <c r="N27" s="7">
        <f t="shared" si="9"/>
        <v>456264</v>
      </c>
      <c r="O27" s="7">
        <f t="shared" si="13"/>
        <v>612528</v>
      </c>
      <c r="P27" s="7">
        <f t="shared" si="10"/>
        <v>1213.47</v>
      </c>
      <c r="Q27" s="7">
        <f t="shared" si="11"/>
        <v>0.03</v>
      </c>
    </row>
    <row r="28">
      <c r="A28" s="4" t="s">
        <v>110</v>
      </c>
      <c r="B28" s="4" t="s">
        <v>111</v>
      </c>
      <c r="C28" s="4" t="s">
        <v>112</v>
      </c>
      <c r="D28" s="5">
        <v>16670.0</v>
      </c>
      <c r="E28" s="7" t="str">
        <f t="shared" si="2"/>
        <v>C</v>
      </c>
      <c r="F28" s="7" t="str">
        <f t="shared" si="3"/>
        <v>C</v>
      </c>
      <c r="G28" s="7" t="str">
        <f t="shared" si="4"/>
        <v>Transformative change</v>
      </c>
      <c r="H28" s="7">
        <f t="shared" ref="H28:J28" si="37">ROUND(RAND(),2)</f>
        <v>0.95</v>
      </c>
      <c r="I28" s="7">
        <f t="shared" si="37"/>
        <v>0.93</v>
      </c>
      <c r="J28" s="7">
        <f t="shared" si="37"/>
        <v>0.12</v>
      </c>
      <c r="K28" s="7" t="str">
        <f t="shared" si="6"/>
        <v>High</v>
      </c>
      <c r="L28" s="7">
        <f t="shared" si="7"/>
        <v>2104374</v>
      </c>
      <c r="M28" s="7">
        <f t="shared" si="8"/>
        <v>598344.2158</v>
      </c>
      <c r="N28" s="7">
        <f t="shared" si="9"/>
        <v>100020</v>
      </c>
      <c r="O28" s="7">
        <f t="shared" si="13"/>
        <v>132235</v>
      </c>
      <c r="P28" s="7">
        <f t="shared" si="10"/>
        <v>973</v>
      </c>
      <c r="Q28" s="7">
        <f t="shared" si="11"/>
        <v>0.08</v>
      </c>
    </row>
    <row r="29">
      <c r="A29" s="4" t="s">
        <v>113</v>
      </c>
      <c r="B29" s="4" t="s">
        <v>114</v>
      </c>
      <c r="C29" s="4" t="s">
        <v>95</v>
      </c>
      <c r="D29" s="5">
        <v>6941.0</v>
      </c>
      <c r="E29" s="7" t="str">
        <f t="shared" si="2"/>
        <v>D</v>
      </c>
      <c r="F29" s="7" t="str">
        <f t="shared" si="3"/>
        <v>B</v>
      </c>
      <c r="G29" s="7" t="str">
        <f t="shared" si="4"/>
        <v>Transformative change</v>
      </c>
      <c r="H29" s="7">
        <f t="shared" ref="H29:J29" si="38">ROUND(RAND(),2)</f>
        <v>0.23</v>
      </c>
      <c r="I29" s="7">
        <f t="shared" si="38"/>
        <v>0.71</v>
      </c>
      <c r="J29" s="7">
        <f t="shared" si="38"/>
        <v>0.01</v>
      </c>
      <c r="K29" s="7" t="str">
        <f t="shared" si="6"/>
        <v>Low</v>
      </c>
      <c r="L29" s="7">
        <f t="shared" si="7"/>
        <v>3936434</v>
      </c>
      <c r="M29" s="7">
        <f t="shared" si="8"/>
        <v>1647519.746</v>
      </c>
      <c r="N29" s="7">
        <f t="shared" si="9"/>
        <v>27764</v>
      </c>
      <c r="O29" s="7">
        <f t="shared" si="13"/>
        <v>182004</v>
      </c>
      <c r="P29" s="7">
        <f t="shared" si="10"/>
        <v>846</v>
      </c>
      <c r="Q29" s="7">
        <f t="shared" si="11"/>
        <v>0.18</v>
      </c>
    </row>
    <row r="30">
      <c r="A30" s="4" t="s">
        <v>115</v>
      </c>
      <c r="B30" s="4" t="s">
        <v>116</v>
      </c>
      <c r="C30" s="4" t="s">
        <v>117</v>
      </c>
      <c r="D30" s="5">
        <v>108146.0</v>
      </c>
      <c r="E30" s="7" t="str">
        <f t="shared" si="2"/>
        <v>B</v>
      </c>
      <c r="F30" s="7" t="str">
        <f t="shared" si="3"/>
        <v>A</v>
      </c>
      <c r="G30" s="7" t="str">
        <f t="shared" si="4"/>
        <v>Transformative change</v>
      </c>
      <c r="H30" s="7">
        <f t="shared" ref="H30:J30" si="39">ROUND(RAND(),2)</f>
        <v>0.09</v>
      </c>
      <c r="I30" s="7">
        <f t="shared" si="39"/>
        <v>0.07</v>
      </c>
      <c r="J30" s="7">
        <f t="shared" si="39"/>
        <v>0.93</v>
      </c>
      <c r="K30" s="7" t="str">
        <f t="shared" si="6"/>
        <v>High</v>
      </c>
      <c r="L30" s="7">
        <f t="shared" si="7"/>
        <v>1691312</v>
      </c>
      <c r="M30" s="7">
        <f t="shared" si="8"/>
        <v>1092046.069</v>
      </c>
      <c r="N30" s="7">
        <f t="shared" si="9"/>
        <v>1514044</v>
      </c>
      <c r="O30" s="7">
        <f t="shared" si="13"/>
        <v>1518277</v>
      </c>
      <c r="P30" s="7">
        <f t="shared" si="10"/>
        <v>18024.33</v>
      </c>
      <c r="Q30" s="7">
        <f t="shared" si="11"/>
        <v>0.03</v>
      </c>
    </row>
    <row r="31">
      <c r="A31" s="4" t="s">
        <v>118</v>
      </c>
      <c r="B31" s="4" t="s">
        <v>119</v>
      </c>
      <c r="C31" s="4" t="s">
        <v>120</v>
      </c>
      <c r="D31" s="5">
        <v>457645.0</v>
      </c>
      <c r="E31" s="7" t="str">
        <f t="shared" si="2"/>
        <v>D</v>
      </c>
      <c r="F31" s="7" t="str">
        <f t="shared" si="3"/>
        <v>B</v>
      </c>
      <c r="G31" s="7" t="str">
        <f t="shared" si="4"/>
        <v>Transformative change</v>
      </c>
      <c r="H31" s="7">
        <f t="shared" ref="H31:J31" si="40">ROUND(RAND(),2)</f>
        <v>0.81</v>
      </c>
      <c r="I31" s="7">
        <f t="shared" si="40"/>
        <v>0.53</v>
      </c>
      <c r="J31" s="7">
        <f t="shared" si="40"/>
        <v>0.46</v>
      </c>
      <c r="K31" s="7" t="str">
        <f t="shared" si="6"/>
        <v>Low</v>
      </c>
      <c r="L31" s="7">
        <f t="shared" si="7"/>
        <v>3242137</v>
      </c>
      <c r="M31" s="7">
        <f t="shared" si="8"/>
        <v>2526624.389</v>
      </c>
      <c r="N31" s="7">
        <f t="shared" si="9"/>
        <v>2288225</v>
      </c>
      <c r="O31" s="7">
        <f t="shared" si="13"/>
        <v>2419521</v>
      </c>
      <c r="P31" s="7">
        <f t="shared" si="10"/>
        <v>19391.74</v>
      </c>
      <c r="Q31" s="7">
        <f t="shared" si="11"/>
        <v>0.21</v>
      </c>
    </row>
    <row r="32">
      <c r="A32" s="4" t="s">
        <v>121</v>
      </c>
      <c r="B32" s="4" t="s">
        <v>122</v>
      </c>
      <c r="C32" s="4" t="s">
        <v>123</v>
      </c>
      <c r="D32" s="5">
        <v>19133.0</v>
      </c>
      <c r="E32" s="7" t="str">
        <f t="shared" si="2"/>
        <v>E</v>
      </c>
      <c r="F32" s="7" t="str">
        <f t="shared" si="3"/>
        <v>A</v>
      </c>
      <c r="G32" s="7" t="str">
        <f t="shared" si="4"/>
        <v>Transformative change</v>
      </c>
      <c r="H32" s="7">
        <f t="shared" ref="H32:J32" si="41">ROUND(RAND(),2)</f>
        <v>0.35</v>
      </c>
      <c r="I32" s="7">
        <f t="shared" si="41"/>
        <v>0.82</v>
      </c>
      <c r="J32" s="7">
        <f t="shared" si="41"/>
        <v>0.09</v>
      </c>
      <c r="K32" s="7" t="str">
        <f t="shared" si="6"/>
        <v>High</v>
      </c>
      <c r="L32" s="7">
        <f t="shared" si="7"/>
        <v>3370946</v>
      </c>
      <c r="M32" s="7">
        <f t="shared" si="8"/>
        <v>1409139.38</v>
      </c>
      <c r="N32" s="7">
        <f t="shared" si="9"/>
        <v>229596</v>
      </c>
      <c r="O32" s="7">
        <f t="shared" si="13"/>
        <v>373366</v>
      </c>
      <c r="P32" s="7">
        <f t="shared" si="10"/>
        <v>803</v>
      </c>
      <c r="Q32" s="7">
        <f t="shared" si="11"/>
        <v>0.26</v>
      </c>
    </row>
    <row r="33">
      <c r="A33" s="4" t="s">
        <v>124</v>
      </c>
      <c r="B33" s="4" t="s">
        <v>125</v>
      </c>
      <c r="C33" s="4" t="s">
        <v>62</v>
      </c>
      <c r="D33" s="5">
        <v>261473.0</v>
      </c>
      <c r="E33" s="7" t="str">
        <f t="shared" si="2"/>
        <v>G</v>
      </c>
      <c r="F33" s="7" t="str">
        <f t="shared" si="3"/>
        <v>C</v>
      </c>
      <c r="G33" s="7" t="str">
        <f t="shared" si="4"/>
        <v>Transformative change</v>
      </c>
      <c r="H33" s="7">
        <f t="shared" ref="H33:J33" si="42">ROUND(RAND(),2)</f>
        <v>0.29</v>
      </c>
      <c r="I33" s="7">
        <f t="shared" si="42"/>
        <v>1</v>
      </c>
      <c r="J33" s="7">
        <f t="shared" si="42"/>
        <v>0.55</v>
      </c>
      <c r="K33" s="7" t="str">
        <f t="shared" si="6"/>
        <v>Medium</v>
      </c>
      <c r="L33" s="7">
        <f t="shared" si="7"/>
        <v>3315923</v>
      </c>
      <c r="M33" s="7">
        <f t="shared" si="8"/>
        <v>663626.8419</v>
      </c>
      <c r="N33" s="7">
        <f t="shared" si="9"/>
        <v>2876203</v>
      </c>
      <c r="O33" s="7">
        <f t="shared" si="13"/>
        <v>2901619</v>
      </c>
      <c r="P33" s="7">
        <f t="shared" si="10"/>
        <v>9189.15</v>
      </c>
      <c r="Q33" s="7">
        <f t="shared" si="11"/>
        <v>0.11</v>
      </c>
    </row>
    <row r="34">
      <c r="A34" s="4" t="s">
        <v>126</v>
      </c>
      <c r="B34" s="4" t="s">
        <v>127</v>
      </c>
      <c r="C34" s="4" t="s">
        <v>128</v>
      </c>
      <c r="D34" s="5">
        <v>7672.0</v>
      </c>
      <c r="E34" s="7" t="str">
        <f t="shared" si="2"/>
        <v>G</v>
      </c>
      <c r="F34" s="7" t="str">
        <f t="shared" si="3"/>
        <v>C</v>
      </c>
      <c r="G34" s="7" t="str">
        <f t="shared" si="4"/>
        <v>Transformative change</v>
      </c>
      <c r="H34" s="7">
        <f t="shared" ref="H34:J34" si="43">ROUND(RAND(),2)</f>
        <v>0.69</v>
      </c>
      <c r="I34" s="7">
        <f t="shared" si="43"/>
        <v>0.22</v>
      </c>
      <c r="J34" s="7">
        <f t="shared" si="43"/>
        <v>0.78</v>
      </c>
      <c r="K34" s="7" t="str">
        <f t="shared" si="6"/>
        <v>Low</v>
      </c>
      <c r="L34" s="7">
        <f t="shared" si="7"/>
        <v>3355497</v>
      </c>
      <c r="M34" s="7">
        <f t="shared" si="8"/>
        <v>2970503.098</v>
      </c>
      <c r="N34" s="7">
        <f t="shared" si="9"/>
        <v>46032</v>
      </c>
      <c r="O34" s="7">
        <f t="shared" si="13"/>
        <v>134212</v>
      </c>
      <c r="P34" s="7">
        <f t="shared" si="10"/>
        <v>912</v>
      </c>
      <c r="Q34" s="7">
        <f t="shared" si="11"/>
        <v>0.17</v>
      </c>
    </row>
    <row r="35">
      <c r="A35" s="4" t="s">
        <v>129</v>
      </c>
      <c r="B35" s="4" t="s">
        <v>130</v>
      </c>
      <c r="C35" s="4" t="s">
        <v>131</v>
      </c>
      <c r="D35" s="5">
        <v>51061.0</v>
      </c>
      <c r="E35" s="7" t="str">
        <f t="shared" si="2"/>
        <v>C</v>
      </c>
      <c r="F35" s="7" t="str">
        <f t="shared" si="3"/>
        <v>C</v>
      </c>
      <c r="G35" s="7" t="str">
        <f t="shared" si="4"/>
        <v>Transformative change</v>
      </c>
      <c r="H35" s="7">
        <f t="shared" ref="H35:J35" si="44">ROUND(RAND(),2)</f>
        <v>0.91</v>
      </c>
      <c r="I35" s="7">
        <f t="shared" si="44"/>
        <v>0.56</v>
      </c>
      <c r="J35" s="7">
        <f t="shared" si="44"/>
        <v>0.96</v>
      </c>
      <c r="K35" s="7" t="str">
        <f t="shared" si="6"/>
        <v>High</v>
      </c>
      <c r="L35" s="7">
        <f t="shared" si="7"/>
        <v>2614836</v>
      </c>
      <c r="M35" s="7">
        <f t="shared" si="8"/>
        <v>2420267.215</v>
      </c>
      <c r="N35" s="7">
        <f t="shared" si="9"/>
        <v>765915</v>
      </c>
      <c r="O35" s="7">
        <f t="shared" si="13"/>
        <v>811026</v>
      </c>
      <c r="P35" s="7">
        <f t="shared" si="10"/>
        <v>2015.57</v>
      </c>
      <c r="Q35" s="7">
        <f t="shared" si="11"/>
        <v>0.3</v>
      </c>
    </row>
    <row r="36">
      <c r="A36" s="4" t="s">
        <v>132</v>
      </c>
      <c r="B36" s="4" t="s">
        <v>133</v>
      </c>
      <c r="C36" s="4" t="s">
        <v>134</v>
      </c>
      <c r="D36" s="5">
        <v>14223.0</v>
      </c>
      <c r="E36" s="7" t="str">
        <f t="shared" si="2"/>
        <v>B</v>
      </c>
      <c r="F36" s="7" t="str">
        <f t="shared" si="3"/>
        <v>C</v>
      </c>
      <c r="G36" s="7" t="str">
        <f t="shared" si="4"/>
        <v>Transformative change</v>
      </c>
      <c r="H36" s="7">
        <f t="shared" ref="H36:J36" si="45">ROUND(RAND(),2)</f>
        <v>0.03</v>
      </c>
      <c r="I36" s="7">
        <f t="shared" si="45"/>
        <v>0.02</v>
      </c>
      <c r="J36" s="7">
        <f t="shared" si="45"/>
        <v>0.56</v>
      </c>
      <c r="K36" s="7" t="str">
        <f t="shared" si="6"/>
        <v>Low</v>
      </c>
      <c r="L36" s="7">
        <f t="shared" si="7"/>
        <v>1575331</v>
      </c>
      <c r="M36" s="7">
        <f t="shared" si="8"/>
        <v>890297.2977</v>
      </c>
      <c r="N36" s="7">
        <f t="shared" si="9"/>
        <v>170676</v>
      </c>
      <c r="O36" s="7">
        <f t="shared" si="13"/>
        <v>218422</v>
      </c>
      <c r="P36" s="7">
        <f t="shared" si="10"/>
        <v>990</v>
      </c>
      <c r="Q36" s="7">
        <f t="shared" si="11"/>
        <v>0.04</v>
      </c>
    </row>
    <row r="37">
      <c r="A37" s="4" t="s">
        <v>135</v>
      </c>
      <c r="B37" s="4" t="s">
        <v>136</v>
      </c>
      <c r="C37" s="4" t="s">
        <v>137</v>
      </c>
      <c r="D37" s="5">
        <v>93776.0</v>
      </c>
      <c r="E37" s="7" t="str">
        <f t="shared" si="2"/>
        <v>A</v>
      </c>
      <c r="F37" s="7" t="str">
        <f t="shared" si="3"/>
        <v>B</v>
      </c>
      <c r="G37" s="7" t="str">
        <f t="shared" si="4"/>
        <v>Transformative change</v>
      </c>
      <c r="H37" s="7">
        <f t="shared" ref="H37:J37" si="46">ROUND(RAND(),2)</f>
        <v>0.54</v>
      </c>
      <c r="I37" s="7">
        <f t="shared" si="46"/>
        <v>0.53</v>
      </c>
      <c r="J37" s="7">
        <f t="shared" si="46"/>
        <v>0.63</v>
      </c>
      <c r="K37" s="7" t="str">
        <f t="shared" si="6"/>
        <v>High</v>
      </c>
      <c r="L37" s="7">
        <f t="shared" si="7"/>
        <v>295167</v>
      </c>
      <c r="M37" s="7">
        <f t="shared" si="8"/>
        <v>164772.8571</v>
      </c>
      <c r="N37" s="7">
        <f t="shared" si="9"/>
        <v>656432</v>
      </c>
      <c r="O37" s="7">
        <f t="shared" si="13"/>
        <v>759183</v>
      </c>
      <c r="P37" s="7">
        <f t="shared" si="10"/>
        <v>1722.92</v>
      </c>
      <c r="Q37" s="7">
        <f t="shared" si="11"/>
        <v>0.03</v>
      </c>
    </row>
    <row r="38">
      <c r="A38" s="4" t="s">
        <v>138</v>
      </c>
      <c r="B38" s="4" t="s">
        <v>139</v>
      </c>
      <c r="C38" s="4" t="s">
        <v>140</v>
      </c>
      <c r="D38" s="5">
        <v>11389.0</v>
      </c>
      <c r="E38" s="7" t="str">
        <f t="shared" si="2"/>
        <v>A</v>
      </c>
      <c r="F38" s="7" t="str">
        <f t="shared" si="3"/>
        <v>A</v>
      </c>
      <c r="G38" s="7" t="str">
        <f t="shared" si="4"/>
        <v>Transformative change</v>
      </c>
      <c r="H38" s="7">
        <f t="shared" ref="H38:J38" si="47">ROUND(RAND(),2)</f>
        <v>0.41</v>
      </c>
      <c r="I38" s="7">
        <f t="shared" si="47"/>
        <v>0.89</v>
      </c>
      <c r="J38" s="7">
        <f t="shared" si="47"/>
        <v>0.42</v>
      </c>
      <c r="K38" s="7" t="str">
        <f t="shared" si="6"/>
        <v>Medium</v>
      </c>
      <c r="L38" s="7">
        <f t="shared" si="7"/>
        <v>3907071</v>
      </c>
      <c r="M38" s="7">
        <f t="shared" si="8"/>
        <v>2913173.933</v>
      </c>
      <c r="N38" s="7">
        <f t="shared" si="9"/>
        <v>79723</v>
      </c>
      <c r="O38" s="7">
        <f t="shared" si="13"/>
        <v>211128</v>
      </c>
      <c r="P38" s="7">
        <f t="shared" si="10"/>
        <v>828</v>
      </c>
      <c r="Q38" s="7">
        <f t="shared" si="11"/>
        <v>0.24</v>
      </c>
    </row>
    <row r="39">
      <c r="A39" s="4" t="s">
        <v>141</v>
      </c>
      <c r="B39" s="4" t="s">
        <v>142</v>
      </c>
      <c r="C39" s="4" t="s">
        <v>143</v>
      </c>
      <c r="D39" s="5">
        <v>14553.0</v>
      </c>
      <c r="E39" s="7" t="str">
        <f t="shared" si="2"/>
        <v>D</v>
      </c>
      <c r="F39" s="7" t="str">
        <f t="shared" si="3"/>
        <v>A</v>
      </c>
      <c r="G39" s="7" t="str">
        <f t="shared" si="4"/>
        <v>Transformative change</v>
      </c>
      <c r="H39" s="7">
        <f t="shared" ref="H39:J39" si="48">ROUND(RAND(),2)</f>
        <v>0.99</v>
      </c>
      <c r="I39" s="7">
        <f t="shared" si="48"/>
        <v>0.47</v>
      </c>
      <c r="J39" s="7">
        <f t="shared" si="48"/>
        <v>0.09</v>
      </c>
      <c r="K39" s="7" t="str">
        <f t="shared" si="6"/>
        <v>High</v>
      </c>
      <c r="L39" s="7">
        <f t="shared" si="7"/>
        <v>2231489</v>
      </c>
      <c r="M39" s="7">
        <f t="shared" si="8"/>
        <v>1810551.251</v>
      </c>
      <c r="N39" s="7">
        <f t="shared" si="9"/>
        <v>130977</v>
      </c>
      <c r="O39" s="7">
        <f t="shared" si="13"/>
        <v>307266</v>
      </c>
      <c r="P39" s="7">
        <f t="shared" si="10"/>
        <v>876</v>
      </c>
      <c r="Q39" s="7">
        <f t="shared" si="11"/>
        <v>0.27</v>
      </c>
    </row>
    <row r="40">
      <c r="A40" s="4" t="s">
        <v>144</v>
      </c>
      <c r="B40" s="4" t="s">
        <v>145</v>
      </c>
      <c r="C40" s="4" t="s">
        <v>146</v>
      </c>
      <c r="D40" s="5">
        <v>11856.0</v>
      </c>
      <c r="E40" s="7" t="str">
        <f t="shared" si="2"/>
        <v>A</v>
      </c>
      <c r="F40" s="7" t="str">
        <f t="shared" si="3"/>
        <v>B</v>
      </c>
      <c r="G40" s="7" t="str">
        <f t="shared" si="4"/>
        <v>Transformative change</v>
      </c>
      <c r="H40" s="7">
        <f t="shared" ref="H40:J40" si="49">ROUND(RAND(),2)</f>
        <v>0.61</v>
      </c>
      <c r="I40" s="7">
        <f t="shared" si="49"/>
        <v>0.85</v>
      </c>
      <c r="J40" s="7">
        <f t="shared" si="49"/>
        <v>0.83</v>
      </c>
      <c r="K40" s="7" t="str">
        <f t="shared" si="6"/>
        <v>Medium</v>
      </c>
      <c r="L40" s="7">
        <f t="shared" si="7"/>
        <v>2129198</v>
      </c>
      <c r="M40" s="7">
        <f t="shared" si="8"/>
        <v>161989.1528</v>
      </c>
      <c r="N40" s="7">
        <f t="shared" si="9"/>
        <v>142272</v>
      </c>
      <c r="O40" s="7">
        <f t="shared" si="13"/>
        <v>271316</v>
      </c>
      <c r="P40" s="7">
        <f t="shared" si="10"/>
        <v>504.51</v>
      </c>
      <c r="Q40" s="7">
        <f t="shared" si="11"/>
        <v>0.2</v>
      </c>
    </row>
    <row r="41">
      <c r="A41" s="4" t="s">
        <v>147</v>
      </c>
      <c r="B41" s="4" t="s">
        <v>148</v>
      </c>
      <c r="C41" s="4" t="s">
        <v>149</v>
      </c>
      <c r="D41" s="5">
        <v>72796.0</v>
      </c>
      <c r="E41" s="7" t="str">
        <f t="shared" si="2"/>
        <v>D</v>
      </c>
      <c r="F41" s="7" t="str">
        <f t="shared" si="3"/>
        <v>B</v>
      </c>
      <c r="G41" s="7" t="str">
        <f t="shared" si="4"/>
        <v>Transformative change</v>
      </c>
      <c r="H41" s="7">
        <f t="shared" ref="H41:J41" si="50">ROUND(RAND(),2)</f>
        <v>0.64</v>
      </c>
      <c r="I41" s="7">
        <f t="shared" si="50"/>
        <v>0.64</v>
      </c>
      <c r="J41" s="7">
        <f t="shared" si="50"/>
        <v>0.08</v>
      </c>
      <c r="K41" s="7" t="str">
        <f t="shared" si="6"/>
        <v>Medium</v>
      </c>
      <c r="L41" s="7">
        <f t="shared" si="7"/>
        <v>2341545</v>
      </c>
      <c r="M41" s="7">
        <f t="shared" si="8"/>
        <v>1401741.882</v>
      </c>
      <c r="N41" s="7">
        <f t="shared" si="9"/>
        <v>291184</v>
      </c>
      <c r="O41" s="7">
        <f t="shared" si="13"/>
        <v>373910</v>
      </c>
      <c r="P41" s="7">
        <f t="shared" si="10"/>
        <v>1094</v>
      </c>
      <c r="Q41" s="7">
        <f t="shared" si="11"/>
        <v>0.15</v>
      </c>
    </row>
    <row r="42">
      <c r="A42" s="4" t="s">
        <v>150</v>
      </c>
      <c r="B42" s="4" t="s">
        <v>151</v>
      </c>
      <c r="C42" s="4" t="s">
        <v>152</v>
      </c>
      <c r="D42" s="5">
        <v>7633.0</v>
      </c>
      <c r="E42" s="7" t="str">
        <f t="shared" si="2"/>
        <v>A</v>
      </c>
      <c r="F42" s="7" t="str">
        <f t="shared" si="3"/>
        <v>C</v>
      </c>
      <c r="G42" s="7" t="str">
        <f t="shared" si="4"/>
        <v>High ambition</v>
      </c>
      <c r="H42" s="7">
        <f t="shared" ref="H42:J42" si="51">ROUND(RAND(),2)</f>
        <v>0.63</v>
      </c>
      <c r="I42" s="7">
        <f t="shared" si="51"/>
        <v>0.19</v>
      </c>
      <c r="J42" s="7">
        <f t="shared" si="51"/>
        <v>0.74</v>
      </c>
      <c r="K42" s="7" t="str">
        <f t="shared" si="6"/>
        <v>High</v>
      </c>
      <c r="L42" s="7">
        <f t="shared" si="7"/>
        <v>3429835</v>
      </c>
      <c r="M42" s="7">
        <f t="shared" si="8"/>
        <v>2623990.716</v>
      </c>
      <c r="N42" s="7">
        <f t="shared" si="9"/>
        <v>91596</v>
      </c>
      <c r="O42" s="7">
        <f t="shared" si="13"/>
        <v>135469</v>
      </c>
      <c r="P42" s="7">
        <f t="shared" si="10"/>
        <v>919</v>
      </c>
      <c r="Q42" s="7">
        <f t="shared" si="11"/>
        <v>0.2</v>
      </c>
    </row>
    <row r="43">
      <c r="A43" s="4" t="s">
        <v>153</v>
      </c>
      <c r="B43" s="4" t="s">
        <v>154</v>
      </c>
      <c r="C43" s="4" t="s">
        <v>155</v>
      </c>
      <c r="D43" s="5">
        <v>11891.0</v>
      </c>
      <c r="E43" s="7" t="str">
        <f t="shared" si="2"/>
        <v>F</v>
      </c>
      <c r="F43" s="7" t="str">
        <f t="shared" si="3"/>
        <v>C</v>
      </c>
      <c r="G43" s="7" t="str">
        <f t="shared" si="4"/>
        <v>Transformative change</v>
      </c>
      <c r="H43" s="7">
        <f t="shared" ref="H43:J43" si="52">ROUND(RAND(),2)</f>
        <v>0.39</v>
      </c>
      <c r="I43" s="7">
        <f t="shared" si="52"/>
        <v>0.54</v>
      </c>
      <c r="J43" s="7">
        <f t="shared" si="52"/>
        <v>0.62</v>
      </c>
      <c r="K43" s="7" t="str">
        <f t="shared" si="6"/>
        <v>High</v>
      </c>
      <c r="L43" s="7">
        <f t="shared" si="7"/>
        <v>1073987</v>
      </c>
      <c r="M43" s="7">
        <f t="shared" si="8"/>
        <v>1039101.869</v>
      </c>
      <c r="N43" s="7">
        <f t="shared" si="9"/>
        <v>142692</v>
      </c>
      <c r="O43" s="7">
        <f t="shared" si="13"/>
        <v>217758</v>
      </c>
      <c r="P43" s="7">
        <f t="shared" si="10"/>
        <v>404.23</v>
      </c>
      <c r="Q43" s="7">
        <f t="shared" si="11"/>
        <v>0.22</v>
      </c>
    </row>
    <row r="44">
      <c r="A44" s="4" t="s">
        <v>156</v>
      </c>
      <c r="B44" s="4" t="s">
        <v>157</v>
      </c>
      <c r="C44" s="4" t="s">
        <v>95</v>
      </c>
      <c r="D44" s="5">
        <v>9767.0</v>
      </c>
      <c r="E44" s="7" t="str">
        <f t="shared" si="2"/>
        <v>C</v>
      </c>
      <c r="F44" s="7" t="str">
        <f t="shared" si="3"/>
        <v>A</v>
      </c>
      <c r="G44" s="7" t="str">
        <f t="shared" si="4"/>
        <v>Transformative change</v>
      </c>
      <c r="H44" s="7">
        <f t="shared" ref="H44:J44" si="53">ROUND(RAND(),2)</f>
        <v>0.98</v>
      </c>
      <c r="I44" s="7">
        <f t="shared" si="53"/>
        <v>0.38</v>
      </c>
      <c r="J44" s="7">
        <f t="shared" si="53"/>
        <v>0.08</v>
      </c>
      <c r="K44" s="7" t="str">
        <f t="shared" si="6"/>
        <v>High</v>
      </c>
      <c r="L44" s="7">
        <f t="shared" si="7"/>
        <v>2306305</v>
      </c>
      <c r="M44" s="7">
        <f t="shared" si="8"/>
        <v>1429873.607</v>
      </c>
      <c r="N44" s="7">
        <f t="shared" si="9"/>
        <v>117204</v>
      </c>
      <c r="O44" s="7">
        <f t="shared" si="13"/>
        <v>270655</v>
      </c>
      <c r="P44" s="7">
        <f t="shared" si="10"/>
        <v>985</v>
      </c>
      <c r="Q44" s="7">
        <f t="shared" si="11"/>
        <v>0.04</v>
      </c>
    </row>
    <row r="45">
      <c r="A45" s="4" t="s">
        <v>158</v>
      </c>
      <c r="B45" s="4" t="s">
        <v>159</v>
      </c>
      <c r="C45" s="4" t="s">
        <v>160</v>
      </c>
      <c r="D45" s="5">
        <v>19467.0</v>
      </c>
      <c r="E45" s="7" t="str">
        <f t="shared" si="2"/>
        <v>A</v>
      </c>
      <c r="F45" s="7" t="str">
        <f t="shared" si="3"/>
        <v>C</v>
      </c>
      <c r="G45" s="7" t="str">
        <f t="shared" si="4"/>
        <v>Transformative change</v>
      </c>
      <c r="H45" s="7">
        <f t="shared" ref="H45:J45" si="54">ROUND(RAND(),2)</f>
        <v>0.42</v>
      </c>
      <c r="I45" s="7">
        <f t="shared" si="54"/>
        <v>0.01</v>
      </c>
      <c r="J45" s="7">
        <f t="shared" si="54"/>
        <v>0.43</v>
      </c>
      <c r="K45" s="7" t="str">
        <f t="shared" si="6"/>
        <v>High</v>
      </c>
      <c r="L45" s="7">
        <f t="shared" si="7"/>
        <v>546526</v>
      </c>
      <c r="M45" s="7">
        <f t="shared" si="8"/>
        <v>131078.5018</v>
      </c>
      <c r="N45" s="7">
        <f t="shared" si="9"/>
        <v>233604</v>
      </c>
      <c r="O45" s="7">
        <f t="shared" si="13"/>
        <v>387746</v>
      </c>
      <c r="P45" s="7">
        <f t="shared" si="10"/>
        <v>834.3</v>
      </c>
      <c r="Q45" s="7">
        <f t="shared" si="11"/>
        <v>0.3</v>
      </c>
    </row>
    <row r="46">
      <c r="A46" s="4" t="s">
        <v>161</v>
      </c>
      <c r="B46" s="4" t="s">
        <v>162</v>
      </c>
      <c r="C46" s="4" t="s">
        <v>95</v>
      </c>
      <c r="D46" s="5">
        <v>16315.0</v>
      </c>
      <c r="E46" s="7" t="str">
        <f t="shared" si="2"/>
        <v>C</v>
      </c>
      <c r="F46" s="7" t="str">
        <f t="shared" si="3"/>
        <v>C</v>
      </c>
      <c r="G46" s="7" t="str">
        <f t="shared" si="4"/>
        <v>Transformative change</v>
      </c>
      <c r="H46" s="7">
        <f t="shared" ref="H46:J46" si="55">ROUND(RAND(),2)</f>
        <v>0.02</v>
      </c>
      <c r="I46" s="7">
        <f t="shared" si="55"/>
        <v>0.08</v>
      </c>
      <c r="J46" s="7">
        <f t="shared" si="55"/>
        <v>0</v>
      </c>
      <c r="K46" s="7" t="str">
        <f t="shared" si="6"/>
        <v>Low</v>
      </c>
      <c r="L46" s="7">
        <f t="shared" si="7"/>
        <v>132340</v>
      </c>
      <c r="M46" s="7">
        <f t="shared" si="8"/>
        <v>58715.70601</v>
      </c>
      <c r="N46" s="7">
        <f t="shared" si="9"/>
        <v>81575</v>
      </c>
      <c r="O46" s="7">
        <f t="shared" si="13"/>
        <v>152389</v>
      </c>
      <c r="P46" s="7">
        <f t="shared" si="10"/>
        <v>914</v>
      </c>
      <c r="Q46" s="7">
        <f t="shared" si="11"/>
        <v>0.1</v>
      </c>
    </row>
    <row r="47">
      <c r="A47" s="4" t="s">
        <v>163</v>
      </c>
      <c r="B47" s="4" t="s">
        <v>164</v>
      </c>
      <c r="C47" s="4" t="s">
        <v>165</v>
      </c>
      <c r="D47" s="5">
        <v>16969.0</v>
      </c>
      <c r="E47" s="7" t="str">
        <f t="shared" si="2"/>
        <v>D</v>
      </c>
      <c r="F47" s="7" t="str">
        <f t="shared" si="3"/>
        <v>B</v>
      </c>
      <c r="G47" s="7" t="str">
        <f t="shared" si="4"/>
        <v>Transformative change</v>
      </c>
      <c r="H47" s="7">
        <f t="shared" ref="H47:J47" si="56">ROUND(RAND(),2)</f>
        <v>0.57</v>
      </c>
      <c r="I47" s="7">
        <f t="shared" si="56"/>
        <v>0.47</v>
      </c>
      <c r="J47" s="7">
        <f t="shared" si="56"/>
        <v>0.69</v>
      </c>
      <c r="K47" s="7" t="str">
        <f t="shared" si="6"/>
        <v>Medium</v>
      </c>
      <c r="L47" s="7">
        <f t="shared" si="7"/>
        <v>733932</v>
      </c>
      <c r="M47" s="7">
        <f t="shared" si="8"/>
        <v>494046.4176</v>
      </c>
      <c r="N47" s="7">
        <f t="shared" si="9"/>
        <v>84845</v>
      </c>
      <c r="O47" s="7">
        <f t="shared" si="13"/>
        <v>231305</v>
      </c>
      <c r="P47" s="7">
        <f t="shared" si="10"/>
        <v>1009</v>
      </c>
      <c r="Q47" s="7">
        <f t="shared" si="11"/>
        <v>0.08</v>
      </c>
    </row>
    <row r="48">
      <c r="A48" s="4" t="s">
        <v>166</v>
      </c>
      <c r="B48" s="4" t="s">
        <v>167</v>
      </c>
      <c r="C48" s="4" t="s">
        <v>168</v>
      </c>
      <c r="D48" s="5">
        <v>14235.0</v>
      </c>
      <c r="E48" s="7" t="str">
        <f t="shared" si="2"/>
        <v>C</v>
      </c>
      <c r="F48" s="7" t="str">
        <f t="shared" si="3"/>
        <v>A</v>
      </c>
      <c r="G48" s="7" t="str">
        <f t="shared" si="4"/>
        <v>High ambition</v>
      </c>
      <c r="H48" s="7">
        <f t="shared" ref="H48:J48" si="57">ROUND(RAND(),2)</f>
        <v>0.55</v>
      </c>
      <c r="I48" s="7">
        <f t="shared" si="57"/>
        <v>0.35</v>
      </c>
      <c r="J48" s="7">
        <f t="shared" si="57"/>
        <v>0.21</v>
      </c>
      <c r="K48" s="7" t="str">
        <f t="shared" si="6"/>
        <v>Low</v>
      </c>
      <c r="L48" s="7">
        <f t="shared" si="7"/>
        <v>1406231</v>
      </c>
      <c r="M48" s="7">
        <f t="shared" si="8"/>
        <v>243862.948</v>
      </c>
      <c r="N48" s="7">
        <f t="shared" si="9"/>
        <v>185055</v>
      </c>
      <c r="O48" s="7">
        <f t="shared" si="13"/>
        <v>357646</v>
      </c>
      <c r="P48" s="7">
        <f t="shared" si="10"/>
        <v>856</v>
      </c>
      <c r="Q48" s="7">
        <f t="shared" si="11"/>
        <v>0.22</v>
      </c>
    </row>
    <row r="49">
      <c r="A49" s="4" t="s">
        <v>169</v>
      </c>
      <c r="B49" s="4" t="s">
        <v>170</v>
      </c>
      <c r="C49" s="4" t="s">
        <v>171</v>
      </c>
      <c r="D49" s="5">
        <v>441183.0</v>
      </c>
      <c r="E49" s="7" t="str">
        <f t="shared" si="2"/>
        <v>C</v>
      </c>
      <c r="F49" s="7" t="str">
        <f t="shared" si="3"/>
        <v>A</v>
      </c>
      <c r="G49" s="7" t="str">
        <f t="shared" si="4"/>
        <v>Transformative change</v>
      </c>
      <c r="H49" s="7">
        <f t="shared" ref="H49:J49" si="58">ROUND(RAND(),2)</f>
        <v>0.35</v>
      </c>
      <c r="I49" s="7">
        <f t="shared" si="58"/>
        <v>0.34</v>
      </c>
      <c r="J49" s="7">
        <f t="shared" si="58"/>
        <v>0.56</v>
      </c>
      <c r="K49" s="7" t="str">
        <f t="shared" si="6"/>
        <v>Medium</v>
      </c>
      <c r="L49" s="7">
        <f t="shared" si="7"/>
        <v>458372</v>
      </c>
      <c r="M49" s="7">
        <f t="shared" si="8"/>
        <v>125.5920412</v>
      </c>
      <c r="N49" s="7">
        <f t="shared" si="9"/>
        <v>3088281</v>
      </c>
      <c r="O49" s="7">
        <f t="shared" si="13"/>
        <v>3199385</v>
      </c>
      <c r="P49" s="7">
        <f t="shared" si="10"/>
        <v>13604.76</v>
      </c>
      <c r="Q49" s="7">
        <f t="shared" si="11"/>
        <v>0.21</v>
      </c>
    </row>
    <row r="50">
      <c r="A50" s="4" t="s">
        <v>172</v>
      </c>
      <c r="B50" s="4" t="s">
        <v>173</v>
      </c>
      <c r="C50" s="4" t="s">
        <v>174</v>
      </c>
      <c r="D50" s="5">
        <v>82796.0</v>
      </c>
      <c r="E50" s="7" t="str">
        <f t="shared" si="2"/>
        <v>A</v>
      </c>
      <c r="F50" s="7" t="str">
        <f t="shared" si="3"/>
        <v>C</v>
      </c>
      <c r="G50" s="7" t="str">
        <f t="shared" si="4"/>
        <v>Transformative change</v>
      </c>
      <c r="H50" s="7">
        <f t="shared" ref="H50:J50" si="59">ROUND(RAND(),2)</f>
        <v>0.84</v>
      </c>
      <c r="I50" s="7">
        <f t="shared" si="59"/>
        <v>0.29</v>
      </c>
      <c r="J50" s="7">
        <f t="shared" si="59"/>
        <v>0.51</v>
      </c>
      <c r="K50" s="7" t="str">
        <f t="shared" si="6"/>
        <v>High</v>
      </c>
      <c r="L50" s="7">
        <f t="shared" si="7"/>
        <v>171912</v>
      </c>
      <c r="M50" s="7">
        <f t="shared" si="8"/>
        <v>105758.8795</v>
      </c>
      <c r="N50" s="7">
        <f t="shared" si="9"/>
        <v>993552</v>
      </c>
      <c r="O50" s="7">
        <f t="shared" si="13"/>
        <v>1131655</v>
      </c>
      <c r="P50" s="7">
        <f t="shared" si="10"/>
        <v>18399.11</v>
      </c>
      <c r="Q50" s="7">
        <f t="shared" si="11"/>
        <v>0.01</v>
      </c>
    </row>
    <row r="51">
      <c r="A51" s="4" t="s">
        <v>175</v>
      </c>
      <c r="B51" s="4" t="s">
        <v>176</v>
      </c>
      <c r="C51" s="4" t="s">
        <v>177</v>
      </c>
      <c r="D51" s="5">
        <v>82692.0</v>
      </c>
      <c r="E51" s="7" t="str">
        <f t="shared" si="2"/>
        <v>C</v>
      </c>
      <c r="F51" s="7" t="str">
        <f t="shared" si="3"/>
        <v>A</v>
      </c>
      <c r="G51" s="7" t="str">
        <f t="shared" si="4"/>
        <v>Transformative change</v>
      </c>
      <c r="H51" s="7">
        <f t="shared" ref="H51:J51" si="60">ROUND(RAND(),2)</f>
        <v>0.28</v>
      </c>
      <c r="I51" s="7">
        <f t="shared" si="60"/>
        <v>0.13</v>
      </c>
      <c r="J51" s="7">
        <f t="shared" si="60"/>
        <v>0.76</v>
      </c>
      <c r="K51" s="7" t="str">
        <f t="shared" si="6"/>
        <v>Low</v>
      </c>
      <c r="L51" s="7">
        <f t="shared" si="7"/>
        <v>3488927</v>
      </c>
      <c r="M51" s="7">
        <f t="shared" si="8"/>
        <v>1194397.107</v>
      </c>
      <c r="N51" s="7">
        <f t="shared" si="9"/>
        <v>1240380</v>
      </c>
      <c r="O51" s="7">
        <f t="shared" si="13"/>
        <v>1300215</v>
      </c>
      <c r="P51" s="7">
        <f t="shared" si="10"/>
        <v>6021.26</v>
      </c>
      <c r="Q51" s="7">
        <f t="shared" si="11"/>
        <v>0.07</v>
      </c>
    </row>
    <row r="52">
      <c r="A52" s="4" t="s">
        <v>178</v>
      </c>
      <c r="B52" s="4" t="s">
        <v>179</v>
      </c>
      <c r="C52" s="4" t="s">
        <v>180</v>
      </c>
      <c r="D52" s="5">
        <v>11342.0</v>
      </c>
      <c r="E52" s="7" t="str">
        <f t="shared" si="2"/>
        <v>E</v>
      </c>
      <c r="F52" s="7" t="str">
        <f t="shared" si="3"/>
        <v>A</v>
      </c>
      <c r="G52" s="7" t="str">
        <f t="shared" si="4"/>
        <v>Transformative change</v>
      </c>
      <c r="H52" s="7">
        <f t="shared" ref="H52:J52" si="61">ROUND(RAND(),2)</f>
        <v>0.12</v>
      </c>
      <c r="I52" s="7">
        <f t="shared" si="61"/>
        <v>0.53</v>
      </c>
      <c r="J52" s="7">
        <f t="shared" si="61"/>
        <v>0.12</v>
      </c>
      <c r="K52" s="7" t="str">
        <f t="shared" si="6"/>
        <v>High</v>
      </c>
      <c r="L52" s="7">
        <f t="shared" si="7"/>
        <v>2484992</v>
      </c>
      <c r="M52" s="7">
        <f t="shared" si="8"/>
        <v>1700973.288</v>
      </c>
      <c r="N52" s="7">
        <f t="shared" si="9"/>
        <v>136104</v>
      </c>
      <c r="O52" s="7">
        <f t="shared" si="13"/>
        <v>178351</v>
      </c>
      <c r="P52" s="7">
        <f t="shared" si="10"/>
        <v>756.13</v>
      </c>
      <c r="Q52" s="7">
        <f t="shared" si="11"/>
        <v>0.26</v>
      </c>
    </row>
    <row r="53">
      <c r="A53" s="4" t="s">
        <v>181</v>
      </c>
      <c r="B53" s="4" t="s">
        <v>182</v>
      </c>
      <c r="C53" s="4" t="s">
        <v>183</v>
      </c>
      <c r="D53" s="5">
        <v>15291.0</v>
      </c>
      <c r="E53" s="7" t="str">
        <f t="shared" si="2"/>
        <v>F</v>
      </c>
      <c r="F53" s="7" t="str">
        <f t="shared" si="3"/>
        <v>B</v>
      </c>
      <c r="G53" s="7" t="str">
        <f t="shared" si="4"/>
        <v>High ambition</v>
      </c>
      <c r="H53" s="7">
        <f t="shared" ref="H53:J53" si="62">ROUND(RAND(),2)</f>
        <v>0.62</v>
      </c>
      <c r="I53" s="7">
        <f t="shared" si="62"/>
        <v>0.45</v>
      </c>
      <c r="J53" s="7">
        <f t="shared" si="62"/>
        <v>0.68</v>
      </c>
      <c r="K53" s="7" t="str">
        <f t="shared" si="6"/>
        <v>Low</v>
      </c>
      <c r="L53" s="7">
        <f t="shared" si="7"/>
        <v>252698</v>
      </c>
      <c r="M53" s="7">
        <f t="shared" si="8"/>
        <v>56077.71367</v>
      </c>
      <c r="N53" s="7">
        <f t="shared" si="9"/>
        <v>229365</v>
      </c>
      <c r="O53" s="7">
        <f t="shared" si="13"/>
        <v>330101</v>
      </c>
      <c r="P53" s="7">
        <f t="shared" si="10"/>
        <v>7398.87</v>
      </c>
      <c r="Q53" s="7">
        <f t="shared" si="11"/>
        <v>0.01</v>
      </c>
    </row>
    <row r="54">
      <c r="A54" s="4" t="s">
        <v>184</v>
      </c>
      <c r="B54" s="4" t="s">
        <v>185</v>
      </c>
      <c r="C54" s="4" t="s">
        <v>186</v>
      </c>
      <c r="D54" s="5">
        <v>9912.0</v>
      </c>
      <c r="E54" s="7" t="str">
        <f t="shared" si="2"/>
        <v>C</v>
      </c>
      <c r="F54" s="7" t="str">
        <f t="shared" si="3"/>
        <v>A</v>
      </c>
      <c r="G54" s="7" t="str">
        <f t="shared" si="4"/>
        <v>Transformative change</v>
      </c>
      <c r="H54" s="7">
        <f t="shared" ref="H54:J54" si="63">ROUND(RAND(),2)</f>
        <v>1</v>
      </c>
      <c r="I54" s="7">
        <f t="shared" si="63"/>
        <v>0.03</v>
      </c>
      <c r="J54" s="7">
        <f t="shared" si="63"/>
        <v>0.98</v>
      </c>
      <c r="K54" s="7" t="str">
        <f t="shared" si="6"/>
        <v>Medium</v>
      </c>
      <c r="L54" s="7">
        <f t="shared" si="7"/>
        <v>196877</v>
      </c>
      <c r="M54" s="7">
        <f t="shared" si="8"/>
        <v>141536.1903</v>
      </c>
      <c r="N54" s="7">
        <f t="shared" si="9"/>
        <v>99120</v>
      </c>
      <c r="O54" s="7">
        <f t="shared" si="13"/>
        <v>162495</v>
      </c>
      <c r="P54" s="7">
        <f t="shared" si="10"/>
        <v>834</v>
      </c>
      <c r="Q54" s="7">
        <f t="shared" si="11"/>
        <v>0.3</v>
      </c>
    </row>
    <row r="55">
      <c r="A55" s="4" t="s">
        <v>187</v>
      </c>
      <c r="B55" s="4" t="s">
        <v>188</v>
      </c>
      <c r="C55" s="4" t="s">
        <v>189</v>
      </c>
      <c r="D55" s="5">
        <v>32313.0</v>
      </c>
      <c r="E55" s="7" t="str">
        <f t="shared" si="2"/>
        <v>C</v>
      </c>
      <c r="F55" s="7" t="str">
        <f t="shared" si="3"/>
        <v>C</v>
      </c>
      <c r="G55" s="7" t="str">
        <f t="shared" si="4"/>
        <v>Transformative change</v>
      </c>
      <c r="H55" s="7">
        <f t="shared" ref="H55:J55" si="64">ROUND(RAND(),2)</f>
        <v>0.38</v>
      </c>
      <c r="I55" s="7">
        <f t="shared" si="64"/>
        <v>0.38</v>
      </c>
      <c r="J55" s="7">
        <f t="shared" si="64"/>
        <v>0.71</v>
      </c>
      <c r="K55" s="7" t="str">
        <f t="shared" si="6"/>
        <v>Medium</v>
      </c>
      <c r="L55" s="7">
        <f t="shared" si="7"/>
        <v>1856800</v>
      </c>
      <c r="M55" s="7">
        <f t="shared" si="8"/>
        <v>1351956.694</v>
      </c>
      <c r="N55" s="7">
        <f t="shared" si="9"/>
        <v>452382</v>
      </c>
      <c r="O55" s="7">
        <f t="shared" si="13"/>
        <v>633530</v>
      </c>
      <c r="P55" s="7">
        <f t="shared" si="10"/>
        <v>1334.46</v>
      </c>
      <c r="Q55" s="7">
        <f t="shared" si="11"/>
        <v>0.02</v>
      </c>
    </row>
    <row r="56">
      <c r="A56" s="4" t="s">
        <v>190</v>
      </c>
      <c r="B56" s="4" t="s">
        <v>191</v>
      </c>
      <c r="C56" s="4" t="s">
        <v>192</v>
      </c>
      <c r="D56" s="5">
        <v>19757.0</v>
      </c>
      <c r="E56" s="7" t="str">
        <f t="shared" si="2"/>
        <v>B</v>
      </c>
      <c r="F56" s="7" t="str">
        <f t="shared" si="3"/>
        <v>A</v>
      </c>
      <c r="G56" s="7" t="str">
        <f t="shared" si="4"/>
        <v>Transformative change</v>
      </c>
      <c r="H56" s="7">
        <f t="shared" ref="H56:J56" si="65">ROUND(RAND(),2)</f>
        <v>0.9</v>
      </c>
      <c r="I56" s="7">
        <f t="shared" si="65"/>
        <v>0.26</v>
      </c>
      <c r="J56" s="7">
        <f t="shared" si="65"/>
        <v>0.4</v>
      </c>
      <c r="K56" s="7" t="str">
        <f t="shared" si="6"/>
        <v>Low</v>
      </c>
      <c r="L56" s="7">
        <f t="shared" si="7"/>
        <v>872667</v>
      </c>
      <c r="M56" s="7">
        <f t="shared" si="8"/>
        <v>588555.1772</v>
      </c>
      <c r="N56" s="7">
        <f t="shared" si="9"/>
        <v>138299</v>
      </c>
      <c r="O56" s="7">
        <f t="shared" si="13"/>
        <v>169760</v>
      </c>
      <c r="P56" s="7">
        <f t="shared" si="10"/>
        <v>349.24</v>
      </c>
      <c r="Q56" s="7">
        <f t="shared" si="11"/>
        <v>0.08</v>
      </c>
    </row>
    <row r="57">
      <c r="A57" s="4" t="s">
        <v>193</v>
      </c>
      <c r="B57" s="4" t="s">
        <v>194</v>
      </c>
      <c r="C57" s="4" t="s">
        <v>195</v>
      </c>
      <c r="D57" s="5">
        <v>15421.0</v>
      </c>
      <c r="E57" s="7" t="str">
        <f t="shared" si="2"/>
        <v>B</v>
      </c>
      <c r="F57" s="7" t="str">
        <f t="shared" si="3"/>
        <v>C</v>
      </c>
      <c r="G57" s="7" t="str">
        <f t="shared" si="4"/>
        <v>Transformative change</v>
      </c>
      <c r="H57" s="7">
        <f t="shared" ref="H57:J57" si="66">ROUND(RAND(),2)</f>
        <v>0.1</v>
      </c>
      <c r="I57" s="7">
        <f t="shared" si="66"/>
        <v>0.13</v>
      </c>
      <c r="J57" s="7">
        <f t="shared" si="66"/>
        <v>0.74</v>
      </c>
      <c r="K57" s="7" t="str">
        <f t="shared" si="6"/>
        <v>Medium</v>
      </c>
      <c r="L57" s="7">
        <f t="shared" si="7"/>
        <v>1798525</v>
      </c>
      <c r="M57" s="7">
        <f t="shared" si="8"/>
        <v>547507.9307</v>
      </c>
      <c r="N57" s="7">
        <f t="shared" si="9"/>
        <v>123368</v>
      </c>
      <c r="O57" s="7">
        <f t="shared" si="13"/>
        <v>295553</v>
      </c>
      <c r="P57" s="7">
        <f t="shared" si="10"/>
        <v>811</v>
      </c>
      <c r="Q57" s="7">
        <f t="shared" si="11"/>
        <v>0.09</v>
      </c>
    </row>
    <row r="58">
      <c r="A58" s="4" t="s">
        <v>196</v>
      </c>
      <c r="B58" s="4" t="s">
        <v>197</v>
      </c>
      <c r="C58" s="4" t="s">
        <v>198</v>
      </c>
      <c r="D58" s="5">
        <v>75675.0</v>
      </c>
      <c r="E58" s="7" t="str">
        <f t="shared" si="2"/>
        <v>F</v>
      </c>
      <c r="F58" s="7" t="str">
        <f t="shared" si="3"/>
        <v>B</v>
      </c>
      <c r="G58" s="7" t="str">
        <f t="shared" si="4"/>
        <v>Transformative change</v>
      </c>
      <c r="H58" s="7">
        <f t="shared" ref="H58:J58" si="67">ROUND(RAND(),2)</f>
        <v>0.88</v>
      </c>
      <c r="I58" s="7">
        <f t="shared" si="67"/>
        <v>0.08</v>
      </c>
      <c r="J58" s="7">
        <f t="shared" si="67"/>
        <v>0.44</v>
      </c>
      <c r="K58" s="7" t="str">
        <f t="shared" si="6"/>
        <v>High</v>
      </c>
      <c r="L58" s="7">
        <f t="shared" si="7"/>
        <v>3662150</v>
      </c>
      <c r="M58" s="7">
        <f t="shared" si="8"/>
        <v>3144505.4</v>
      </c>
      <c r="N58" s="7">
        <f t="shared" si="9"/>
        <v>454050</v>
      </c>
      <c r="O58" s="7">
        <f t="shared" si="13"/>
        <v>504690</v>
      </c>
      <c r="P58" s="7">
        <f t="shared" si="10"/>
        <v>2987.17</v>
      </c>
      <c r="Q58" s="7">
        <f t="shared" si="11"/>
        <v>0.26</v>
      </c>
    </row>
    <row r="59">
      <c r="A59" s="4" t="s">
        <v>199</v>
      </c>
      <c r="B59" s="4" t="s">
        <v>200</v>
      </c>
      <c r="C59" s="4" t="s">
        <v>201</v>
      </c>
      <c r="D59" s="5">
        <v>6570.0</v>
      </c>
      <c r="E59" s="7" t="str">
        <f t="shared" si="2"/>
        <v>A</v>
      </c>
      <c r="F59" s="7" t="str">
        <f t="shared" si="3"/>
        <v>B</v>
      </c>
      <c r="G59" s="7" t="str">
        <f t="shared" si="4"/>
        <v>Transformative change</v>
      </c>
      <c r="H59" s="7">
        <f t="shared" ref="H59:J59" si="68">ROUND(RAND(),2)</f>
        <v>0.03</v>
      </c>
      <c r="I59" s="7">
        <f t="shared" si="68"/>
        <v>0.95</v>
      </c>
      <c r="J59" s="7">
        <f t="shared" si="68"/>
        <v>0.66</v>
      </c>
      <c r="K59" s="7" t="str">
        <f t="shared" si="6"/>
        <v>High</v>
      </c>
      <c r="L59" s="7">
        <f t="shared" si="7"/>
        <v>140418</v>
      </c>
      <c r="M59" s="7">
        <f t="shared" si="8"/>
        <v>20054.86336</v>
      </c>
      <c r="N59" s="7">
        <f t="shared" si="9"/>
        <v>72270</v>
      </c>
      <c r="O59" s="7">
        <f t="shared" si="13"/>
        <v>207071</v>
      </c>
      <c r="P59" s="7">
        <f t="shared" si="10"/>
        <v>1085</v>
      </c>
      <c r="Q59" s="7">
        <f t="shared" si="11"/>
        <v>0.07</v>
      </c>
    </row>
    <row r="60">
      <c r="A60" s="4" t="s">
        <v>202</v>
      </c>
      <c r="B60" s="4" t="s">
        <v>203</v>
      </c>
      <c r="C60" s="4" t="s">
        <v>204</v>
      </c>
      <c r="D60" s="5">
        <v>9659.0</v>
      </c>
      <c r="E60" s="7" t="str">
        <f t="shared" si="2"/>
        <v>G</v>
      </c>
      <c r="F60" s="7" t="str">
        <f t="shared" si="3"/>
        <v>A</v>
      </c>
      <c r="G60" s="7" t="str">
        <f t="shared" si="4"/>
        <v>Transformative change</v>
      </c>
      <c r="H60" s="7">
        <f t="shared" ref="H60:J60" si="69">ROUND(RAND(),2)</f>
        <v>0.18</v>
      </c>
      <c r="I60" s="7">
        <f t="shared" si="69"/>
        <v>0.25</v>
      </c>
      <c r="J60" s="7">
        <f t="shared" si="69"/>
        <v>0.86</v>
      </c>
      <c r="K60" s="7" t="str">
        <f t="shared" si="6"/>
        <v>Low</v>
      </c>
      <c r="L60" s="7">
        <f t="shared" si="7"/>
        <v>3208231</v>
      </c>
      <c r="M60" s="7">
        <f t="shared" si="8"/>
        <v>924084.2239</v>
      </c>
      <c r="N60" s="7">
        <f t="shared" si="9"/>
        <v>38636</v>
      </c>
      <c r="O60" s="7">
        <f t="shared" si="13"/>
        <v>113172</v>
      </c>
      <c r="P60" s="7">
        <f t="shared" si="10"/>
        <v>814</v>
      </c>
      <c r="Q60" s="7">
        <f t="shared" si="11"/>
        <v>0.03</v>
      </c>
    </row>
    <row r="61">
      <c r="A61" s="4" t="s">
        <v>205</v>
      </c>
      <c r="B61" s="4" t="s">
        <v>206</v>
      </c>
      <c r="C61" s="4" t="s">
        <v>207</v>
      </c>
      <c r="D61" s="5">
        <v>105444.0</v>
      </c>
      <c r="E61" s="7" t="str">
        <f t="shared" si="2"/>
        <v>B</v>
      </c>
      <c r="F61" s="7" t="str">
        <f t="shared" si="3"/>
        <v>A</v>
      </c>
      <c r="G61" s="7" t="str">
        <f t="shared" si="4"/>
        <v>Transformative change</v>
      </c>
      <c r="H61" s="7">
        <f t="shared" ref="H61:J61" si="70">ROUND(RAND(),2)</f>
        <v>0.65</v>
      </c>
      <c r="I61" s="7">
        <f t="shared" si="70"/>
        <v>0.06</v>
      </c>
      <c r="J61" s="7">
        <f t="shared" si="70"/>
        <v>0.18</v>
      </c>
      <c r="K61" s="7" t="str">
        <f t="shared" si="6"/>
        <v>Low</v>
      </c>
      <c r="L61" s="7">
        <f t="shared" si="7"/>
        <v>2567500</v>
      </c>
      <c r="M61" s="7">
        <f t="shared" si="8"/>
        <v>1987379.85</v>
      </c>
      <c r="N61" s="7">
        <f t="shared" si="9"/>
        <v>738108</v>
      </c>
      <c r="O61" s="7">
        <f t="shared" si="13"/>
        <v>760366</v>
      </c>
      <c r="P61" s="7">
        <f t="shared" si="10"/>
        <v>2373.34</v>
      </c>
      <c r="Q61" s="7">
        <f t="shared" si="11"/>
        <v>0.26</v>
      </c>
    </row>
    <row r="62">
      <c r="A62" s="4" t="s">
        <v>208</v>
      </c>
      <c r="B62" s="4" t="s">
        <v>209</v>
      </c>
      <c r="C62" s="4" t="s">
        <v>210</v>
      </c>
      <c r="D62" s="5">
        <v>334950.0</v>
      </c>
      <c r="E62" s="7" t="str">
        <f t="shared" si="2"/>
        <v>A</v>
      </c>
      <c r="F62" s="7" t="str">
        <f t="shared" si="3"/>
        <v>B</v>
      </c>
      <c r="G62" s="7" t="str">
        <f t="shared" si="4"/>
        <v>High ambition</v>
      </c>
      <c r="H62" s="7">
        <f t="shared" ref="H62:J62" si="71">ROUND(RAND(),2)</f>
        <v>0.16</v>
      </c>
      <c r="I62" s="7">
        <f t="shared" si="71"/>
        <v>0.04</v>
      </c>
      <c r="J62" s="7">
        <f t="shared" si="71"/>
        <v>0.5</v>
      </c>
      <c r="K62" s="7" t="str">
        <f t="shared" si="6"/>
        <v>Medium</v>
      </c>
      <c r="L62" s="7">
        <f t="shared" si="7"/>
        <v>2283329</v>
      </c>
      <c r="M62" s="7">
        <f t="shared" si="8"/>
        <v>1793243.123</v>
      </c>
      <c r="N62" s="7">
        <f t="shared" si="9"/>
        <v>4019400</v>
      </c>
      <c r="O62" s="7">
        <f t="shared" si="13"/>
        <v>4159313</v>
      </c>
      <c r="P62" s="7">
        <f t="shared" si="10"/>
        <v>93474.42</v>
      </c>
      <c r="Q62" s="7">
        <f t="shared" si="11"/>
        <v>0.29</v>
      </c>
    </row>
    <row r="63">
      <c r="A63" s="4" t="s">
        <v>211</v>
      </c>
      <c r="B63" s="4" t="s">
        <v>212</v>
      </c>
      <c r="C63" s="4" t="s">
        <v>213</v>
      </c>
      <c r="D63" s="5">
        <v>18878.0</v>
      </c>
      <c r="E63" s="7" t="str">
        <f t="shared" si="2"/>
        <v>E</v>
      </c>
      <c r="F63" s="7" t="str">
        <f t="shared" si="3"/>
        <v>A</v>
      </c>
      <c r="G63" s="7" t="str">
        <f t="shared" si="4"/>
        <v>Transformative change</v>
      </c>
      <c r="H63" s="7">
        <f t="shared" ref="H63:J63" si="72">ROUND(RAND(),2)</f>
        <v>0.58</v>
      </c>
      <c r="I63" s="7">
        <f t="shared" si="72"/>
        <v>0.45</v>
      </c>
      <c r="J63" s="7">
        <f t="shared" si="72"/>
        <v>0.4</v>
      </c>
      <c r="K63" s="7" t="str">
        <f t="shared" si="6"/>
        <v>Low</v>
      </c>
      <c r="L63" s="7">
        <f t="shared" si="7"/>
        <v>2545731</v>
      </c>
      <c r="M63" s="7">
        <f t="shared" si="8"/>
        <v>367058.9126</v>
      </c>
      <c r="N63" s="7">
        <f t="shared" si="9"/>
        <v>264292</v>
      </c>
      <c r="O63" s="7">
        <f t="shared" si="13"/>
        <v>458127</v>
      </c>
      <c r="P63" s="7">
        <f t="shared" si="10"/>
        <v>819</v>
      </c>
      <c r="Q63" s="7">
        <f t="shared" si="11"/>
        <v>0.21</v>
      </c>
    </row>
    <row r="64">
      <c r="A64" s="4" t="s">
        <v>214</v>
      </c>
      <c r="B64" s="4" t="s">
        <v>215</v>
      </c>
      <c r="C64" s="4" t="s">
        <v>95</v>
      </c>
      <c r="D64" s="5">
        <v>71780.0</v>
      </c>
      <c r="E64" s="7" t="str">
        <f t="shared" si="2"/>
        <v>C</v>
      </c>
      <c r="F64" s="7" t="str">
        <f t="shared" si="3"/>
        <v>B</v>
      </c>
      <c r="G64" s="7" t="str">
        <f t="shared" si="4"/>
        <v>Transformative change</v>
      </c>
      <c r="H64" s="7">
        <f t="shared" ref="H64:J64" si="73">ROUND(RAND(),2)</f>
        <v>0.72</v>
      </c>
      <c r="I64" s="7">
        <f t="shared" si="73"/>
        <v>0.25</v>
      </c>
      <c r="J64" s="7">
        <f t="shared" si="73"/>
        <v>0.48</v>
      </c>
      <c r="K64" s="7" t="str">
        <f t="shared" si="6"/>
        <v>Medium</v>
      </c>
      <c r="L64" s="7">
        <f t="shared" si="7"/>
        <v>2911708</v>
      </c>
      <c r="M64" s="7">
        <f t="shared" si="8"/>
        <v>1616096.941</v>
      </c>
      <c r="N64" s="7">
        <f t="shared" si="9"/>
        <v>717800</v>
      </c>
      <c r="O64" s="7">
        <f t="shared" si="13"/>
        <v>761663</v>
      </c>
      <c r="P64" s="7">
        <f t="shared" si="10"/>
        <v>3501.46</v>
      </c>
      <c r="Q64" s="7">
        <f t="shared" si="11"/>
        <v>0.07</v>
      </c>
    </row>
    <row r="65">
      <c r="A65" s="4" t="s">
        <v>216</v>
      </c>
      <c r="B65" s="4" t="s">
        <v>217</v>
      </c>
      <c r="C65" s="4" t="s">
        <v>218</v>
      </c>
      <c r="D65" s="5">
        <v>6968.0</v>
      </c>
      <c r="E65" s="7" t="str">
        <f t="shared" si="2"/>
        <v>G</v>
      </c>
      <c r="F65" s="7" t="str">
        <f t="shared" si="3"/>
        <v>B</v>
      </c>
      <c r="G65" s="7" t="str">
        <f t="shared" si="4"/>
        <v>Transformative change</v>
      </c>
      <c r="H65" s="7">
        <f t="shared" ref="H65:J65" si="74">ROUND(RAND(),2)</f>
        <v>0.55</v>
      </c>
      <c r="I65" s="7">
        <f t="shared" si="74"/>
        <v>0.64</v>
      </c>
      <c r="J65" s="7">
        <f t="shared" si="74"/>
        <v>0.63</v>
      </c>
      <c r="K65" s="7" t="str">
        <f t="shared" si="6"/>
        <v>High</v>
      </c>
      <c r="L65" s="7">
        <f t="shared" si="7"/>
        <v>483940</v>
      </c>
      <c r="M65" s="7">
        <f t="shared" si="8"/>
        <v>126603.3625</v>
      </c>
      <c r="N65" s="7">
        <f t="shared" si="9"/>
        <v>97552</v>
      </c>
      <c r="O65" s="7">
        <f t="shared" si="13"/>
        <v>281335</v>
      </c>
      <c r="P65" s="7">
        <f t="shared" si="10"/>
        <v>865</v>
      </c>
      <c r="Q65" s="7">
        <f t="shared" si="11"/>
        <v>0.16</v>
      </c>
    </row>
    <row r="66">
      <c r="A66" s="4" t="s">
        <v>219</v>
      </c>
      <c r="B66" s="4" t="s">
        <v>220</v>
      </c>
      <c r="C66" s="4" t="s">
        <v>221</v>
      </c>
      <c r="D66" s="5">
        <v>6157.0</v>
      </c>
      <c r="E66" s="7" t="str">
        <f t="shared" si="2"/>
        <v>E</v>
      </c>
      <c r="F66" s="7" t="str">
        <f t="shared" si="3"/>
        <v>C</v>
      </c>
      <c r="G66" s="7" t="str">
        <f t="shared" si="4"/>
        <v>Transformative change</v>
      </c>
      <c r="H66" s="7">
        <f t="shared" ref="H66:J66" si="75">ROUND(RAND(),2)</f>
        <v>0.3</v>
      </c>
      <c r="I66" s="7">
        <f t="shared" si="75"/>
        <v>0.67</v>
      </c>
      <c r="J66" s="7">
        <f t="shared" si="75"/>
        <v>0.4</v>
      </c>
      <c r="K66" s="7" t="str">
        <f t="shared" si="6"/>
        <v>Low</v>
      </c>
      <c r="L66" s="7">
        <f t="shared" si="7"/>
        <v>1504468</v>
      </c>
      <c r="M66" s="7">
        <f t="shared" si="8"/>
        <v>285905.6012</v>
      </c>
      <c r="N66" s="7">
        <f t="shared" si="9"/>
        <v>80041</v>
      </c>
      <c r="O66" s="7">
        <f t="shared" si="13"/>
        <v>199174</v>
      </c>
      <c r="P66" s="7">
        <f t="shared" si="10"/>
        <v>935</v>
      </c>
      <c r="Q66" s="7">
        <f t="shared" si="11"/>
        <v>0.07</v>
      </c>
    </row>
    <row r="67">
      <c r="A67" s="4" t="s">
        <v>222</v>
      </c>
      <c r="B67" s="4" t="s">
        <v>223</v>
      </c>
      <c r="C67" s="4" t="s">
        <v>95</v>
      </c>
      <c r="D67" s="5">
        <v>18173.0</v>
      </c>
      <c r="E67" s="7" t="str">
        <f t="shared" si="2"/>
        <v>G</v>
      </c>
      <c r="F67" s="7" t="str">
        <f t="shared" si="3"/>
        <v>B</v>
      </c>
      <c r="G67" s="7" t="str">
        <f t="shared" si="4"/>
        <v>Transformative change</v>
      </c>
      <c r="H67" s="7">
        <f t="shared" ref="H67:J67" si="76">ROUND(RAND(),2)</f>
        <v>0.24</v>
      </c>
      <c r="I67" s="7">
        <f t="shared" si="76"/>
        <v>0.65</v>
      </c>
      <c r="J67" s="7">
        <f t="shared" si="76"/>
        <v>0.28</v>
      </c>
      <c r="K67" s="7" t="str">
        <f t="shared" si="6"/>
        <v>Medium</v>
      </c>
      <c r="L67" s="7">
        <f t="shared" si="7"/>
        <v>2445711</v>
      </c>
      <c r="M67" s="7">
        <f t="shared" si="8"/>
        <v>944404.4329</v>
      </c>
      <c r="N67" s="7">
        <f t="shared" si="9"/>
        <v>272595</v>
      </c>
      <c r="O67" s="7">
        <f t="shared" si="13"/>
        <v>375496</v>
      </c>
      <c r="P67" s="7">
        <f t="shared" si="10"/>
        <v>980.56</v>
      </c>
      <c r="Q67" s="7">
        <f t="shared" si="11"/>
        <v>0.11</v>
      </c>
    </row>
    <row r="68">
      <c r="A68" s="4" t="s">
        <v>224</v>
      </c>
      <c r="B68" s="4" t="s">
        <v>225</v>
      </c>
      <c r="C68" s="4" t="s">
        <v>226</v>
      </c>
      <c r="D68" s="5">
        <v>225280.0</v>
      </c>
      <c r="E68" s="7" t="str">
        <f t="shared" si="2"/>
        <v>F</v>
      </c>
      <c r="F68" s="7" t="str">
        <f t="shared" si="3"/>
        <v>B</v>
      </c>
      <c r="G68" s="7" t="str">
        <f t="shared" si="4"/>
        <v>Transformative change</v>
      </c>
      <c r="H68" s="7">
        <f t="shared" ref="H68:J68" si="77">ROUND(RAND(),2)</f>
        <v>0.95</v>
      </c>
      <c r="I68" s="7">
        <f t="shared" si="77"/>
        <v>0.95</v>
      </c>
      <c r="J68" s="7">
        <f t="shared" si="77"/>
        <v>0.57</v>
      </c>
      <c r="K68" s="7" t="str">
        <f t="shared" si="6"/>
        <v>Medium</v>
      </c>
      <c r="L68" s="7">
        <f t="shared" si="7"/>
        <v>1363840</v>
      </c>
      <c r="M68" s="7">
        <f t="shared" si="8"/>
        <v>1191769.444</v>
      </c>
      <c r="N68" s="7">
        <f t="shared" si="9"/>
        <v>1802240</v>
      </c>
      <c r="O68" s="7">
        <f t="shared" si="13"/>
        <v>1890436</v>
      </c>
      <c r="P68" s="7">
        <f t="shared" si="10"/>
        <v>31618.25</v>
      </c>
      <c r="Q68" s="7">
        <f t="shared" si="11"/>
        <v>0.12</v>
      </c>
    </row>
    <row r="69">
      <c r="A69" s="4" t="s">
        <v>227</v>
      </c>
      <c r="B69" s="4" t="s">
        <v>228</v>
      </c>
      <c r="C69" s="4" t="s">
        <v>229</v>
      </c>
      <c r="D69" s="5">
        <v>32338.0</v>
      </c>
      <c r="E69" s="7" t="str">
        <f t="shared" si="2"/>
        <v>E</v>
      </c>
      <c r="F69" s="7" t="str">
        <f t="shared" si="3"/>
        <v>C</v>
      </c>
      <c r="G69" s="7" t="str">
        <f t="shared" si="4"/>
        <v>Transformative change</v>
      </c>
      <c r="H69" s="7">
        <f t="shared" ref="H69:J69" si="78">ROUND(RAND(),2)</f>
        <v>0.89</v>
      </c>
      <c r="I69" s="7">
        <f t="shared" si="78"/>
        <v>0.56</v>
      </c>
      <c r="J69" s="7">
        <f t="shared" si="78"/>
        <v>0.18</v>
      </c>
      <c r="K69" s="7" t="str">
        <f t="shared" si="6"/>
        <v>Medium</v>
      </c>
      <c r="L69" s="7">
        <f t="shared" si="7"/>
        <v>1243343</v>
      </c>
      <c r="M69" s="7">
        <f t="shared" si="8"/>
        <v>887201.2821</v>
      </c>
      <c r="N69" s="7">
        <f t="shared" si="9"/>
        <v>129352</v>
      </c>
      <c r="O69" s="7">
        <f t="shared" si="13"/>
        <v>310848</v>
      </c>
      <c r="P69" s="7">
        <f t="shared" si="10"/>
        <v>916</v>
      </c>
      <c r="Q69" s="7">
        <f t="shared" si="11"/>
        <v>0.19</v>
      </c>
    </row>
    <row r="70">
      <c r="A70" s="4" t="s">
        <v>230</v>
      </c>
      <c r="B70" s="4" t="s">
        <v>231</v>
      </c>
      <c r="C70" s="4" t="s">
        <v>232</v>
      </c>
      <c r="D70" s="5">
        <v>10909.0</v>
      </c>
      <c r="E70" s="7" t="str">
        <f t="shared" si="2"/>
        <v>B</v>
      </c>
      <c r="F70" s="7" t="str">
        <f t="shared" si="3"/>
        <v>C</v>
      </c>
      <c r="G70" s="7" t="str">
        <f t="shared" si="4"/>
        <v>Transformative change</v>
      </c>
      <c r="H70" s="7">
        <f t="shared" ref="H70:J70" si="79">ROUND(RAND(),2)</f>
        <v>0.31</v>
      </c>
      <c r="I70" s="7">
        <f t="shared" si="79"/>
        <v>0.73</v>
      </c>
      <c r="J70" s="7">
        <f t="shared" si="79"/>
        <v>0.16</v>
      </c>
      <c r="K70" s="7" t="str">
        <f t="shared" si="6"/>
        <v>Low</v>
      </c>
      <c r="L70" s="7">
        <f t="shared" si="7"/>
        <v>3524666</v>
      </c>
      <c r="M70" s="7">
        <f t="shared" si="8"/>
        <v>3326357.293</v>
      </c>
      <c r="N70" s="7">
        <f t="shared" si="9"/>
        <v>54545</v>
      </c>
      <c r="O70" s="7">
        <f t="shared" si="13"/>
        <v>116939</v>
      </c>
      <c r="P70" s="7">
        <f t="shared" si="10"/>
        <v>927</v>
      </c>
      <c r="Q70" s="7">
        <f t="shared" si="11"/>
        <v>0.13</v>
      </c>
    </row>
    <row r="71">
      <c r="A71" s="4" t="s">
        <v>230</v>
      </c>
      <c r="B71" s="4" t="s">
        <v>233</v>
      </c>
      <c r="C71" s="4" t="s">
        <v>234</v>
      </c>
      <c r="D71" s="5">
        <v>18618.0</v>
      </c>
      <c r="E71" s="7" t="str">
        <f t="shared" si="2"/>
        <v>A</v>
      </c>
      <c r="F71" s="7" t="str">
        <f t="shared" si="3"/>
        <v>C</v>
      </c>
      <c r="G71" s="7" t="str">
        <f t="shared" si="4"/>
        <v>Transformative change</v>
      </c>
      <c r="H71" s="7">
        <f t="shared" ref="H71:J71" si="80">ROUND(RAND(),2)</f>
        <v>0.38</v>
      </c>
      <c r="I71" s="7">
        <f t="shared" si="80"/>
        <v>0.93</v>
      </c>
      <c r="J71" s="7">
        <f t="shared" si="80"/>
        <v>0</v>
      </c>
      <c r="K71" s="7" t="str">
        <f t="shared" si="6"/>
        <v>High</v>
      </c>
      <c r="L71" s="7">
        <f t="shared" si="7"/>
        <v>432854</v>
      </c>
      <c r="M71" s="7">
        <f t="shared" si="8"/>
        <v>252716.929</v>
      </c>
      <c r="N71" s="7">
        <f t="shared" si="9"/>
        <v>204798</v>
      </c>
      <c r="O71" s="7">
        <f t="shared" si="13"/>
        <v>342030</v>
      </c>
      <c r="P71" s="7">
        <f t="shared" si="10"/>
        <v>1024</v>
      </c>
      <c r="Q71" s="7">
        <f t="shared" si="11"/>
        <v>0.09</v>
      </c>
    </row>
    <row r="72">
      <c r="A72" s="4" t="s">
        <v>235</v>
      </c>
      <c r="B72" s="4" t="s">
        <v>236</v>
      </c>
      <c r="C72" s="4" t="s">
        <v>237</v>
      </c>
      <c r="D72" s="5">
        <v>38008.0</v>
      </c>
      <c r="E72" s="7" t="str">
        <f t="shared" si="2"/>
        <v>E</v>
      </c>
      <c r="F72" s="7" t="str">
        <f t="shared" si="3"/>
        <v>A</v>
      </c>
      <c r="G72" s="7" t="str">
        <f t="shared" si="4"/>
        <v>Transformative change</v>
      </c>
      <c r="H72" s="7">
        <f t="shared" ref="H72:J72" si="81">ROUND(RAND(),2)</f>
        <v>0.46</v>
      </c>
      <c r="I72" s="7">
        <f t="shared" si="81"/>
        <v>0.27</v>
      </c>
      <c r="J72" s="7">
        <f t="shared" si="81"/>
        <v>0.39</v>
      </c>
      <c r="K72" s="7" t="str">
        <f t="shared" si="6"/>
        <v>High</v>
      </c>
      <c r="L72" s="7">
        <f t="shared" si="7"/>
        <v>2693396</v>
      </c>
      <c r="M72" s="7">
        <f t="shared" si="8"/>
        <v>2638120.925</v>
      </c>
      <c r="N72" s="7">
        <f t="shared" si="9"/>
        <v>228048</v>
      </c>
      <c r="O72" s="7">
        <f t="shared" si="13"/>
        <v>358821</v>
      </c>
      <c r="P72" s="7">
        <f t="shared" si="10"/>
        <v>1701.85</v>
      </c>
      <c r="Q72" s="7">
        <f t="shared" si="11"/>
        <v>0.01</v>
      </c>
    </row>
    <row r="73">
      <c r="A73" s="4" t="s">
        <v>238</v>
      </c>
      <c r="B73" s="4" t="s">
        <v>239</v>
      </c>
      <c r="C73" s="4" t="s">
        <v>240</v>
      </c>
      <c r="D73" s="5">
        <v>11101.0</v>
      </c>
      <c r="E73" s="7" t="str">
        <f t="shared" si="2"/>
        <v>E</v>
      </c>
      <c r="F73" s="7" t="str">
        <f t="shared" si="3"/>
        <v>A</v>
      </c>
      <c r="G73" s="7" t="str">
        <f t="shared" si="4"/>
        <v>Transformative change</v>
      </c>
      <c r="H73" s="7">
        <f t="shared" ref="H73:J73" si="82">ROUND(RAND(),2)</f>
        <v>0.45</v>
      </c>
      <c r="I73" s="7">
        <f t="shared" si="82"/>
        <v>0.34</v>
      </c>
      <c r="J73" s="7">
        <f t="shared" si="82"/>
        <v>0.08</v>
      </c>
      <c r="K73" s="7" t="str">
        <f t="shared" si="6"/>
        <v>Medium</v>
      </c>
      <c r="L73" s="7">
        <f t="shared" si="7"/>
        <v>2777026</v>
      </c>
      <c r="M73" s="7">
        <f t="shared" si="8"/>
        <v>1140304.985</v>
      </c>
      <c r="N73" s="7">
        <f t="shared" si="9"/>
        <v>111010</v>
      </c>
      <c r="O73" s="7">
        <f t="shared" si="13"/>
        <v>286085</v>
      </c>
      <c r="P73" s="7">
        <f t="shared" si="10"/>
        <v>363.97</v>
      </c>
      <c r="Q73" s="7">
        <f t="shared" si="11"/>
        <v>0.2</v>
      </c>
    </row>
    <row r="74">
      <c r="A74" s="4" t="s">
        <v>241</v>
      </c>
      <c r="B74" s="4" t="s">
        <v>242</v>
      </c>
      <c r="C74" s="4" t="s">
        <v>95</v>
      </c>
      <c r="D74" s="5">
        <v>521418.0</v>
      </c>
      <c r="E74" s="7" t="str">
        <f t="shared" si="2"/>
        <v>A</v>
      </c>
      <c r="F74" s="7" t="str">
        <f t="shared" si="3"/>
        <v>C</v>
      </c>
      <c r="G74" s="7" t="str">
        <f t="shared" si="4"/>
        <v>Transformative change</v>
      </c>
      <c r="H74" s="7">
        <f t="shared" ref="H74:J74" si="83">ROUND(RAND(),2)</f>
        <v>0.04</v>
      </c>
      <c r="I74" s="7">
        <f t="shared" si="83"/>
        <v>0.61</v>
      </c>
      <c r="J74" s="7">
        <f t="shared" si="83"/>
        <v>0.68</v>
      </c>
      <c r="K74" s="7" t="str">
        <f t="shared" si="6"/>
        <v>Medium</v>
      </c>
      <c r="L74" s="7">
        <f t="shared" si="7"/>
        <v>1018640</v>
      </c>
      <c r="M74" s="7">
        <f t="shared" si="8"/>
        <v>174618.5608</v>
      </c>
      <c r="N74" s="7">
        <f t="shared" si="9"/>
        <v>4171344</v>
      </c>
      <c r="O74" s="7">
        <f t="shared" si="13"/>
        <v>4287598</v>
      </c>
      <c r="P74" s="7">
        <f t="shared" si="10"/>
        <v>11523.05</v>
      </c>
      <c r="Q74" s="7">
        <f t="shared" si="11"/>
        <v>0.28</v>
      </c>
    </row>
    <row r="75">
      <c r="A75" s="4" t="s">
        <v>243</v>
      </c>
      <c r="B75" s="4" t="s">
        <v>244</v>
      </c>
      <c r="C75" s="4" t="s">
        <v>245</v>
      </c>
      <c r="D75" s="5">
        <v>35656.0</v>
      </c>
      <c r="E75" s="7" t="str">
        <f t="shared" si="2"/>
        <v>G</v>
      </c>
      <c r="F75" s="7" t="str">
        <f t="shared" si="3"/>
        <v>C</v>
      </c>
      <c r="G75" s="7" t="str">
        <f t="shared" si="4"/>
        <v>High ambition</v>
      </c>
      <c r="H75" s="7">
        <f t="shared" ref="H75:J75" si="84">ROUND(RAND(),2)</f>
        <v>0.15</v>
      </c>
      <c r="I75" s="7">
        <f t="shared" si="84"/>
        <v>0.33</v>
      </c>
      <c r="J75" s="7">
        <f t="shared" si="84"/>
        <v>0.83</v>
      </c>
      <c r="K75" s="7" t="str">
        <f t="shared" si="6"/>
        <v>Low</v>
      </c>
      <c r="L75" s="7">
        <f t="shared" si="7"/>
        <v>592884</v>
      </c>
      <c r="M75" s="7">
        <f t="shared" si="8"/>
        <v>469461.6758</v>
      </c>
      <c r="N75" s="7">
        <f t="shared" si="9"/>
        <v>249592</v>
      </c>
      <c r="O75" s="7">
        <f t="shared" si="13"/>
        <v>346147</v>
      </c>
      <c r="P75" s="7">
        <f t="shared" si="10"/>
        <v>990.44</v>
      </c>
      <c r="Q75" s="7">
        <f t="shared" si="11"/>
        <v>0.21</v>
      </c>
    </row>
    <row r="76">
      <c r="A76" s="4" t="s">
        <v>246</v>
      </c>
      <c r="B76" s="4" t="s">
        <v>247</v>
      </c>
      <c r="C76" s="4" t="s">
        <v>248</v>
      </c>
      <c r="D76" s="5">
        <v>12697.0</v>
      </c>
      <c r="E76" s="7" t="str">
        <f t="shared" si="2"/>
        <v>D</v>
      </c>
      <c r="F76" s="7" t="str">
        <f t="shared" si="3"/>
        <v>B</v>
      </c>
      <c r="G76" s="7" t="str">
        <f t="shared" si="4"/>
        <v>Transformative change</v>
      </c>
      <c r="H76" s="7">
        <f t="shared" ref="H76:J76" si="85">ROUND(RAND(),2)</f>
        <v>0.3</v>
      </c>
      <c r="I76" s="7">
        <f t="shared" si="85"/>
        <v>0.93</v>
      </c>
      <c r="J76" s="7">
        <f t="shared" si="85"/>
        <v>0.45</v>
      </c>
      <c r="K76" s="7" t="str">
        <f t="shared" si="6"/>
        <v>Low</v>
      </c>
      <c r="L76" s="7">
        <f t="shared" si="7"/>
        <v>2142297</v>
      </c>
      <c r="M76" s="7">
        <f t="shared" si="8"/>
        <v>1944168.157</v>
      </c>
      <c r="N76" s="7">
        <f t="shared" si="9"/>
        <v>76182</v>
      </c>
      <c r="O76" s="7">
        <f t="shared" si="13"/>
        <v>135623</v>
      </c>
      <c r="P76" s="7">
        <f t="shared" si="10"/>
        <v>870</v>
      </c>
      <c r="Q76" s="7">
        <f t="shared" si="11"/>
        <v>0.25</v>
      </c>
    </row>
    <row r="77">
      <c r="A77" s="4" t="s">
        <v>249</v>
      </c>
      <c r="B77" s="4" t="s">
        <v>250</v>
      </c>
      <c r="C77" s="4" t="s">
        <v>95</v>
      </c>
      <c r="D77" s="5">
        <v>95874.0</v>
      </c>
      <c r="E77" s="7" t="str">
        <f t="shared" si="2"/>
        <v>E</v>
      </c>
      <c r="F77" s="7" t="str">
        <f t="shared" si="3"/>
        <v>A</v>
      </c>
      <c r="G77" s="7" t="str">
        <f t="shared" si="4"/>
        <v>High ambition</v>
      </c>
      <c r="H77" s="7">
        <f t="shared" ref="H77:J77" si="86">ROUND(RAND(),2)</f>
        <v>0.13</v>
      </c>
      <c r="I77" s="7">
        <f t="shared" si="86"/>
        <v>0.37</v>
      </c>
      <c r="J77" s="7">
        <f t="shared" si="86"/>
        <v>0.13</v>
      </c>
      <c r="K77" s="7" t="str">
        <f t="shared" si="6"/>
        <v>High</v>
      </c>
      <c r="L77" s="7">
        <f t="shared" si="7"/>
        <v>3810560</v>
      </c>
      <c r="M77" s="7">
        <f t="shared" si="8"/>
        <v>2354822.189</v>
      </c>
      <c r="N77" s="7">
        <f t="shared" si="9"/>
        <v>383496</v>
      </c>
      <c r="O77" s="7">
        <f t="shared" si="13"/>
        <v>505119</v>
      </c>
      <c r="P77" s="7">
        <f t="shared" si="10"/>
        <v>2050.78</v>
      </c>
      <c r="Q77" s="7">
        <f t="shared" si="11"/>
        <v>0.15</v>
      </c>
    </row>
    <row r="78">
      <c r="A78" s="4" t="s">
        <v>251</v>
      </c>
      <c r="B78" s="4" t="s">
        <v>252</v>
      </c>
      <c r="C78" s="4" t="s">
        <v>253</v>
      </c>
      <c r="D78" s="5">
        <v>7401.0</v>
      </c>
      <c r="E78" s="7" t="str">
        <f t="shared" si="2"/>
        <v>G</v>
      </c>
      <c r="F78" s="7" t="str">
        <f t="shared" si="3"/>
        <v>B</v>
      </c>
      <c r="G78" s="7" t="str">
        <f t="shared" si="4"/>
        <v>Transformative change</v>
      </c>
      <c r="H78" s="7">
        <f t="shared" ref="H78:J78" si="87">ROUND(RAND(),2)</f>
        <v>0.13</v>
      </c>
      <c r="I78" s="7">
        <f t="shared" si="87"/>
        <v>0.79</v>
      </c>
      <c r="J78" s="7">
        <f t="shared" si="87"/>
        <v>0.69</v>
      </c>
      <c r="K78" s="7" t="str">
        <f t="shared" si="6"/>
        <v>High</v>
      </c>
      <c r="L78" s="7">
        <f t="shared" si="7"/>
        <v>3996446</v>
      </c>
      <c r="M78" s="7">
        <f t="shared" si="8"/>
        <v>1184154.798</v>
      </c>
      <c r="N78" s="7">
        <f t="shared" si="9"/>
        <v>29604</v>
      </c>
      <c r="O78" s="7">
        <f t="shared" si="13"/>
        <v>225241</v>
      </c>
      <c r="P78" s="7">
        <f t="shared" si="10"/>
        <v>874</v>
      </c>
      <c r="Q78" s="7">
        <f t="shared" si="11"/>
        <v>0.2</v>
      </c>
    </row>
    <row r="79">
      <c r="A79" s="4" t="s">
        <v>254</v>
      </c>
      <c r="B79" s="4" t="s">
        <v>255</v>
      </c>
      <c r="C79" s="4" t="s">
        <v>256</v>
      </c>
      <c r="D79" s="5">
        <v>85694.0</v>
      </c>
      <c r="E79" s="7" t="str">
        <f t="shared" si="2"/>
        <v>G</v>
      </c>
      <c r="F79" s="7" t="str">
        <f t="shared" si="3"/>
        <v>C</v>
      </c>
      <c r="G79" s="7" t="str">
        <f t="shared" si="4"/>
        <v>Transformative change</v>
      </c>
      <c r="H79" s="7">
        <f t="shared" ref="H79:J79" si="88">ROUND(RAND(),2)</f>
        <v>0.61</v>
      </c>
      <c r="I79" s="7">
        <f t="shared" si="88"/>
        <v>0.64</v>
      </c>
      <c r="J79" s="7">
        <f t="shared" si="88"/>
        <v>0.97</v>
      </c>
      <c r="K79" s="7" t="str">
        <f t="shared" si="6"/>
        <v>High</v>
      </c>
      <c r="L79" s="7">
        <f t="shared" si="7"/>
        <v>2742319</v>
      </c>
      <c r="M79" s="7">
        <f t="shared" si="8"/>
        <v>1219981.367</v>
      </c>
      <c r="N79" s="7">
        <f t="shared" si="9"/>
        <v>1199716</v>
      </c>
      <c r="O79" s="7">
        <f t="shared" si="13"/>
        <v>1341387</v>
      </c>
      <c r="P79" s="7">
        <f t="shared" si="10"/>
        <v>9158.14</v>
      </c>
      <c r="Q79" s="7">
        <f t="shared" si="11"/>
        <v>0.27</v>
      </c>
    </row>
    <row r="80">
      <c r="A80" s="4" t="s">
        <v>257</v>
      </c>
      <c r="B80" s="4" t="s">
        <v>258</v>
      </c>
      <c r="C80" s="4" t="s">
        <v>259</v>
      </c>
      <c r="D80" s="5">
        <v>13456.0</v>
      </c>
      <c r="E80" s="7" t="str">
        <f t="shared" si="2"/>
        <v>A</v>
      </c>
      <c r="F80" s="7" t="str">
        <f t="shared" si="3"/>
        <v>A</v>
      </c>
      <c r="G80" s="7" t="str">
        <f t="shared" si="4"/>
        <v>Transformative change</v>
      </c>
      <c r="H80" s="7">
        <f t="shared" ref="H80:J80" si="89">ROUND(RAND(),2)</f>
        <v>0.23</v>
      </c>
      <c r="I80" s="7">
        <f t="shared" si="89"/>
        <v>0.86</v>
      </c>
      <c r="J80" s="7">
        <f t="shared" si="89"/>
        <v>0.16</v>
      </c>
      <c r="K80" s="7" t="str">
        <f t="shared" si="6"/>
        <v>Low</v>
      </c>
      <c r="L80" s="7">
        <f t="shared" si="7"/>
        <v>848712</v>
      </c>
      <c r="M80" s="7">
        <f t="shared" si="8"/>
        <v>607258.0863</v>
      </c>
      <c r="N80" s="7">
        <f t="shared" si="9"/>
        <v>188384</v>
      </c>
      <c r="O80" s="7">
        <f t="shared" si="13"/>
        <v>190042</v>
      </c>
      <c r="P80" s="7">
        <f t="shared" si="10"/>
        <v>966.07</v>
      </c>
      <c r="Q80" s="7">
        <f t="shared" si="11"/>
        <v>0.15</v>
      </c>
    </row>
    <row r="81">
      <c r="A81" s="4" t="s">
        <v>260</v>
      </c>
      <c r="B81" s="4" t="s">
        <v>261</v>
      </c>
      <c r="C81" s="4" t="s">
        <v>262</v>
      </c>
      <c r="D81" s="5">
        <v>15740.0</v>
      </c>
      <c r="E81" s="7" t="str">
        <f t="shared" si="2"/>
        <v>G</v>
      </c>
      <c r="F81" s="7" t="str">
        <f t="shared" si="3"/>
        <v>B</v>
      </c>
      <c r="G81" s="7" t="str">
        <f t="shared" si="4"/>
        <v>Transformative change</v>
      </c>
      <c r="H81" s="7">
        <f t="shared" ref="H81:J81" si="90">ROUND(RAND(),2)</f>
        <v>0.09</v>
      </c>
      <c r="I81" s="7">
        <f t="shared" si="90"/>
        <v>0.98</v>
      </c>
      <c r="J81" s="7">
        <f t="shared" si="90"/>
        <v>0.07</v>
      </c>
      <c r="K81" s="7" t="str">
        <f t="shared" si="6"/>
        <v>Low</v>
      </c>
      <c r="L81" s="7">
        <f t="shared" si="7"/>
        <v>1293641</v>
      </c>
      <c r="M81" s="7">
        <f t="shared" si="8"/>
        <v>1217791.946</v>
      </c>
      <c r="N81" s="7">
        <f t="shared" si="9"/>
        <v>62960</v>
      </c>
      <c r="O81" s="7">
        <f t="shared" si="13"/>
        <v>154655</v>
      </c>
      <c r="P81" s="7">
        <f t="shared" si="10"/>
        <v>962</v>
      </c>
      <c r="Q81" s="7">
        <f t="shared" si="11"/>
        <v>0.2</v>
      </c>
    </row>
    <row r="82">
      <c r="A82" s="4" t="s">
        <v>263</v>
      </c>
      <c r="B82" s="4" t="s">
        <v>264</v>
      </c>
      <c r="C82" s="4" t="s">
        <v>265</v>
      </c>
      <c r="D82" s="5">
        <v>8007.0</v>
      </c>
      <c r="E82" s="7" t="str">
        <f t="shared" si="2"/>
        <v>B</v>
      </c>
      <c r="F82" s="7" t="str">
        <f t="shared" si="3"/>
        <v>B</v>
      </c>
      <c r="G82" s="7" t="str">
        <f t="shared" si="4"/>
        <v>Transformative change</v>
      </c>
      <c r="H82" s="7">
        <f t="shared" ref="H82:J82" si="91">ROUND(RAND(),2)</f>
        <v>0.25</v>
      </c>
      <c r="I82" s="7">
        <f t="shared" si="91"/>
        <v>0.81</v>
      </c>
      <c r="J82" s="7">
        <f t="shared" si="91"/>
        <v>0.8</v>
      </c>
      <c r="K82" s="7" t="str">
        <f t="shared" si="6"/>
        <v>Medium</v>
      </c>
      <c r="L82" s="7">
        <f t="shared" si="7"/>
        <v>477474</v>
      </c>
      <c r="M82" s="7">
        <f t="shared" si="8"/>
        <v>210759.395</v>
      </c>
      <c r="N82" s="7">
        <f t="shared" si="9"/>
        <v>40035</v>
      </c>
      <c r="O82" s="7">
        <f t="shared" si="13"/>
        <v>141638</v>
      </c>
      <c r="P82" s="7">
        <f t="shared" si="10"/>
        <v>962</v>
      </c>
      <c r="Q82" s="7">
        <f t="shared" si="11"/>
        <v>0.15</v>
      </c>
    </row>
    <row r="83">
      <c r="A83" s="4" t="s">
        <v>266</v>
      </c>
      <c r="B83" s="4" t="s">
        <v>267</v>
      </c>
      <c r="C83" s="4" t="s">
        <v>268</v>
      </c>
      <c r="D83" s="5">
        <v>12912.0</v>
      </c>
      <c r="E83" s="7" t="str">
        <f t="shared" si="2"/>
        <v>D</v>
      </c>
      <c r="F83" s="7" t="str">
        <f t="shared" si="3"/>
        <v>B</v>
      </c>
      <c r="G83" s="7" t="str">
        <f t="shared" si="4"/>
        <v>High ambition</v>
      </c>
      <c r="H83" s="7">
        <f t="shared" ref="H83:J83" si="92">ROUND(RAND(),2)</f>
        <v>0.72</v>
      </c>
      <c r="I83" s="7">
        <f t="shared" si="92"/>
        <v>0.58</v>
      </c>
      <c r="J83" s="7">
        <f t="shared" si="92"/>
        <v>0.2</v>
      </c>
      <c r="K83" s="7" t="str">
        <f t="shared" si="6"/>
        <v>High</v>
      </c>
      <c r="L83" s="7">
        <f t="shared" si="7"/>
        <v>1442561</v>
      </c>
      <c r="M83" s="7">
        <f t="shared" si="8"/>
        <v>1241202.757</v>
      </c>
      <c r="N83" s="7">
        <f t="shared" si="9"/>
        <v>180768</v>
      </c>
      <c r="O83" s="7">
        <f t="shared" si="13"/>
        <v>248905</v>
      </c>
      <c r="P83" s="7">
        <f t="shared" si="10"/>
        <v>919</v>
      </c>
      <c r="Q83" s="7">
        <f t="shared" si="11"/>
        <v>0.23</v>
      </c>
    </row>
    <row r="84">
      <c r="A84" s="4" t="s">
        <v>269</v>
      </c>
      <c r="B84" s="4" t="s">
        <v>270</v>
      </c>
      <c r="C84" s="4" t="s">
        <v>271</v>
      </c>
      <c r="D84" s="5">
        <v>5488.0</v>
      </c>
      <c r="E84" s="7" t="str">
        <f t="shared" si="2"/>
        <v>E</v>
      </c>
      <c r="F84" s="7" t="str">
        <f t="shared" si="3"/>
        <v>C</v>
      </c>
      <c r="G84" s="7" t="str">
        <f t="shared" si="4"/>
        <v>High ambition</v>
      </c>
      <c r="H84" s="7">
        <f t="shared" ref="H84:J84" si="93">ROUND(RAND(),2)</f>
        <v>0.93</v>
      </c>
      <c r="I84" s="7">
        <f t="shared" si="93"/>
        <v>0.01</v>
      </c>
      <c r="J84" s="7">
        <f t="shared" si="93"/>
        <v>0.69</v>
      </c>
      <c r="K84" s="7" t="str">
        <f t="shared" si="6"/>
        <v>High</v>
      </c>
      <c r="L84" s="7">
        <f t="shared" si="7"/>
        <v>1678265</v>
      </c>
      <c r="M84" s="7">
        <f t="shared" si="8"/>
        <v>1634392.931</v>
      </c>
      <c r="N84" s="7">
        <f t="shared" si="9"/>
        <v>38416</v>
      </c>
      <c r="O84" s="7">
        <f t="shared" si="13"/>
        <v>165454</v>
      </c>
      <c r="P84" s="7">
        <f t="shared" si="10"/>
        <v>941</v>
      </c>
      <c r="Q84" s="7">
        <f t="shared" si="11"/>
        <v>0.04</v>
      </c>
    </row>
    <row r="85">
      <c r="A85" s="4" t="s">
        <v>272</v>
      </c>
      <c r="B85" s="4" t="s">
        <v>273</v>
      </c>
      <c r="C85" s="4" t="s">
        <v>274</v>
      </c>
      <c r="D85" s="5">
        <v>46833.0</v>
      </c>
      <c r="E85" s="7" t="str">
        <f t="shared" si="2"/>
        <v>G</v>
      </c>
      <c r="F85" s="7" t="str">
        <f t="shared" si="3"/>
        <v>B</v>
      </c>
      <c r="G85" s="7" t="str">
        <f t="shared" si="4"/>
        <v>Transformative change</v>
      </c>
      <c r="H85" s="7">
        <f t="shared" ref="H85:J85" si="94">ROUND(RAND(),2)</f>
        <v>0.23</v>
      </c>
      <c r="I85" s="7">
        <f t="shared" si="94"/>
        <v>0.75</v>
      </c>
      <c r="J85" s="7">
        <f t="shared" si="94"/>
        <v>0.77</v>
      </c>
      <c r="K85" s="7" t="str">
        <f t="shared" si="6"/>
        <v>High</v>
      </c>
      <c r="L85" s="7">
        <f t="shared" si="7"/>
        <v>1869061</v>
      </c>
      <c r="M85" s="7">
        <f t="shared" si="8"/>
        <v>1333223.737</v>
      </c>
      <c r="N85" s="7">
        <f t="shared" si="9"/>
        <v>702495</v>
      </c>
      <c r="O85" s="7">
        <f t="shared" si="13"/>
        <v>752194</v>
      </c>
      <c r="P85" s="7">
        <f t="shared" si="10"/>
        <v>8892.34</v>
      </c>
      <c r="Q85" s="7">
        <f t="shared" si="11"/>
        <v>0.05</v>
      </c>
    </row>
    <row r="86">
      <c r="A86" s="4" t="s">
        <v>275</v>
      </c>
      <c r="B86" s="4" t="s">
        <v>276</v>
      </c>
      <c r="C86" s="4" t="s">
        <v>95</v>
      </c>
      <c r="D86" s="5">
        <v>18864.0</v>
      </c>
      <c r="E86" s="7" t="str">
        <f t="shared" si="2"/>
        <v>G</v>
      </c>
      <c r="F86" s="7" t="str">
        <f t="shared" si="3"/>
        <v>A</v>
      </c>
      <c r="G86" s="7" t="str">
        <f t="shared" si="4"/>
        <v>Transformative change</v>
      </c>
      <c r="H86" s="7">
        <f t="shared" ref="H86:J86" si="95">ROUND(RAND(),2)</f>
        <v>0.37</v>
      </c>
      <c r="I86" s="7">
        <f t="shared" si="95"/>
        <v>0.39</v>
      </c>
      <c r="J86" s="7">
        <f t="shared" si="95"/>
        <v>0.17</v>
      </c>
      <c r="K86" s="7" t="str">
        <f t="shared" si="6"/>
        <v>Low</v>
      </c>
      <c r="L86" s="7">
        <f t="shared" si="7"/>
        <v>2123922</v>
      </c>
      <c r="M86" s="7">
        <f t="shared" si="8"/>
        <v>1752515.865</v>
      </c>
      <c r="N86" s="7">
        <f t="shared" si="9"/>
        <v>245232</v>
      </c>
      <c r="O86" s="7">
        <f t="shared" si="13"/>
        <v>271239</v>
      </c>
      <c r="P86" s="7">
        <f t="shared" si="10"/>
        <v>908.27</v>
      </c>
      <c r="Q86" s="7">
        <f t="shared" si="11"/>
        <v>0.04</v>
      </c>
    </row>
    <row r="87">
      <c r="A87" s="4" t="s">
        <v>277</v>
      </c>
      <c r="B87" s="4" t="s">
        <v>278</v>
      </c>
      <c r="C87" s="4" t="s">
        <v>279</v>
      </c>
      <c r="D87" s="5">
        <v>70757.0</v>
      </c>
      <c r="E87" s="7" t="str">
        <f t="shared" si="2"/>
        <v>B</v>
      </c>
      <c r="F87" s="7" t="str">
        <f t="shared" si="3"/>
        <v>B</v>
      </c>
      <c r="G87" s="7" t="str">
        <f t="shared" si="4"/>
        <v>High ambition</v>
      </c>
      <c r="H87" s="7">
        <f t="shared" ref="H87:J87" si="96">ROUND(RAND(),2)</f>
        <v>0.73</v>
      </c>
      <c r="I87" s="7">
        <f t="shared" si="96"/>
        <v>0.84</v>
      </c>
      <c r="J87" s="7">
        <f t="shared" si="96"/>
        <v>0.05</v>
      </c>
      <c r="K87" s="7" t="str">
        <f t="shared" si="6"/>
        <v>High</v>
      </c>
      <c r="L87" s="7">
        <f t="shared" si="7"/>
        <v>3593166</v>
      </c>
      <c r="M87" s="7">
        <f t="shared" si="8"/>
        <v>546248.7983</v>
      </c>
      <c r="N87" s="7">
        <f t="shared" si="9"/>
        <v>849084</v>
      </c>
      <c r="O87" s="7">
        <f t="shared" si="13"/>
        <v>878365</v>
      </c>
      <c r="P87" s="7">
        <f t="shared" si="10"/>
        <v>2454</v>
      </c>
      <c r="Q87" s="7">
        <f t="shared" si="11"/>
        <v>0.07</v>
      </c>
    </row>
    <row r="88">
      <c r="A88" s="4" t="s">
        <v>280</v>
      </c>
      <c r="B88" s="4" t="s">
        <v>281</v>
      </c>
      <c r="C88" s="4" t="s">
        <v>282</v>
      </c>
      <c r="D88" s="5">
        <v>5440.0</v>
      </c>
      <c r="E88" s="7" t="str">
        <f t="shared" si="2"/>
        <v>B</v>
      </c>
      <c r="F88" s="7" t="str">
        <f t="shared" si="3"/>
        <v>A</v>
      </c>
      <c r="G88" s="7" t="str">
        <f t="shared" si="4"/>
        <v>High ambition</v>
      </c>
      <c r="H88" s="7">
        <f t="shared" ref="H88:J88" si="97">ROUND(RAND(),2)</f>
        <v>0.58</v>
      </c>
      <c r="I88" s="7">
        <f t="shared" si="97"/>
        <v>0.48</v>
      </c>
      <c r="J88" s="7">
        <f t="shared" si="97"/>
        <v>0.12</v>
      </c>
      <c r="K88" s="7" t="str">
        <f t="shared" si="6"/>
        <v>Low</v>
      </c>
      <c r="L88" s="7">
        <f t="shared" si="7"/>
        <v>1123529</v>
      </c>
      <c r="M88" s="7">
        <f t="shared" si="8"/>
        <v>323302.3561</v>
      </c>
      <c r="N88" s="7">
        <f t="shared" si="9"/>
        <v>70720</v>
      </c>
      <c r="O88" s="7">
        <f t="shared" si="13"/>
        <v>137532</v>
      </c>
      <c r="P88" s="7">
        <f t="shared" si="10"/>
        <v>1087</v>
      </c>
      <c r="Q88" s="7">
        <f t="shared" si="11"/>
        <v>0.16</v>
      </c>
    </row>
    <row r="89">
      <c r="A89" s="4" t="s">
        <v>283</v>
      </c>
      <c r="B89" s="4" t="s">
        <v>284</v>
      </c>
      <c r="C89" s="4" t="s">
        <v>285</v>
      </c>
      <c r="D89" s="5">
        <v>5582.0</v>
      </c>
      <c r="E89" s="7" t="str">
        <f t="shared" si="2"/>
        <v>F</v>
      </c>
      <c r="F89" s="7" t="str">
        <f t="shared" si="3"/>
        <v>A</v>
      </c>
      <c r="G89" s="7" t="str">
        <f t="shared" si="4"/>
        <v>Transformative change</v>
      </c>
      <c r="H89" s="7">
        <f t="shared" ref="H89:J89" si="98">ROUND(RAND(),2)</f>
        <v>0.49</v>
      </c>
      <c r="I89" s="7">
        <f t="shared" si="98"/>
        <v>0.9</v>
      </c>
      <c r="J89" s="7">
        <f t="shared" si="98"/>
        <v>0.99</v>
      </c>
      <c r="K89" s="7" t="str">
        <f t="shared" si="6"/>
        <v>Low</v>
      </c>
      <c r="L89" s="7">
        <f t="shared" si="7"/>
        <v>2258436</v>
      </c>
      <c r="M89" s="7">
        <f t="shared" si="8"/>
        <v>2221314.283</v>
      </c>
      <c r="N89" s="7">
        <f t="shared" si="9"/>
        <v>22328</v>
      </c>
      <c r="O89" s="7">
        <f t="shared" si="13"/>
        <v>68583</v>
      </c>
      <c r="P89" s="7">
        <f t="shared" si="10"/>
        <v>844</v>
      </c>
      <c r="Q89" s="7">
        <f t="shared" si="11"/>
        <v>0.11</v>
      </c>
    </row>
    <row r="90">
      <c r="A90" s="4" t="s">
        <v>286</v>
      </c>
      <c r="B90" s="4" t="s">
        <v>287</v>
      </c>
      <c r="C90" s="4" t="s">
        <v>95</v>
      </c>
      <c r="D90" s="5">
        <v>97745.0</v>
      </c>
      <c r="E90" s="7" t="str">
        <f t="shared" si="2"/>
        <v>A</v>
      </c>
      <c r="F90" s="7" t="str">
        <f t="shared" si="3"/>
        <v>B</v>
      </c>
      <c r="G90" s="7" t="str">
        <f t="shared" si="4"/>
        <v>Transformative change</v>
      </c>
      <c r="H90" s="7">
        <f t="shared" ref="H90:J90" si="99">ROUND(RAND(),2)</f>
        <v>0.13</v>
      </c>
      <c r="I90" s="7">
        <f t="shared" si="99"/>
        <v>0.86</v>
      </c>
      <c r="J90" s="7">
        <f t="shared" si="99"/>
        <v>0.49</v>
      </c>
      <c r="K90" s="7" t="str">
        <f t="shared" si="6"/>
        <v>Medium</v>
      </c>
      <c r="L90" s="7">
        <f t="shared" si="7"/>
        <v>2248848</v>
      </c>
      <c r="M90" s="7">
        <f t="shared" si="8"/>
        <v>84259.76255</v>
      </c>
      <c r="N90" s="7">
        <f t="shared" si="9"/>
        <v>1466175</v>
      </c>
      <c r="O90" s="7">
        <f t="shared" si="13"/>
        <v>1530990</v>
      </c>
      <c r="P90" s="7">
        <f t="shared" si="10"/>
        <v>7480.48</v>
      </c>
      <c r="Q90" s="7">
        <f t="shared" si="11"/>
        <v>0.25</v>
      </c>
    </row>
    <row r="91">
      <c r="A91" s="4" t="s">
        <v>288</v>
      </c>
      <c r="B91" s="4" t="s">
        <v>289</v>
      </c>
      <c r="C91" s="4" t="s">
        <v>290</v>
      </c>
      <c r="D91" s="5">
        <v>317025.0</v>
      </c>
      <c r="E91" s="7" t="str">
        <f t="shared" si="2"/>
        <v>F</v>
      </c>
      <c r="F91" s="7" t="str">
        <f t="shared" si="3"/>
        <v>C</v>
      </c>
      <c r="G91" s="7" t="str">
        <f t="shared" si="4"/>
        <v>High ambition</v>
      </c>
      <c r="H91" s="7">
        <f t="shared" ref="H91:J91" si="100">ROUND(RAND(),2)</f>
        <v>0.91</v>
      </c>
      <c r="I91" s="7">
        <f t="shared" si="100"/>
        <v>0.69</v>
      </c>
      <c r="J91" s="7">
        <f t="shared" si="100"/>
        <v>0.97</v>
      </c>
      <c r="K91" s="7" t="str">
        <f t="shared" si="6"/>
        <v>Medium</v>
      </c>
      <c r="L91" s="7">
        <f t="shared" si="7"/>
        <v>2156943</v>
      </c>
      <c r="M91" s="7">
        <f t="shared" si="8"/>
        <v>1624163.172</v>
      </c>
      <c r="N91" s="7">
        <f t="shared" si="9"/>
        <v>4438350</v>
      </c>
      <c r="O91" s="7">
        <f t="shared" si="13"/>
        <v>4636835</v>
      </c>
      <c r="P91" s="7">
        <f t="shared" si="10"/>
        <v>103217.44</v>
      </c>
      <c r="Q91" s="7">
        <f t="shared" si="11"/>
        <v>0.29</v>
      </c>
    </row>
    <row r="92">
      <c r="A92" s="4" t="s">
        <v>291</v>
      </c>
      <c r="B92" s="4" t="s">
        <v>292</v>
      </c>
      <c r="C92" s="4" t="s">
        <v>293</v>
      </c>
      <c r="D92" s="5">
        <v>12863.0</v>
      </c>
      <c r="E92" s="7" t="str">
        <f t="shared" si="2"/>
        <v>C</v>
      </c>
      <c r="F92" s="7" t="str">
        <f t="shared" si="3"/>
        <v>B</v>
      </c>
      <c r="G92" s="7" t="str">
        <f t="shared" si="4"/>
        <v>Transformative change</v>
      </c>
      <c r="H92" s="7">
        <f t="shared" ref="H92:J92" si="101">ROUND(RAND(),2)</f>
        <v>0.6</v>
      </c>
      <c r="I92" s="7">
        <f t="shared" si="101"/>
        <v>0.02</v>
      </c>
      <c r="J92" s="7">
        <f t="shared" si="101"/>
        <v>0.2</v>
      </c>
      <c r="K92" s="7" t="str">
        <f t="shared" si="6"/>
        <v>Low</v>
      </c>
      <c r="L92" s="7">
        <f t="shared" si="7"/>
        <v>1201958</v>
      </c>
      <c r="M92" s="7">
        <f t="shared" si="8"/>
        <v>434925.8319</v>
      </c>
      <c r="N92" s="7">
        <f t="shared" si="9"/>
        <v>141493</v>
      </c>
      <c r="O92" s="7">
        <f t="shared" si="13"/>
        <v>220866</v>
      </c>
      <c r="P92" s="7">
        <f t="shared" si="10"/>
        <v>895.53</v>
      </c>
      <c r="Q92" s="7">
        <f t="shared" si="11"/>
        <v>0.19</v>
      </c>
    </row>
    <row r="93">
      <c r="A93" s="4" t="s">
        <v>294</v>
      </c>
      <c r="B93" s="4" t="s">
        <v>295</v>
      </c>
      <c r="C93" s="4" t="s">
        <v>296</v>
      </c>
      <c r="D93" s="5">
        <v>16875.0</v>
      </c>
      <c r="E93" s="7" t="str">
        <f t="shared" si="2"/>
        <v>E</v>
      </c>
      <c r="F93" s="7" t="str">
        <f t="shared" si="3"/>
        <v>A</v>
      </c>
      <c r="G93" s="7" t="str">
        <f t="shared" si="4"/>
        <v>Transformative change</v>
      </c>
      <c r="H93" s="7">
        <f t="shared" ref="H93:J93" si="102">ROUND(RAND(),2)</f>
        <v>0.26</v>
      </c>
      <c r="I93" s="7">
        <f t="shared" si="102"/>
        <v>0.62</v>
      </c>
      <c r="J93" s="7">
        <f t="shared" si="102"/>
        <v>0.03</v>
      </c>
      <c r="K93" s="7" t="str">
        <f t="shared" si="6"/>
        <v>High</v>
      </c>
      <c r="L93" s="7">
        <f t="shared" si="7"/>
        <v>1352342</v>
      </c>
      <c r="M93" s="7">
        <f t="shared" si="8"/>
        <v>1268705.547</v>
      </c>
      <c r="N93" s="7">
        <f t="shared" si="9"/>
        <v>202500</v>
      </c>
      <c r="O93" s="7">
        <f t="shared" si="13"/>
        <v>231335</v>
      </c>
      <c r="P93" s="7">
        <f t="shared" si="10"/>
        <v>1089</v>
      </c>
      <c r="Q93" s="7">
        <f t="shared" si="11"/>
        <v>0.3</v>
      </c>
    </row>
    <row r="94">
      <c r="A94" s="4" t="s">
        <v>297</v>
      </c>
      <c r="B94" s="4" t="s">
        <v>298</v>
      </c>
      <c r="C94" s="4" t="s">
        <v>299</v>
      </c>
      <c r="D94" s="5">
        <v>10288.0</v>
      </c>
      <c r="E94" s="7" t="str">
        <f t="shared" si="2"/>
        <v>E</v>
      </c>
      <c r="F94" s="7" t="str">
        <f t="shared" si="3"/>
        <v>C</v>
      </c>
      <c r="G94" s="7" t="str">
        <f t="shared" si="4"/>
        <v>Transformative change</v>
      </c>
      <c r="H94" s="7">
        <f t="shared" ref="H94:J94" si="103">ROUND(RAND(),2)</f>
        <v>0.64</v>
      </c>
      <c r="I94" s="7">
        <f t="shared" si="103"/>
        <v>0.89</v>
      </c>
      <c r="J94" s="7">
        <f t="shared" si="103"/>
        <v>0.23</v>
      </c>
      <c r="K94" s="7" t="str">
        <f t="shared" si="6"/>
        <v>Medium</v>
      </c>
      <c r="L94" s="7">
        <f t="shared" si="7"/>
        <v>3284003</v>
      </c>
      <c r="M94" s="7">
        <f t="shared" si="8"/>
        <v>1095530.048</v>
      </c>
      <c r="N94" s="7">
        <f t="shared" si="9"/>
        <v>41152</v>
      </c>
      <c r="O94" s="7">
        <f t="shared" si="13"/>
        <v>238742</v>
      </c>
      <c r="P94" s="7">
        <f t="shared" si="10"/>
        <v>1001</v>
      </c>
      <c r="Q94" s="7">
        <f t="shared" si="11"/>
        <v>0.29</v>
      </c>
    </row>
    <row r="95">
      <c r="A95" s="4" t="s">
        <v>300</v>
      </c>
      <c r="B95" s="4" t="s">
        <v>301</v>
      </c>
      <c r="C95" s="4" t="s">
        <v>302</v>
      </c>
      <c r="D95" s="5">
        <v>16947.0</v>
      </c>
      <c r="E95" s="7" t="str">
        <f t="shared" si="2"/>
        <v>C</v>
      </c>
      <c r="F95" s="7" t="str">
        <f t="shared" si="3"/>
        <v>B</v>
      </c>
      <c r="G95" s="7" t="str">
        <f t="shared" si="4"/>
        <v>Transformative change</v>
      </c>
      <c r="H95" s="7">
        <f t="shared" ref="H95:J95" si="104">ROUND(RAND(),2)</f>
        <v>0.67</v>
      </c>
      <c r="I95" s="7">
        <f t="shared" si="104"/>
        <v>0.2</v>
      </c>
      <c r="J95" s="7">
        <f t="shared" si="104"/>
        <v>0.49</v>
      </c>
      <c r="K95" s="7" t="str">
        <f t="shared" si="6"/>
        <v>Low</v>
      </c>
      <c r="L95" s="7">
        <f t="shared" si="7"/>
        <v>2959545</v>
      </c>
      <c r="M95" s="7">
        <f t="shared" si="8"/>
        <v>2957606.095</v>
      </c>
      <c r="N95" s="7">
        <f t="shared" si="9"/>
        <v>101682</v>
      </c>
      <c r="O95" s="7">
        <f t="shared" si="13"/>
        <v>196140</v>
      </c>
      <c r="P95" s="7">
        <f t="shared" si="10"/>
        <v>883</v>
      </c>
      <c r="Q95" s="7">
        <f t="shared" si="11"/>
        <v>0.13</v>
      </c>
    </row>
    <row r="96">
      <c r="A96" s="4" t="s">
        <v>303</v>
      </c>
      <c r="B96" s="4" t="s">
        <v>304</v>
      </c>
      <c r="C96" s="4" t="s">
        <v>305</v>
      </c>
      <c r="D96" s="5">
        <v>8168.0</v>
      </c>
      <c r="E96" s="7" t="str">
        <f t="shared" si="2"/>
        <v>E</v>
      </c>
      <c r="F96" s="7" t="str">
        <f t="shared" si="3"/>
        <v>A</v>
      </c>
      <c r="G96" s="7" t="str">
        <f t="shared" si="4"/>
        <v>High ambition</v>
      </c>
      <c r="H96" s="7">
        <f t="shared" ref="H96:J96" si="105">ROUND(RAND(),2)</f>
        <v>0.35</v>
      </c>
      <c r="I96" s="7">
        <f t="shared" si="105"/>
        <v>0.48</v>
      </c>
      <c r="J96" s="7">
        <f t="shared" si="105"/>
        <v>0.47</v>
      </c>
      <c r="K96" s="7" t="str">
        <f t="shared" si="6"/>
        <v>Low</v>
      </c>
      <c r="L96" s="7">
        <f t="shared" si="7"/>
        <v>2912398</v>
      </c>
      <c r="M96" s="7">
        <f t="shared" si="8"/>
        <v>1076006.539</v>
      </c>
      <c r="N96" s="7">
        <f t="shared" si="9"/>
        <v>98016</v>
      </c>
      <c r="O96" s="7">
        <f t="shared" si="13"/>
        <v>268797</v>
      </c>
      <c r="P96" s="7">
        <f t="shared" si="10"/>
        <v>838</v>
      </c>
      <c r="Q96" s="7">
        <f t="shared" si="11"/>
        <v>0.21</v>
      </c>
    </row>
    <row r="97">
      <c r="A97" s="4" t="s">
        <v>306</v>
      </c>
      <c r="B97" s="4" t="s">
        <v>307</v>
      </c>
      <c r="C97" s="4" t="s">
        <v>308</v>
      </c>
      <c r="D97" s="5">
        <v>5276.0</v>
      </c>
      <c r="E97" s="7" t="str">
        <f t="shared" si="2"/>
        <v>A</v>
      </c>
      <c r="F97" s="7" t="str">
        <f t="shared" si="3"/>
        <v>B</v>
      </c>
      <c r="G97" s="7" t="str">
        <f t="shared" si="4"/>
        <v>Transformative change</v>
      </c>
      <c r="H97" s="7">
        <f t="shared" ref="H97:J97" si="106">ROUND(RAND(),2)</f>
        <v>0.83</v>
      </c>
      <c r="I97" s="7">
        <f t="shared" si="106"/>
        <v>0.64</v>
      </c>
      <c r="J97" s="7">
        <f t="shared" si="106"/>
        <v>0.53</v>
      </c>
      <c r="K97" s="7" t="str">
        <f t="shared" si="6"/>
        <v>High</v>
      </c>
      <c r="L97" s="7">
        <f t="shared" si="7"/>
        <v>862526</v>
      </c>
      <c r="M97" s="7">
        <f t="shared" si="8"/>
        <v>708277.3318</v>
      </c>
      <c r="N97" s="7">
        <f t="shared" si="9"/>
        <v>58036</v>
      </c>
      <c r="O97" s="7">
        <f t="shared" si="13"/>
        <v>176816</v>
      </c>
      <c r="P97" s="7">
        <f t="shared" si="10"/>
        <v>1003</v>
      </c>
      <c r="Q97" s="7">
        <f t="shared" si="11"/>
        <v>0.12</v>
      </c>
    </row>
    <row r="98">
      <c r="A98" s="4" t="s">
        <v>309</v>
      </c>
      <c r="B98" s="4" t="s">
        <v>310</v>
      </c>
      <c r="C98" s="4" t="s">
        <v>311</v>
      </c>
      <c r="D98" s="5">
        <v>17509.0</v>
      </c>
      <c r="E98" s="7" t="str">
        <f t="shared" si="2"/>
        <v>G</v>
      </c>
      <c r="F98" s="7" t="str">
        <f t="shared" si="3"/>
        <v>B</v>
      </c>
      <c r="G98" s="7" t="str">
        <f t="shared" si="4"/>
        <v>Transformative change</v>
      </c>
      <c r="H98" s="7">
        <f t="shared" ref="H98:J98" si="107">ROUND(RAND(),2)</f>
        <v>0.15</v>
      </c>
      <c r="I98" s="7">
        <f t="shared" si="107"/>
        <v>0.44</v>
      </c>
      <c r="J98" s="7">
        <f t="shared" si="107"/>
        <v>0.48</v>
      </c>
      <c r="K98" s="7" t="str">
        <f t="shared" si="6"/>
        <v>Low</v>
      </c>
      <c r="L98" s="7">
        <f t="shared" si="7"/>
        <v>2502582</v>
      </c>
      <c r="M98" s="7">
        <f t="shared" si="8"/>
        <v>829913.1494</v>
      </c>
      <c r="N98" s="7">
        <f t="shared" si="9"/>
        <v>175090</v>
      </c>
      <c r="O98" s="7">
        <f t="shared" si="13"/>
        <v>226513</v>
      </c>
      <c r="P98" s="7">
        <f t="shared" si="10"/>
        <v>814</v>
      </c>
      <c r="Q98" s="7">
        <f t="shared" si="11"/>
        <v>0.14</v>
      </c>
    </row>
    <row r="99">
      <c r="A99" s="4" t="s">
        <v>312</v>
      </c>
      <c r="B99" s="4" t="s">
        <v>313</v>
      </c>
      <c r="C99" s="4" t="s">
        <v>314</v>
      </c>
      <c r="D99" s="5">
        <v>10243.0</v>
      </c>
      <c r="E99" s="7" t="str">
        <f t="shared" si="2"/>
        <v>B</v>
      </c>
      <c r="F99" s="7" t="str">
        <f t="shared" si="3"/>
        <v>A</v>
      </c>
      <c r="G99" s="7" t="str">
        <f t="shared" si="4"/>
        <v>Transformative change</v>
      </c>
      <c r="H99" s="7">
        <f t="shared" ref="H99:J99" si="108">ROUND(RAND(),2)</f>
        <v>0.5</v>
      </c>
      <c r="I99" s="7">
        <f t="shared" si="108"/>
        <v>0.59</v>
      </c>
      <c r="J99" s="7">
        <f t="shared" si="108"/>
        <v>0.21</v>
      </c>
      <c r="K99" s="7" t="str">
        <f t="shared" si="6"/>
        <v>Low</v>
      </c>
      <c r="L99" s="7">
        <f t="shared" si="7"/>
        <v>536202</v>
      </c>
      <c r="M99" s="7">
        <f t="shared" si="8"/>
        <v>252781.7229</v>
      </c>
      <c r="N99" s="7">
        <f t="shared" si="9"/>
        <v>122916</v>
      </c>
      <c r="O99" s="7">
        <f t="shared" si="13"/>
        <v>256870</v>
      </c>
      <c r="P99" s="7">
        <f t="shared" si="10"/>
        <v>942</v>
      </c>
      <c r="Q99" s="7">
        <f t="shared" si="11"/>
        <v>0.13</v>
      </c>
    </row>
    <row r="100">
      <c r="A100" s="4" t="s">
        <v>315</v>
      </c>
      <c r="B100" s="4" t="s">
        <v>316</v>
      </c>
      <c r="C100" s="4" t="s">
        <v>95</v>
      </c>
      <c r="D100" s="5">
        <v>243999.0</v>
      </c>
      <c r="E100" s="7" t="str">
        <f t="shared" si="2"/>
        <v>G</v>
      </c>
      <c r="F100" s="7" t="str">
        <f t="shared" si="3"/>
        <v>A</v>
      </c>
      <c r="G100" s="7" t="str">
        <f t="shared" si="4"/>
        <v>Transformative change</v>
      </c>
      <c r="H100" s="7">
        <f t="shared" ref="H100:J100" si="109">ROUND(RAND(),2)</f>
        <v>0.04</v>
      </c>
      <c r="I100" s="7">
        <f t="shared" si="109"/>
        <v>0.61</v>
      </c>
      <c r="J100" s="7">
        <f t="shared" si="109"/>
        <v>0.39</v>
      </c>
      <c r="K100" s="7" t="str">
        <f t="shared" si="6"/>
        <v>Medium</v>
      </c>
      <c r="L100" s="7">
        <f t="shared" si="7"/>
        <v>3200358</v>
      </c>
      <c r="M100" s="7">
        <f t="shared" si="8"/>
        <v>2041858.697</v>
      </c>
      <c r="N100" s="7">
        <f t="shared" si="9"/>
        <v>1707993</v>
      </c>
      <c r="O100" s="7">
        <f t="shared" si="13"/>
        <v>1902868</v>
      </c>
      <c r="P100" s="7">
        <f t="shared" si="10"/>
        <v>4616.2</v>
      </c>
      <c r="Q100" s="7">
        <f t="shared" si="11"/>
        <v>0.18</v>
      </c>
    </row>
    <row r="101">
      <c r="A101" s="4" t="s">
        <v>317</v>
      </c>
      <c r="B101" s="4" t="s">
        <v>318</v>
      </c>
      <c r="C101" s="4" t="s">
        <v>319</v>
      </c>
      <c r="D101" s="5">
        <v>17116.0</v>
      </c>
      <c r="E101" s="7" t="str">
        <f t="shared" si="2"/>
        <v>C</v>
      </c>
      <c r="F101" s="7" t="str">
        <f t="shared" si="3"/>
        <v>C</v>
      </c>
      <c r="G101" s="7" t="str">
        <f t="shared" si="4"/>
        <v>High ambition</v>
      </c>
      <c r="H101" s="7">
        <f t="shared" ref="H101:J101" si="110">ROUND(RAND(),2)</f>
        <v>0.64</v>
      </c>
      <c r="I101" s="7">
        <f t="shared" si="110"/>
        <v>0.33</v>
      </c>
      <c r="J101" s="7">
        <f t="shared" si="110"/>
        <v>0.26</v>
      </c>
      <c r="K101" s="7" t="str">
        <f t="shared" si="6"/>
        <v>High</v>
      </c>
      <c r="L101" s="7">
        <f t="shared" si="7"/>
        <v>3863831</v>
      </c>
      <c r="M101" s="7">
        <f t="shared" si="8"/>
        <v>2640785.382</v>
      </c>
      <c r="N101" s="7">
        <f t="shared" si="9"/>
        <v>171160</v>
      </c>
      <c r="O101" s="7">
        <f t="shared" si="13"/>
        <v>234678</v>
      </c>
      <c r="P101" s="7">
        <f t="shared" si="10"/>
        <v>876</v>
      </c>
      <c r="Q101" s="7">
        <f t="shared" si="11"/>
        <v>0.05</v>
      </c>
    </row>
    <row r="102">
      <c r="A102" s="4" t="s">
        <v>320</v>
      </c>
      <c r="B102" s="4" t="s">
        <v>321</v>
      </c>
      <c r="C102" s="4" t="s">
        <v>322</v>
      </c>
      <c r="D102" s="5">
        <v>479335.0</v>
      </c>
      <c r="E102" s="7" t="str">
        <f t="shared" si="2"/>
        <v>A</v>
      </c>
      <c r="F102" s="7" t="str">
        <f t="shared" si="3"/>
        <v>A</v>
      </c>
      <c r="G102" s="7" t="str">
        <f t="shared" si="4"/>
        <v>Transformative change</v>
      </c>
      <c r="H102" s="7">
        <f t="shared" ref="H102:J102" si="111">ROUND(RAND(),2)</f>
        <v>0.49</v>
      </c>
      <c r="I102" s="7">
        <f t="shared" si="111"/>
        <v>0.23</v>
      </c>
      <c r="J102" s="7">
        <f t="shared" si="111"/>
        <v>0.76</v>
      </c>
      <c r="K102" s="7" t="str">
        <f t="shared" si="6"/>
        <v>Medium</v>
      </c>
      <c r="L102" s="7">
        <f t="shared" si="7"/>
        <v>3982044</v>
      </c>
      <c r="M102" s="7">
        <f t="shared" si="8"/>
        <v>2991065.253</v>
      </c>
      <c r="N102" s="7">
        <f t="shared" si="9"/>
        <v>7190025</v>
      </c>
      <c r="O102" s="7">
        <f t="shared" si="13"/>
        <v>7196365</v>
      </c>
      <c r="P102" s="7">
        <f t="shared" si="10"/>
        <v>276539.42</v>
      </c>
      <c r="Q102" s="7">
        <f t="shared" si="11"/>
        <v>0.24</v>
      </c>
    </row>
    <row r="103">
      <c r="A103" s="4" t="s">
        <v>323</v>
      </c>
      <c r="B103" s="4" t="s">
        <v>324</v>
      </c>
      <c r="C103" s="4" t="s">
        <v>325</v>
      </c>
      <c r="D103" s="5">
        <v>252933.0</v>
      </c>
      <c r="E103" s="7" t="str">
        <f t="shared" si="2"/>
        <v>G</v>
      </c>
      <c r="F103" s="7" t="str">
        <f t="shared" si="3"/>
        <v>A</v>
      </c>
      <c r="G103" s="7" t="str">
        <f t="shared" si="4"/>
        <v>Transformative change</v>
      </c>
      <c r="H103" s="7">
        <f t="shared" ref="H103:J103" si="112">ROUND(RAND(),2)</f>
        <v>0.15</v>
      </c>
      <c r="I103" s="7">
        <f t="shared" si="112"/>
        <v>0.03</v>
      </c>
      <c r="J103" s="7">
        <f t="shared" si="112"/>
        <v>1</v>
      </c>
      <c r="K103" s="7" t="str">
        <f t="shared" si="6"/>
        <v>Low</v>
      </c>
      <c r="L103" s="7">
        <f t="shared" si="7"/>
        <v>1948270</v>
      </c>
      <c r="M103" s="7">
        <f t="shared" si="8"/>
        <v>84462.78321</v>
      </c>
      <c r="N103" s="7">
        <f t="shared" si="9"/>
        <v>1770531</v>
      </c>
      <c r="O103" s="7">
        <f t="shared" si="13"/>
        <v>1836662</v>
      </c>
      <c r="P103" s="7">
        <f t="shared" si="10"/>
        <v>6836.03</v>
      </c>
      <c r="Q103" s="7">
        <f t="shared" si="11"/>
        <v>0.14</v>
      </c>
    </row>
    <row r="104">
      <c r="A104" s="4" t="s">
        <v>326</v>
      </c>
      <c r="B104" s="4" t="s">
        <v>327</v>
      </c>
      <c r="C104" s="4" t="s">
        <v>95</v>
      </c>
      <c r="D104" s="5">
        <v>8106.0</v>
      </c>
      <c r="E104" s="7" t="str">
        <f t="shared" si="2"/>
        <v>G</v>
      </c>
      <c r="F104" s="7" t="str">
        <f t="shared" si="3"/>
        <v>C</v>
      </c>
      <c r="G104" s="7" t="str">
        <f t="shared" si="4"/>
        <v>Transformative change</v>
      </c>
      <c r="H104" s="7">
        <f t="shared" ref="H104:J104" si="113">ROUND(RAND(),2)</f>
        <v>0.17</v>
      </c>
      <c r="I104" s="7">
        <f t="shared" si="113"/>
        <v>0.23</v>
      </c>
      <c r="J104" s="7">
        <f t="shared" si="113"/>
        <v>0.77</v>
      </c>
      <c r="K104" s="7" t="str">
        <f t="shared" si="6"/>
        <v>Medium</v>
      </c>
      <c r="L104" s="7">
        <f t="shared" si="7"/>
        <v>2532179</v>
      </c>
      <c r="M104" s="7">
        <f t="shared" si="8"/>
        <v>2310360.891</v>
      </c>
      <c r="N104" s="7">
        <f t="shared" si="9"/>
        <v>32424</v>
      </c>
      <c r="O104" s="7">
        <f t="shared" si="13"/>
        <v>59827</v>
      </c>
      <c r="P104" s="7">
        <f t="shared" si="10"/>
        <v>926</v>
      </c>
      <c r="Q104" s="7">
        <f t="shared" si="11"/>
        <v>0.27</v>
      </c>
    </row>
    <row r="105">
      <c r="A105" s="4" t="s">
        <v>328</v>
      </c>
      <c r="B105" s="4" t="s">
        <v>329</v>
      </c>
      <c r="C105" s="4" t="s">
        <v>330</v>
      </c>
      <c r="D105" s="5">
        <v>19323.0</v>
      </c>
      <c r="E105" s="7" t="str">
        <f t="shared" si="2"/>
        <v>C</v>
      </c>
      <c r="F105" s="7" t="str">
        <f t="shared" si="3"/>
        <v>A</v>
      </c>
      <c r="G105" s="7" t="str">
        <f t="shared" si="4"/>
        <v>High ambition</v>
      </c>
      <c r="H105" s="7">
        <f t="shared" ref="H105:J105" si="114">ROUND(RAND(),2)</f>
        <v>0.73</v>
      </c>
      <c r="I105" s="7">
        <f t="shared" si="114"/>
        <v>0.3</v>
      </c>
      <c r="J105" s="7">
        <f t="shared" si="114"/>
        <v>0.64</v>
      </c>
      <c r="K105" s="7" t="str">
        <f t="shared" si="6"/>
        <v>Low</v>
      </c>
      <c r="L105" s="7">
        <f t="shared" si="7"/>
        <v>1743512</v>
      </c>
      <c r="M105" s="7">
        <f t="shared" si="8"/>
        <v>928615.2515</v>
      </c>
      <c r="N105" s="7">
        <f t="shared" si="9"/>
        <v>289845</v>
      </c>
      <c r="O105" s="7">
        <f t="shared" si="13"/>
        <v>295404</v>
      </c>
      <c r="P105" s="7">
        <f t="shared" si="10"/>
        <v>923.07</v>
      </c>
      <c r="Q105" s="7">
        <f t="shared" si="11"/>
        <v>0.15</v>
      </c>
    </row>
    <row r="106">
      <c r="A106" s="4" t="s">
        <v>331</v>
      </c>
      <c r="B106" s="4" t="s">
        <v>332</v>
      </c>
      <c r="C106" s="4" t="s">
        <v>333</v>
      </c>
      <c r="D106" s="5">
        <v>18234.0</v>
      </c>
      <c r="E106" s="7" t="str">
        <f t="shared" si="2"/>
        <v>D</v>
      </c>
      <c r="F106" s="7" t="str">
        <f t="shared" si="3"/>
        <v>A</v>
      </c>
      <c r="G106" s="7" t="str">
        <f t="shared" si="4"/>
        <v>Transformative change</v>
      </c>
      <c r="H106" s="7">
        <f t="shared" ref="H106:J106" si="115">ROUND(RAND(),2)</f>
        <v>0.26</v>
      </c>
      <c r="I106" s="7">
        <f t="shared" si="115"/>
        <v>0.17</v>
      </c>
      <c r="J106" s="7">
        <f t="shared" si="115"/>
        <v>0.57</v>
      </c>
      <c r="K106" s="7" t="str">
        <f t="shared" si="6"/>
        <v>Medium</v>
      </c>
      <c r="L106" s="7">
        <f t="shared" si="7"/>
        <v>3022167</v>
      </c>
      <c r="M106" s="7">
        <f t="shared" si="8"/>
        <v>239732.8132</v>
      </c>
      <c r="N106" s="7">
        <f t="shared" si="9"/>
        <v>109404</v>
      </c>
      <c r="O106" s="7">
        <f t="shared" si="13"/>
        <v>184332</v>
      </c>
      <c r="P106" s="7">
        <f t="shared" si="10"/>
        <v>1064</v>
      </c>
      <c r="Q106" s="7">
        <f t="shared" si="11"/>
        <v>0.24</v>
      </c>
    </row>
    <row r="107">
      <c r="A107" s="4" t="s">
        <v>334</v>
      </c>
      <c r="B107" s="4" t="s">
        <v>335</v>
      </c>
      <c r="C107" s="4" t="s">
        <v>336</v>
      </c>
      <c r="D107" s="5">
        <v>6177.0</v>
      </c>
      <c r="E107" s="7" t="str">
        <f t="shared" si="2"/>
        <v>D</v>
      </c>
      <c r="F107" s="7" t="str">
        <f t="shared" si="3"/>
        <v>A</v>
      </c>
      <c r="G107" s="7" t="str">
        <f t="shared" si="4"/>
        <v>Transformative change</v>
      </c>
      <c r="H107" s="7">
        <f t="shared" ref="H107:J107" si="116">ROUND(RAND(),2)</f>
        <v>0.19</v>
      </c>
      <c r="I107" s="7">
        <f t="shared" si="116"/>
        <v>0.9</v>
      </c>
      <c r="J107" s="7">
        <f t="shared" si="116"/>
        <v>0.93</v>
      </c>
      <c r="K107" s="7" t="str">
        <f t="shared" si="6"/>
        <v>High</v>
      </c>
      <c r="L107" s="7">
        <f t="shared" si="7"/>
        <v>482214</v>
      </c>
      <c r="M107" s="7">
        <f t="shared" si="8"/>
        <v>404789.9237</v>
      </c>
      <c r="N107" s="7">
        <f t="shared" si="9"/>
        <v>43239</v>
      </c>
      <c r="O107" s="7">
        <f t="shared" si="13"/>
        <v>179760</v>
      </c>
      <c r="P107" s="7">
        <f t="shared" si="10"/>
        <v>928</v>
      </c>
      <c r="Q107" s="7">
        <f t="shared" si="11"/>
        <v>0.13</v>
      </c>
    </row>
    <row r="108">
      <c r="A108" s="4" t="s">
        <v>337</v>
      </c>
      <c r="B108" s="4" t="s">
        <v>338</v>
      </c>
      <c r="C108" s="4" t="s">
        <v>339</v>
      </c>
      <c r="D108" s="5">
        <v>17535.0</v>
      </c>
      <c r="E108" s="7" t="str">
        <f t="shared" si="2"/>
        <v>E</v>
      </c>
      <c r="F108" s="7" t="str">
        <f t="shared" si="3"/>
        <v>C</v>
      </c>
      <c r="G108" s="7" t="str">
        <f t="shared" si="4"/>
        <v>High ambition</v>
      </c>
      <c r="H108" s="7">
        <f t="shared" ref="H108:J108" si="117">ROUND(RAND(),2)</f>
        <v>0.31</v>
      </c>
      <c r="I108" s="7">
        <f t="shared" si="117"/>
        <v>0.97</v>
      </c>
      <c r="J108" s="7">
        <f t="shared" si="117"/>
        <v>0.71</v>
      </c>
      <c r="K108" s="7" t="str">
        <f t="shared" si="6"/>
        <v>Low</v>
      </c>
      <c r="L108" s="7">
        <f t="shared" si="7"/>
        <v>3448265</v>
      </c>
      <c r="M108" s="7">
        <f t="shared" si="8"/>
        <v>2441463.422</v>
      </c>
      <c r="N108" s="7">
        <f t="shared" si="9"/>
        <v>192885</v>
      </c>
      <c r="O108" s="7">
        <f t="shared" si="13"/>
        <v>345178</v>
      </c>
      <c r="P108" s="7">
        <f t="shared" si="10"/>
        <v>1001</v>
      </c>
      <c r="Q108" s="7">
        <f t="shared" si="11"/>
        <v>0.16</v>
      </c>
    </row>
    <row r="109">
      <c r="A109" s="4" t="s">
        <v>340</v>
      </c>
      <c r="B109" s="4" t="s">
        <v>341</v>
      </c>
      <c r="C109" s="4" t="s">
        <v>342</v>
      </c>
      <c r="D109" s="5">
        <v>18409.0</v>
      </c>
      <c r="E109" s="7" t="str">
        <f t="shared" si="2"/>
        <v>A</v>
      </c>
      <c r="F109" s="7" t="str">
        <f t="shared" si="3"/>
        <v>A</v>
      </c>
      <c r="G109" s="7" t="str">
        <f t="shared" si="4"/>
        <v>High ambition</v>
      </c>
      <c r="H109" s="7">
        <f t="shared" ref="H109:J109" si="118">ROUND(RAND(),2)</f>
        <v>0.82</v>
      </c>
      <c r="I109" s="7">
        <f t="shared" si="118"/>
        <v>0.03</v>
      </c>
      <c r="J109" s="7">
        <f t="shared" si="118"/>
        <v>0.33</v>
      </c>
      <c r="K109" s="7" t="str">
        <f t="shared" si="6"/>
        <v>High</v>
      </c>
      <c r="L109" s="7">
        <f t="shared" si="7"/>
        <v>465580</v>
      </c>
      <c r="M109" s="7">
        <f t="shared" si="8"/>
        <v>329727.5248</v>
      </c>
      <c r="N109" s="7">
        <f t="shared" si="9"/>
        <v>220908</v>
      </c>
      <c r="O109" s="7">
        <f t="shared" si="13"/>
        <v>403525</v>
      </c>
      <c r="P109" s="7">
        <f t="shared" si="10"/>
        <v>598.67</v>
      </c>
      <c r="Q109" s="7">
        <f t="shared" si="11"/>
        <v>0.14</v>
      </c>
    </row>
    <row r="110">
      <c r="A110" s="4" t="s">
        <v>343</v>
      </c>
      <c r="B110" s="4" t="s">
        <v>344</v>
      </c>
      <c r="C110" s="4" t="s">
        <v>345</v>
      </c>
      <c r="D110" s="5">
        <v>18289.0</v>
      </c>
      <c r="E110" s="7" t="str">
        <f t="shared" si="2"/>
        <v>C</v>
      </c>
      <c r="F110" s="7" t="str">
        <f t="shared" si="3"/>
        <v>A</v>
      </c>
      <c r="G110" s="7" t="str">
        <f t="shared" si="4"/>
        <v>Transformative change</v>
      </c>
      <c r="H110" s="7">
        <f t="shared" ref="H110:J110" si="119">ROUND(RAND(),2)</f>
        <v>0.12</v>
      </c>
      <c r="I110" s="7">
        <f t="shared" si="119"/>
        <v>0.63</v>
      </c>
      <c r="J110" s="7">
        <f t="shared" si="119"/>
        <v>0.7</v>
      </c>
      <c r="K110" s="7" t="str">
        <f t="shared" si="6"/>
        <v>Low</v>
      </c>
      <c r="L110" s="7">
        <f t="shared" si="7"/>
        <v>1103493</v>
      </c>
      <c r="M110" s="7">
        <f t="shared" si="8"/>
        <v>332524.5578</v>
      </c>
      <c r="N110" s="7">
        <f t="shared" si="9"/>
        <v>274335</v>
      </c>
      <c r="O110" s="7">
        <f t="shared" si="13"/>
        <v>278057</v>
      </c>
      <c r="P110" s="7">
        <f t="shared" si="10"/>
        <v>1828.9</v>
      </c>
      <c r="Q110" s="7">
        <f t="shared" si="11"/>
        <v>0.08</v>
      </c>
    </row>
    <row r="111">
      <c r="A111" s="4" t="s">
        <v>346</v>
      </c>
      <c r="B111" s="4" t="s">
        <v>347</v>
      </c>
      <c r="C111" s="4" t="s">
        <v>95</v>
      </c>
      <c r="D111" s="5">
        <v>423787.0</v>
      </c>
      <c r="E111" s="7" t="str">
        <f t="shared" si="2"/>
        <v>G</v>
      </c>
      <c r="F111" s="7" t="str">
        <f t="shared" si="3"/>
        <v>B</v>
      </c>
      <c r="G111" s="7" t="str">
        <f t="shared" si="4"/>
        <v>High ambition</v>
      </c>
      <c r="H111" s="7">
        <f t="shared" ref="H111:J111" si="120">ROUND(RAND(),2)</f>
        <v>0.8</v>
      </c>
      <c r="I111" s="7">
        <f t="shared" si="120"/>
        <v>0.54</v>
      </c>
      <c r="J111" s="7">
        <f t="shared" si="120"/>
        <v>0.83</v>
      </c>
      <c r="K111" s="7" t="str">
        <f t="shared" si="6"/>
        <v>High</v>
      </c>
      <c r="L111" s="7">
        <f t="shared" si="7"/>
        <v>133731</v>
      </c>
      <c r="M111" s="7">
        <f t="shared" si="8"/>
        <v>73147.61337</v>
      </c>
      <c r="N111" s="7">
        <f t="shared" si="9"/>
        <v>2542722</v>
      </c>
      <c r="O111" s="7">
        <f t="shared" si="13"/>
        <v>2675039</v>
      </c>
      <c r="P111" s="7">
        <f t="shared" si="10"/>
        <v>6673.81</v>
      </c>
      <c r="Q111" s="7">
        <f t="shared" si="11"/>
        <v>0.24</v>
      </c>
    </row>
    <row r="112">
      <c r="A112" s="4" t="s">
        <v>348</v>
      </c>
      <c r="B112" s="4" t="s">
        <v>349</v>
      </c>
      <c r="C112" s="4" t="s">
        <v>350</v>
      </c>
      <c r="D112" s="5">
        <v>17528.0</v>
      </c>
      <c r="E112" s="7" t="str">
        <f t="shared" si="2"/>
        <v>E</v>
      </c>
      <c r="F112" s="7" t="str">
        <f t="shared" si="3"/>
        <v>A</v>
      </c>
      <c r="G112" s="7" t="str">
        <f t="shared" si="4"/>
        <v>Transformative change</v>
      </c>
      <c r="H112" s="7">
        <f t="shared" ref="H112:J112" si="121">ROUND(RAND(),2)</f>
        <v>0.98</v>
      </c>
      <c r="I112" s="7">
        <f t="shared" si="121"/>
        <v>0.77</v>
      </c>
      <c r="J112" s="7">
        <f t="shared" si="121"/>
        <v>0.78</v>
      </c>
      <c r="K112" s="7" t="str">
        <f t="shared" si="6"/>
        <v>High</v>
      </c>
      <c r="L112" s="7">
        <f t="shared" si="7"/>
        <v>1255526</v>
      </c>
      <c r="M112" s="7">
        <f t="shared" si="8"/>
        <v>646842.1014</v>
      </c>
      <c r="N112" s="7">
        <f t="shared" si="9"/>
        <v>210336</v>
      </c>
      <c r="O112" s="7">
        <f t="shared" si="13"/>
        <v>273298</v>
      </c>
      <c r="P112" s="7">
        <f t="shared" si="10"/>
        <v>5842.67</v>
      </c>
      <c r="Q112" s="7">
        <f t="shared" si="11"/>
        <v>0.15</v>
      </c>
    </row>
    <row r="113">
      <c r="A113" s="4" t="s">
        <v>351</v>
      </c>
      <c r="B113" s="4" t="s">
        <v>352</v>
      </c>
      <c r="C113" s="4" t="s">
        <v>353</v>
      </c>
      <c r="D113" s="5">
        <v>5442.0</v>
      </c>
      <c r="E113" s="7" t="str">
        <f t="shared" si="2"/>
        <v>E</v>
      </c>
      <c r="F113" s="7" t="str">
        <f t="shared" si="3"/>
        <v>C</v>
      </c>
      <c r="G113" s="7" t="str">
        <f t="shared" si="4"/>
        <v>Transformative change</v>
      </c>
      <c r="H113" s="7">
        <f t="shared" ref="H113:J113" si="122">ROUND(RAND(),2)</f>
        <v>0.7</v>
      </c>
      <c r="I113" s="7">
        <f t="shared" si="122"/>
        <v>0.28</v>
      </c>
      <c r="J113" s="7">
        <f t="shared" si="122"/>
        <v>0.12</v>
      </c>
      <c r="K113" s="7" t="str">
        <f t="shared" si="6"/>
        <v>Low</v>
      </c>
      <c r="L113" s="7">
        <f t="shared" si="7"/>
        <v>3407846</v>
      </c>
      <c r="M113" s="7">
        <f t="shared" si="8"/>
        <v>1897551.396</v>
      </c>
      <c r="N113" s="7">
        <f t="shared" si="9"/>
        <v>32652</v>
      </c>
      <c r="O113" s="7">
        <f t="shared" si="13"/>
        <v>41569</v>
      </c>
      <c r="P113" s="7">
        <f t="shared" si="10"/>
        <v>842</v>
      </c>
      <c r="Q113" s="7">
        <f t="shared" si="11"/>
        <v>0.21</v>
      </c>
    </row>
    <row r="114">
      <c r="A114" s="4" t="s">
        <v>354</v>
      </c>
      <c r="B114" s="4" t="s">
        <v>355</v>
      </c>
      <c r="C114" s="4" t="s">
        <v>356</v>
      </c>
      <c r="D114" s="5">
        <v>92106.0</v>
      </c>
      <c r="E114" s="7" t="str">
        <f t="shared" si="2"/>
        <v>F</v>
      </c>
      <c r="F114" s="7" t="str">
        <f t="shared" si="3"/>
        <v>A</v>
      </c>
      <c r="G114" s="7" t="str">
        <f t="shared" si="4"/>
        <v>Transformative change</v>
      </c>
      <c r="H114" s="7">
        <f t="shared" ref="H114:J114" si="123">ROUND(RAND(),2)</f>
        <v>0.6</v>
      </c>
      <c r="I114" s="7">
        <f t="shared" si="123"/>
        <v>0.42</v>
      </c>
      <c r="J114" s="7">
        <f t="shared" si="123"/>
        <v>0.45</v>
      </c>
      <c r="K114" s="7" t="str">
        <f t="shared" si="6"/>
        <v>Low</v>
      </c>
      <c r="L114" s="7">
        <f t="shared" si="7"/>
        <v>3541319</v>
      </c>
      <c r="M114" s="7">
        <f t="shared" si="8"/>
        <v>289239.2644</v>
      </c>
      <c r="N114" s="7">
        <f t="shared" si="9"/>
        <v>552636</v>
      </c>
      <c r="O114" s="7">
        <f t="shared" si="13"/>
        <v>666255</v>
      </c>
      <c r="P114" s="7">
        <f t="shared" si="10"/>
        <v>1782.7</v>
      </c>
      <c r="Q114" s="7">
        <f t="shared" si="11"/>
        <v>0.02</v>
      </c>
    </row>
    <row r="115">
      <c r="A115" s="4" t="s">
        <v>357</v>
      </c>
      <c r="B115" s="4" t="s">
        <v>358</v>
      </c>
      <c r="C115" s="4" t="s">
        <v>359</v>
      </c>
      <c r="D115" s="5">
        <v>16350.0</v>
      </c>
      <c r="E115" s="7" t="str">
        <f t="shared" si="2"/>
        <v>C</v>
      </c>
      <c r="F115" s="7" t="str">
        <f t="shared" si="3"/>
        <v>B</v>
      </c>
      <c r="G115" s="7" t="str">
        <f t="shared" si="4"/>
        <v>Transformative change</v>
      </c>
      <c r="H115" s="7">
        <f t="shared" ref="H115:J115" si="124">ROUND(RAND(),2)</f>
        <v>0.25</v>
      </c>
      <c r="I115" s="7">
        <f t="shared" si="124"/>
        <v>0.71</v>
      </c>
      <c r="J115" s="7">
        <f t="shared" si="124"/>
        <v>0.3</v>
      </c>
      <c r="K115" s="7" t="str">
        <f t="shared" si="6"/>
        <v>Medium</v>
      </c>
      <c r="L115" s="7">
        <f t="shared" si="7"/>
        <v>2689629</v>
      </c>
      <c r="M115" s="7">
        <f t="shared" si="8"/>
        <v>2109769.35</v>
      </c>
      <c r="N115" s="7">
        <f t="shared" si="9"/>
        <v>147150</v>
      </c>
      <c r="O115" s="7">
        <f t="shared" si="13"/>
        <v>214570</v>
      </c>
      <c r="P115" s="7">
        <f t="shared" si="10"/>
        <v>939</v>
      </c>
      <c r="Q115" s="7">
        <f t="shared" si="11"/>
        <v>0.06</v>
      </c>
    </row>
    <row r="116">
      <c r="A116" s="4" t="s">
        <v>360</v>
      </c>
      <c r="B116" s="4" t="s">
        <v>361</v>
      </c>
      <c r="C116" s="4" t="s">
        <v>362</v>
      </c>
      <c r="D116" s="5">
        <v>76105.0</v>
      </c>
      <c r="E116" s="7" t="str">
        <f t="shared" si="2"/>
        <v>C</v>
      </c>
      <c r="F116" s="7" t="str">
        <f t="shared" si="3"/>
        <v>A</v>
      </c>
      <c r="G116" s="7" t="str">
        <f t="shared" si="4"/>
        <v>Transformative change</v>
      </c>
      <c r="H116" s="7">
        <f t="shared" ref="H116:J116" si="125">ROUND(RAND(),2)</f>
        <v>0.93</v>
      </c>
      <c r="I116" s="7">
        <f t="shared" si="125"/>
        <v>0.94</v>
      </c>
      <c r="J116" s="7">
        <f t="shared" si="125"/>
        <v>0.22</v>
      </c>
      <c r="K116" s="7" t="str">
        <f t="shared" si="6"/>
        <v>Medium</v>
      </c>
      <c r="L116" s="7">
        <f t="shared" si="7"/>
        <v>689201</v>
      </c>
      <c r="M116" s="7">
        <f t="shared" si="8"/>
        <v>597285.5339</v>
      </c>
      <c r="N116" s="7">
        <f t="shared" si="9"/>
        <v>761050</v>
      </c>
      <c r="O116" s="7">
        <f t="shared" si="13"/>
        <v>851385</v>
      </c>
      <c r="P116" s="7">
        <f t="shared" si="10"/>
        <v>7317.79</v>
      </c>
      <c r="Q116" s="7">
        <f t="shared" si="11"/>
        <v>0.28</v>
      </c>
    </row>
    <row r="117">
      <c r="A117" s="4" t="s">
        <v>363</v>
      </c>
      <c r="B117" s="4" t="s">
        <v>364</v>
      </c>
      <c r="C117" s="4" t="s">
        <v>365</v>
      </c>
      <c r="D117" s="5">
        <v>7365.0</v>
      </c>
      <c r="E117" s="7" t="str">
        <f t="shared" si="2"/>
        <v>E</v>
      </c>
      <c r="F117" s="7" t="str">
        <f t="shared" si="3"/>
        <v>B</v>
      </c>
      <c r="G117" s="7" t="str">
        <f t="shared" si="4"/>
        <v>Transformative change</v>
      </c>
      <c r="H117" s="7">
        <f t="shared" ref="H117:J117" si="126">ROUND(RAND(),2)</f>
        <v>0</v>
      </c>
      <c r="I117" s="7">
        <f t="shared" si="126"/>
        <v>0.09</v>
      </c>
      <c r="J117" s="7">
        <f t="shared" si="126"/>
        <v>0.01</v>
      </c>
      <c r="K117" s="7" t="str">
        <f t="shared" si="6"/>
        <v>High</v>
      </c>
      <c r="L117" s="7">
        <f t="shared" si="7"/>
        <v>3659306</v>
      </c>
      <c r="M117" s="7">
        <f t="shared" si="8"/>
        <v>2674100.325</v>
      </c>
      <c r="N117" s="7">
        <f t="shared" si="9"/>
        <v>110475</v>
      </c>
      <c r="O117" s="7">
        <f t="shared" si="13"/>
        <v>133022</v>
      </c>
      <c r="P117" s="7">
        <f t="shared" si="10"/>
        <v>867</v>
      </c>
      <c r="Q117" s="7">
        <f t="shared" si="11"/>
        <v>0.02</v>
      </c>
    </row>
    <row r="118">
      <c r="A118" s="4" t="s">
        <v>366</v>
      </c>
      <c r="B118" s="4" t="s">
        <v>367</v>
      </c>
      <c r="C118" s="4" t="s">
        <v>368</v>
      </c>
      <c r="D118" s="5">
        <v>328085.0</v>
      </c>
      <c r="E118" s="7" t="str">
        <f t="shared" si="2"/>
        <v>B</v>
      </c>
      <c r="F118" s="7" t="str">
        <f t="shared" si="3"/>
        <v>C</v>
      </c>
      <c r="G118" s="7" t="str">
        <f t="shared" si="4"/>
        <v>Transformative change</v>
      </c>
      <c r="H118" s="7">
        <f t="shared" ref="H118:J118" si="127">ROUND(RAND(),2)</f>
        <v>0.41</v>
      </c>
      <c r="I118" s="7">
        <f t="shared" si="127"/>
        <v>0.92</v>
      </c>
      <c r="J118" s="7">
        <f t="shared" si="127"/>
        <v>0.3</v>
      </c>
      <c r="K118" s="7" t="str">
        <f t="shared" si="6"/>
        <v>Medium</v>
      </c>
      <c r="L118" s="7">
        <f t="shared" si="7"/>
        <v>500377</v>
      </c>
      <c r="M118" s="7">
        <f t="shared" si="8"/>
        <v>16638.71837</v>
      </c>
      <c r="N118" s="7">
        <f t="shared" si="9"/>
        <v>4921275</v>
      </c>
      <c r="O118" s="7">
        <f t="shared" si="13"/>
        <v>4979596</v>
      </c>
      <c r="P118" s="7">
        <f t="shared" si="10"/>
        <v>21775.55</v>
      </c>
      <c r="Q118" s="7">
        <f t="shared" si="11"/>
        <v>0.04</v>
      </c>
    </row>
    <row r="119">
      <c r="A119" s="4" t="s">
        <v>369</v>
      </c>
      <c r="B119" s="4" t="s">
        <v>370</v>
      </c>
      <c r="C119" s="4" t="s">
        <v>371</v>
      </c>
      <c r="D119" s="5">
        <v>20506.0</v>
      </c>
      <c r="E119" s="7" t="str">
        <f t="shared" si="2"/>
        <v>A</v>
      </c>
      <c r="F119" s="7" t="str">
        <f t="shared" si="3"/>
        <v>C</v>
      </c>
      <c r="G119" s="7" t="str">
        <f t="shared" si="4"/>
        <v>Transformative change</v>
      </c>
      <c r="H119" s="7">
        <f t="shared" ref="H119:J119" si="128">ROUND(RAND(),2)</f>
        <v>0.75</v>
      </c>
      <c r="I119" s="7">
        <f t="shared" si="128"/>
        <v>0.52</v>
      </c>
      <c r="J119" s="7">
        <f t="shared" si="128"/>
        <v>0.7</v>
      </c>
      <c r="K119" s="7" t="str">
        <f t="shared" si="6"/>
        <v>Low</v>
      </c>
      <c r="L119" s="7">
        <f t="shared" si="7"/>
        <v>890134</v>
      </c>
      <c r="M119" s="7">
        <f t="shared" si="8"/>
        <v>422164.6933</v>
      </c>
      <c r="N119" s="7">
        <f t="shared" si="9"/>
        <v>102530</v>
      </c>
      <c r="O119" s="7">
        <f t="shared" si="13"/>
        <v>249005</v>
      </c>
      <c r="P119" s="7">
        <f t="shared" si="10"/>
        <v>1015</v>
      </c>
      <c r="Q119" s="7">
        <f t="shared" si="11"/>
        <v>0.18</v>
      </c>
    </row>
    <row r="120">
      <c r="A120" s="4" t="s">
        <v>372</v>
      </c>
      <c r="B120" s="4" t="s">
        <v>373</v>
      </c>
      <c r="C120" s="4" t="s">
        <v>374</v>
      </c>
      <c r="D120" s="5">
        <v>499358.0</v>
      </c>
      <c r="E120" s="7" t="str">
        <f t="shared" si="2"/>
        <v>B</v>
      </c>
      <c r="F120" s="7" t="str">
        <f t="shared" si="3"/>
        <v>B</v>
      </c>
      <c r="G120" s="7" t="str">
        <f t="shared" si="4"/>
        <v>Transformative change</v>
      </c>
      <c r="H120" s="7">
        <f t="shared" ref="H120:J120" si="129">ROUND(RAND(),2)</f>
        <v>0.15</v>
      </c>
      <c r="I120" s="7">
        <f t="shared" si="129"/>
        <v>0.64</v>
      </c>
      <c r="J120" s="7">
        <f t="shared" si="129"/>
        <v>0.25</v>
      </c>
      <c r="K120" s="7" t="str">
        <f t="shared" si="6"/>
        <v>High</v>
      </c>
      <c r="L120" s="7">
        <f t="shared" si="7"/>
        <v>2284205</v>
      </c>
      <c r="M120" s="7">
        <f t="shared" si="8"/>
        <v>1210198.57</v>
      </c>
      <c r="N120" s="7">
        <f t="shared" si="9"/>
        <v>5992296</v>
      </c>
      <c r="O120" s="7">
        <f t="shared" si="13"/>
        <v>6172222</v>
      </c>
      <c r="P120" s="7">
        <f t="shared" si="10"/>
        <v>16462.35</v>
      </c>
      <c r="Q120" s="7">
        <f t="shared" si="11"/>
        <v>0.28</v>
      </c>
    </row>
    <row r="121">
      <c r="A121" s="4" t="s">
        <v>375</v>
      </c>
      <c r="B121" s="4" t="s">
        <v>376</v>
      </c>
      <c r="C121" s="4" t="s">
        <v>377</v>
      </c>
      <c r="D121" s="5">
        <v>11065.0</v>
      </c>
      <c r="E121" s="7" t="str">
        <f t="shared" si="2"/>
        <v>D</v>
      </c>
      <c r="F121" s="7" t="str">
        <f t="shared" si="3"/>
        <v>B</v>
      </c>
      <c r="G121" s="7" t="str">
        <f t="shared" si="4"/>
        <v>Transformative change</v>
      </c>
      <c r="H121" s="7">
        <f t="shared" ref="H121:J121" si="130">ROUND(RAND(),2)</f>
        <v>0.47</v>
      </c>
      <c r="I121" s="7">
        <f t="shared" si="130"/>
        <v>0.75</v>
      </c>
      <c r="J121" s="7">
        <f t="shared" si="130"/>
        <v>0.2</v>
      </c>
      <c r="K121" s="7" t="str">
        <f t="shared" si="6"/>
        <v>Low</v>
      </c>
      <c r="L121" s="7">
        <f t="shared" si="7"/>
        <v>55539</v>
      </c>
      <c r="M121" s="7">
        <f t="shared" si="8"/>
        <v>38043.08864</v>
      </c>
      <c r="N121" s="7">
        <f t="shared" si="9"/>
        <v>143845</v>
      </c>
      <c r="O121" s="7">
        <f t="shared" si="13"/>
        <v>228252</v>
      </c>
      <c r="P121" s="7">
        <f t="shared" si="10"/>
        <v>1844.17</v>
      </c>
      <c r="Q121" s="7">
        <f t="shared" si="11"/>
        <v>0.2</v>
      </c>
    </row>
    <row r="122">
      <c r="A122" s="4" t="s">
        <v>378</v>
      </c>
      <c r="B122" s="4" t="s">
        <v>379</v>
      </c>
      <c r="C122" s="4" t="s">
        <v>380</v>
      </c>
      <c r="D122" s="5">
        <v>379611.0</v>
      </c>
      <c r="E122" s="7" t="str">
        <f t="shared" si="2"/>
        <v>C</v>
      </c>
      <c r="F122" s="7" t="str">
        <f t="shared" si="3"/>
        <v>B</v>
      </c>
      <c r="G122" s="7" t="str">
        <f t="shared" si="4"/>
        <v>Transformative change</v>
      </c>
      <c r="H122" s="7">
        <f t="shared" ref="H122:J122" si="131">ROUND(RAND(),2)</f>
        <v>0.11</v>
      </c>
      <c r="I122" s="7">
        <f t="shared" si="131"/>
        <v>0.64</v>
      </c>
      <c r="J122" s="7">
        <f t="shared" si="131"/>
        <v>0.78</v>
      </c>
      <c r="K122" s="7" t="str">
        <f t="shared" si="6"/>
        <v>Low</v>
      </c>
      <c r="L122" s="7">
        <f t="shared" si="7"/>
        <v>345391</v>
      </c>
      <c r="M122" s="7">
        <f t="shared" si="8"/>
        <v>331887.8188</v>
      </c>
      <c r="N122" s="7">
        <f t="shared" si="9"/>
        <v>4555332</v>
      </c>
      <c r="O122" s="7">
        <f t="shared" si="13"/>
        <v>4647942</v>
      </c>
      <c r="P122" s="7">
        <f t="shared" si="10"/>
        <v>19220.81</v>
      </c>
      <c r="Q122" s="7">
        <f t="shared" si="11"/>
        <v>0.26</v>
      </c>
    </row>
    <row r="123">
      <c r="A123" s="4" t="s">
        <v>381</v>
      </c>
      <c r="B123" s="4" t="s">
        <v>382</v>
      </c>
      <c r="C123" s="4" t="s">
        <v>383</v>
      </c>
      <c r="D123" s="5">
        <v>256106.0</v>
      </c>
      <c r="E123" s="7" t="str">
        <f t="shared" si="2"/>
        <v>D</v>
      </c>
      <c r="F123" s="7" t="str">
        <f t="shared" si="3"/>
        <v>B</v>
      </c>
      <c r="G123" s="7" t="str">
        <f t="shared" si="4"/>
        <v>Transformative change</v>
      </c>
      <c r="H123" s="7">
        <f t="shared" ref="H123:J123" si="132">ROUND(RAND(),2)</f>
        <v>0.34</v>
      </c>
      <c r="I123" s="7">
        <f t="shared" si="132"/>
        <v>0.49</v>
      </c>
      <c r="J123" s="7">
        <f t="shared" si="132"/>
        <v>0.48</v>
      </c>
      <c r="K123" s="7" t="str">
        <f t="shared" si="6"/>
        <v>High</v>
      </c>
      <c r="L123" s="7">
        <f t="shared" si="7"/>
        <v>2344293</v>
      </c>
      <c r="M123" s="7">
        <f t="shared" si="8"/>
        <v>984610.2314</v>
      </c>
      <c r="N123" s="7">
        <f t="shared" si="9"/>
        <v>1024424</v>
      </c>
      <c r="O123" s="7">
        <f t="shared" si="13"/>
        <v>1109254</v>
      </c>
      <c r="P123" s="7">
        <f t="shared" si="10"/>
        <v>9485.41</v>
      </c>
      <c r="Q123" s="7">
        <f t="shared" si="11"/>
        <v>0.06</v>
      </c>
    </row>
    <row r="124">
      <c r="A124" s="4" t="s">
        <v>57</v>
      </c>
      <c r="B124" s="4" t="s">
        <v>384</v>
      </c>
      <c r="C124" s="4" t="s">
        <v>385</v>
      </c>
      <c r="D124" s="5">
        <v>886346.0</v>
      </c>
      <c r="E124" s="7" t="str">
        <f t="shared" si="2"/>
        <v>G</v>
      </c>
      <c r="F124" s="7" t="str">
        <f t="shared" si="3"/>
        <v>A</v>
      </c>
      <c r="G124" s="7" t="str">
        <f t="shared" si="4"/>
        <v>Transformative change</v>
      </c>
      <c r="H124" s="7">
        <f t="shared" ref="H124:J124" si="133">ROUND(RAND(),2)</f>
        <v>0.33</v>
      </c>
      <c r="I124" s="7">
        <f t="shared" si="133"/>
        <v>0.87</v>
      </c>
      <c r="J124" s="7">
        <f t="shared" si="133"/>
        <v>0.92</v>
      </c>
      <c r="K124" s="7" t="str">
        <f t="shared" si="6"/>
        <v>Medium</v>
      </c>
      <c r="L124" s="7">
        <f t="shared" si="7"/>
        <v>2186155</v>
      </c>
      <c r="M124" s="7">
        <f t="shared" si="8"/>
        <v>734109.6635</v>
      </c>
      <c r="N124" s="7">
        <f t="shared" si="9"/>
        <v>4431730</v>
      </c>
      <c r="O124" s="7">
        <f t="shared" si="13"/>
        <v>4566888</v>
      </c>
      <c r="P124" s="7">
        <f t="shared" si="10"/>
        <v>170451.15</v>
      </c>
      <c r="Q124" s="7">
        <f t="shared" si="11"/>
        <v>0.2</v>
      </c>
    </row>
    <row r="125">
      <c r="A125" s="4" t="s">
        <v>386</v>
      </c>
      <c r="B125" s="4" t="s">
        <v>387</v>
      </c>
      <c r="C125" s="4" t="s">
        <v>95</v>
      </c>
      <c r="D125" s="5">
        <v>89067.0</v>
      </c>
      <c r="E125" s="7" t="str">
        <f t="shared" si="2"/>
        <v>G</v>
      </c>
      <c r="F125" s="7" t="str">
        <f t="shared" si="3"/>
        <v>A</v>
      </c>
      <c r="G125" s="7" t="str">
        <f t="shared" si="4"/>
        <v>Transformative change</v>
      </c>
      <c r="H125" s="7">
        <f t="shared" ref="H125:J125" si="134">ROUND(RAND(),2)</f>
        <v>0.34</v>
      </c>
      <c r="I125" s="7">
        <f t="shared" si="134"/>
        <v>0.02</v>
      </c>
      <c r="J125" s="7">
        <f t="shared" si="134"/>
        <v>0.24</v>
      </c>
      <c r="K125" s="7" t="str">
        <f t="shared" si="6"/>
        <v>High</v>
      </c>
      <c r="L125" s="7">
        <f t="shared" si="7"/>
        <v>739765</v>
      </c>
      <c r="M125" s="7">
        <f t="shared" si="8"/>
        <v>145072.1306</v>
      </c>
      <c r="N125" s="7">
        <f t="shared" si="9"/>
        <v>1246938</v>
      </c>
      <c r="O125" s="7">
        <f t="shared" si="13"/>
        <v>1446049</v>
      </c>
      <c r="P125" s="7">
        <f t="shared" si="10"/>
        <v>5826.81</v>
      </c>
      <c r="Q125" s="7">
        <f t="shared" si="11"/>
        <v>0.04</v>
      </c>
    </row>
    <row r="126">
      <c r="A126" s="4" t="s">
        <v>388</v>
      </c>
      <c r="B126" s="4" t="s">
        <v>389</v>
      </c>
      <c r="C126" s="4" t="s">
        <v>95</v>
      </c>
      <c r="D126" s="5">
        <v>8203.0</v>
      </c>
      <c r="E126" s="7" t="str">
        <f t="shared" si="2"/>
        <v>A</v>
      </c>
      <c r="F126" s="7" t="str">
        <f t="shared" si="3"/>
        <v>A</v>
      </c>
      <c r="G126" s="7" t="str">
        <f t="shared" si="4"/>
        <v>Transformative change</v>
      </c>
      <c r="H126" s="7">
        <f t="shared" ref="H126:J126" si="135">ROUND(RAND(),2)</f>
        <v>0.54</v>
      </c>
      <c r="I126" s="7">
        <f t="shared" si="135"/>
        <v>0.23</v>
      </c>
      <c r="J126" s="7">
        <f t="shared" si="135"/>
        <v>0.41</v>
      </c>
      <c r="K126" s="7" t="str">
        <f t="shared" si="6"/>
        <v>Medium</v>
      </c>
      <c r="L126" s="7">
        <f t="shared" si="7"/>
        <v>3132628</v>
      </c>
      <c r="M126" s="7">
        <f t="shared" si="8"/>
        <v>676763.0754</v>
      </c>
      <c r="N126" s="7">
        <f t="shared" si="9"/>
        <v>32812</v>
      </c>
      <c r="O126" s="7">
        <f t="shared" si="13"/>
        <v>171748</v>
      </c>
      <c r="P126" s="7">
        <f t="shared" si="10"/>
        <v>941</v>
      </c>
      <c r="Q126" s="7">
        <f t="shared" si="11"/>
        <v>0.17</v>
      </c>
    </row>
    <row r="127">
      <c r="A127" s="4" t="s">
        <v>390</v>
      </c>
      <c r="B127" s="4" t="s">
        <v>391</v>
      </c>
      <c r="C127" s="4" t="s">
        <v>392</v>
      </c>
      <c r="D127" s="5">
        <v>13897.0</v>
      </c>
      <c r="E127" s="7" t="str">
        <f t="shared" si="2"/>
        <v>G</v>
      </c>
      <c r="F127" s="7" t="str">
        <f t="shared" si="3"/>
        <v>A</v>
      </c>
      <c r="G127" s="7" t="str">
        <f t="shared" si="4"/>
        <v>Transformative change</v>
      </c>
      <c r="H127" s="7">
        <f t="shared" ref="H127:J127" si="136">ROUND(RAND(),2)</f>
        <v>0.11</v>
      </c>
      <c r="I127" s="7">
        <f t="shared" si="136"/>
        <v>0.88</v>
      </c>
      <c r="J127" s="7">
        <f t="shared" si="136"/>
        <v>0.79</v>
      </c>
      <c r="K127" s="7" t="str">
        <f t="shared" si="6"/>
        <v>High</v>
      </c>
      <c r="L127" s="7">
        <f t="shared" si="7"/>
        <v>2941095</v>
      </c>
      <c r="M127" s="7">
        <f t="shared" si="8"/>
        <v>1576209.924</v>
      </c>
      <c r="N127" s="7">
        <f t="shared" si="9"/>
        <v>180661</v>
      </c>
      <c r="O127" s="7">
        <f t="shared" si="13"/>
        <v>280807</v>
      </c>
      <c r="P127" s="7">
        <f t="shared" si="10"/>
        <v>925</v>
      </c>
      <c r="Q127" s="7">
        <f t="shared" si="11"/>
        <v>0.22</v>
      </c>
    </row>
    <row r="128">
      <c r="A128" s="4" t="s">
        <v>393</v>
      </c>
      <c r="B128" s="4" t="s">
        <v>394</v>
      </c>
      <c r="C128" s="4" t="s">
        <v>395</v>
      </c>
      <c r="D128" s="5">
        <v>6842.0</v>
      </c>
      <c r="E128" s="7" t="str">
        <f t="shared" si="2"/>
        <v>C</v>
      </c>
      <c r="F128" s="7" t="str">
        <f t="shared" si="3"/>
        <v>A</v>
      </c>
      <c r="G128" s="7" t="str">
        <f t="shared" si="4"/>
        <v>Transformative change</v>
      </c>
      <c r="H128" s="7">
        <f t="shared" ref="H128:J128" si="137">ROUND(RAND(),2)</f>
        <v>0.69</v>
      </c>
      <c r="I128" s="7">
        <f t="shared" si="137"/>
        <v>0.34</v>
      </c>
      <c r="J128" s="7">
        <f t="shared" si="137"/>
        <v>0.05</v>
      </c>
      <c r="K128" s="7" t="str">
        <f t="shared" si="6"/>
        <v>High</v>
      </c>
      <c r="L128" s="7">
        <f t="shared" si="7"/>
        <v>2602256</v>
      </c>
      <c r="M128" s="7">
        <f t="shared" si="8"/>
        <v>1057526.913</v>
      </c>
      <c r="N128" s="7">
        <f t="shared" si="9"/>
        <v>41052</v>
      </c>
      <c r="O128" s="7">
        <f t="shared" si="13"/>
        <v>163860</v>
      </c>
      <c r="P128" s="7">
        <f t="shared" si="10"/>
        <v>966</v>
      </c>
      <c r="Q128" s="7">
        <f t="shared" si="11"/>
        <v>0.18</v>
      </c>
    </row>
    <row r="129">
      <c r="A129" s="4" t="s">
        <v>396</v>
      </c>
      <c r="B129" s="4" t="s">
        <v>397</v>
      </c>
      <c r="C129" s="4" t="s">
        <v>95</v>
      </c>
      <c r="D129" s="5">
        <v>19601.0</v>
      </c>
      <c r="E129" s="7" t="str">
        <f t="shared" si="2"/>
        <v>D</v>
      </c>
      <c r="F129" s="7" t="str">
        <f t="shared" si="3"/>
        <v>A</v>
      </c>
      <c r="G129" s="7" t="str">
        <f t="shared" si="4"/>
        <v>Transformative change</v>
      </c>
      <c r="H129" s="7">
        <f t="shared" ref="H129:J129" si="138">ROUND(RAND(),2)</f>
        <v>0.47</v>
      </c>
      <c r="I129" s="7">
        <f t="shared" si="138"/>
        <v>0.44</v>
      </c>
      <c r="J129" s="7">
        <f t="shared" si="138"/>
        <v>0.81</v>
      </c>
      <c r="K129" s="7" t="str">
        <f t="shared" si="6"/>
        <v>Medium</v>
      </c>
      <c r="L129" s="7">
        <f t="shared" si="7"/>
        <v>2787215</v>
      </c>
      <c r="M129" s="7">
        <f t="shared" si="8"/>
        <v>2726277.456</v>
      </c>
      <c r="N129" s="7">
        <f t="shared" si="9"/>
        <v>274414</v>
      </c>
      <c r="O129" s="7">
        <f t="shared" si="13"/>
        <v>304327</v>
      </c>
      <c r="P129" s="7">
        <f t="shared" si="10"/>
        <v>739.66</v>
      </c>
      <c r="Q129" s="7">
        <f t="shared" si="11"/>
        <v>0.29</v>
      </c>
    </row>
    <row r="130">
      <c r="A130" s="4" t="s">
        <v>398</v>
      </c>
      <c r="B130" s="4" t="s">
        <v>399</v>
      </c>
      <c r="C130" s="4" t="s">
        <v>400</v>
      </c>
      <c r="D130" s="5">
        <v>19167.0</v>
      </c>
      <c r="E130" s="7" t="str">
        <f t="shared" si="2"/>
        <v>G</v>
      </c>
      <c r="F130" s="7" t="str">
        <f t="shared" si="3"/>
        <v>B</v>
      </c>
      <c r="G130" s="7" t="str">
        <f t="shared" si="4"/>
        <v>Transformative change</v>
      </c>
      <c r="H130" s="7">
        <f t="shared" ref="H130:J130" si="139">ROUND(RAND(),2)</f>
        <v>0.58</v>
      </c>
      <c r="I130" s="7">
        <f t="shared" si="139"/>
        <v>0.71</v>
      </c>
      <c r="J130" s="7">
        <f t="shared" si="139"/>
        <v>0.08</v>
      </c>
      <c r="K130" s="7" t="str">
        <f t="shared" si="6"/>
        <v>Low</v>
      </c>
      <c r="L130" s="7">
        <f t="shared" si="7"/>
        <v>1037628</v>
      </c>
      <c r="M130" s="7">
        <f t="shared" si="8"/>
        <v>569795.9424</v>
      </c>
      <c r="N130" s="7">
        <f t="shared" si="9"/>
        <v>249171</v>
      </c>
      <c r="O130" s="7">
        <f t="shared" si="13"/>
        <v>398788</v>
      </c>
      <c r="P130" s="7">
        <f t="shared" si="10"/>
        <v>1873.47</v>
      </c>
      <c r="Q130" s="7">
        <f t="shared" si="11"/>
        <v>0.25</v>
      </c>
    </row>
    <row r="131">
      <c r="A131" s="4" t="s">
        <v>401</v>
      </c>
      <c r="B131" s="4" t="s">
        <v>402</v>
      </c>
      <c r="C131" s="4" t="s">
        <v>403</v>
      </c>
      <c r="D131" s="5">
        <v>51943.0</v>
      </c>
      <c r="E131" s="7" t="str">
        <f t="shared" si="2"/>
        <v>E</v>
      </c>
      <c r="F131" s="7" t="str">
        <f t="shared" si="3"/>
        <v>C</v>
      </c>
      <c r="G131" s="7" t="str">
        <f t="shared" si="4"/>
        <v>Transformative change</v>
      </c>
      <c r="H131" s="7">
        <f t="shared" ref="H131:J131" si="140">ROUND(RAND(),2)</f>
        <v>0.98</v>
      </c>
      <c r="I131" s="7">
        <f t="shared" si="140"/>
        <v>0.69</v>
      </c>
      <c r="J131" s="7">
        <f t="shared" si="140"/>
        <v>0.29</v>
      </c>
      <c r="K131" s="7" t="str">
        <f t="shared" si="6"/>
        <v>High</v>
      </c>
      <c r="L131" s="7">
        <f t="shared" si="7"/>
        <v>3729012</v>
      </c>
      <c r="M131" s="7">
        <f t="shared" si="8"/>
        <v>1601850.667</v>
      </c>
      <c r="N131" s="7">
        <f t="shared" si="9"/>
        <v>519430</v>
      </c>
      <c r="O131" s="7">
        <f t="shared" si="13"/>
        <v>689530</v>
      </c>
      <c r="P131" s="7">
        <f t="shared" si="10"/>
        <v>1772.8</v>
      </c>
      <c r="Q131" s="7">
        <f t="shared" si="11"/>
        <v>0.23</v>
      </c>
    </row>
    <row r="132">
      <c r="A132" s="4" t="s">
        <v>404</v>
      </c>
      <c r="B132" s="4" t="s">
        <v>405</v>
      </c>
      <c r="C132" s="4" t="s">
        <v>406</v>
      </c>
      <c r="D132" s="5">
        <v>31956.0</v>
      </c>
      <c r="E132" s="7" t="str">
        <f t="shared" si="2"/>
        <v>C</v>
      </c>
      <c r="F132" s="7" t="str">
        <f t="shared" si="3"/>
        <v>C</v>
      </c>
      <c r="G132" s="7" t="str">
        <f t="shared" si="4"/>
        <v>Transformative change</v>
      </c>
      <c r="H132" s="7">
        <f t="shared" ref="H132:J132" si="141">ROUND(RAND(),2)</f>
        <v>0.22</v>
      </c>
      <c r="I132" s="7">
        <f t="shared" si="141"/>
        <v>0.98</v>
      </c>
      <c r="J132" s="7">
        <f t="shared" si="141"/>
        <v>0.12</v>
      </c>
      <c r="K132" s="7" t="str">
        <f t="shared" si="6"/>
        <v>High</v>
      </c>
      <c r="L132" s="7">
        <f t="shared" si="7"/>
        <v>3362162</v>
      </c>
      <c r="M132" s="7">
        <f t="shared" si="8"/>
        <v>2660059.297</v>
      </c>
      <c r="N132" s="7">
        <f t="shared" si="9"/>
        <v>319560</v>
      </c>
      <c r="O132" s="7">
        <f t="shared" si="13"/>
        <v>406771</v>
      </c>
      <c r="P132" s="7">
        <f t="shared" si="10"/>
        <v>1141.29</v>
      </c>
      <c r="Q132" s="7">
        <f t="shared" si="11"/>
        <v>0.01</v>
      </c>
    </row>
    <row r="133">
      <c r="A133" s="4" t="s">
        <v>407</v>
      </c>
      <c r="B133" s="4" t="s">
        <v>408</v>
      </c>
      <c r="C133" s="4" t="s">
        <v>409</v>
      </c>
      <c r="D133" s="5">
        <v>11874.0</v>
      </c>
      <c r="E133" s="7" t="str">
        <f t="shared" si="2"/>
        <v>G</v>
      </c>
      <c r="F133" s="7" t="str">
        <f t="shared" si="3"/>
        <v>B</v>
      </c>
      <c r="G133" s="7" t="str">
        <f t="shared" si="4"/>
        <v>Transformative change</v>
      </c>
      <c r="H133" s="7">
        <f t="shared" ref="H133:J133" si="142">ROUND(RAND(),2)</f>
        <v>0.18</v>
      </c>
      <c r="I133" s="7">
        <f t="shared" si="142"/>
        <v>0.54</v>
      </c>
      <c r="J133" s="7">
        <f t="shared" si="142"/>
        <v>0.68</v>
      </c>
      <c r="K133" s="7" t="str">
        <f t="shared" si="6"/>
        <v>Medium</v>
      </c>
      <c r="L133" s="7">
        <f t="shared" si="7"/>
        <v>780482</v>
      </c>
      <c r="M133" s="7">
        <f t="shared" si="8"/>
        <v>560964.3894</v>
      </c>
      <c r="N133" s="7">
        <f t="shared" si="9"/>
        <v>94992</v>
      </c>
      <c r="O133" s="7">
        <f t="shared" si="13"/>
        <v>289485</v>
      </c>
      <c r="P133" s="7">
        <f t="shared" si="10"/>
        <v>831</v>
      </c>
      <c r="Q133" s="7">
        <f t="shared" si="11"/>
        <v>0.04</v>
      </c>
    </row>
    <row r="134">
      <c r="A134" s="4" t="s">
        <v>410</v>
      </c>
      <c r="B134" s="4" t="s">
        <v>411</v>
      </c>
      <c r="C134" s="4" t="s">
        <v>412</v>
      </c>
      <c r="D134" s="5">
        <v>9081.0</v>
      </c>
      <c r="E134" s="7" t="str">
        <f t="shared" si="2"/>
        <v>G</v>
      </c>
      <c r="F134" s="7" t="str">
        <f t="shared" si="3"/>
        <v>B</v>
      </c>
      <c r="G134" s="7" t="str">
        <f t="shared" si="4"/>
        <v>Transformative change</v>
      </c>
      <c r="H134" s="7">
        <f t="shared" ref="H134:J134" si="143">ROUND(RAND(),2)</f>
        <v>0.87</v>
      </c>
      <c r="I134" s="7">
        <f t="shared" si="143"/>
        <v>0.36</v>
      </c>
      <c r="J134" s="7">
        <f t="shared" si="143"/>
        <v>0.28</v>
      </c>
      <c r="K134" s="7" t="str">
        <f t="shared" si="6"/>
        <v>High</v>
      </c>
      <c r="L134" s="7">
        <f t="shared" si="7"/>
        <v>2424259</v>
      </c>
      <c r="M134" s="7">
        <f t="shared" si="8"/>
        <v>234793.0153</v>
      </c>
      <c r="N134" s="7">
        <f t="shared" si="9"/>
        <v>127134</v>
      </c>
      <c r="O134" s="7">
        <f t="shared" si="13"/>
        <v>264792</v>
      </c>
      <c r="P134" s="7">
        <f t="shared" si="10"/>
        <v>1005</v>
      </c>
      <c r="Q134" s="7">
        <f t="shared" si="11"/>
        <v>0.14</v>
      </c>
    </row>
    <row r="135">
      <c r="A135" s="4" t="s">
        <v>413</v>
      </c>
      <c r="B135" s="4" t="s">
        <v>414</v>
      </c>
      <c r="C135" s="4" t="s">
        <v>415</v>
      </c>
      <c r="D135" s="5">
        <v>11966.0</v>
      </c>
      <c r="E135" s="7" t="str">
        <f t="shared" si="2"/>
        <v>B</v>
      </c>
      <c r="F135" s="7" t="str">
        <f t="shared" si="3"/>
        <v>C</v>
      </c>
      <c r="G135" s="7" t="str">
        <f t="shared" si="4"/>
        <v>Transformative change</v>
      </c>
      <c r="H135" s="7">
        <f t="shared" ref="H135:J135" si="144">ROUND(RAND(),2)</f>
        <v>0.75</v>
      </c>
      <c r="I135" s="7">
        <f t="shared" si="144"/>
        <v>0.68</v>
      </c>
      <c r="J135" s="7">
        <f t="shared" si="144"/>
        <v>0.54</v>
      </c>
      <c r="K135" s="7" t="str">
        <f t="shared" si="6"/>
        <v>Medium</v>
      </c>
      <c r="L135" s="7">
        <f t="shared" si="7"/>
        <v>3866574</v>
      </c>
      <c r="M135" s="7">
        <f t="shared" si="8"/>
        <v>1104074.505</v>
      </c>
      <c r="N135" s="7">
        <f t="shared" si="9"/>
        <v>131626</v>
      </c>
      <c r="O135" s="7">
        <f t="shared" si="13"/>
        <v>302018</v>
      </c>
      <c r="P135" s="7">
        <f t="shared" si="10"/>
        <v>1053</v>
      </c>
      <c r="Q135" s="7">
        <f t="shared" si="11"/>
        <v>0.07</v>
      </c>
    </row>
    <row r="136">
      <c r="A136" s="4" t="s">
        <v>416</v>
      </c>
      <c r="B136" s="4" t="s">
        <v>417</v>
      </c>
      <c r="C136" s="4" t="s">
        <v>418</v>
      </c>
      <c r="D136" s="5">
        <v>16095.0</v>
      </c>
      <c r="E136" s="7" t="str">
        <f t="shared" si="2"/>
        <v>G</v>
      </c>
      <c r="F136" s="7" t="str">
        <f t="shared" si="3"/>
        <v>C</v>
      </c>
      <c r="G136" s="7" t="str">
        <f t="shared" si="4"/>
        <v>Transformative change</v>
      </c>
      <c r="H136" s="7">
        <f t="shared" ref="H136:J136" si="145">ROUND(RAND(),2)</f>
        <v>0.04</v>
      </c>
      <c r="I136" s="7">
        <f t="shared" si="145"/>
        <v>0.83</v>
      </c>
      <c r="J136" s="7">
        <f t="shared" si="145"/>
        <v>0.24</v>
      </c>
      <c r="K136" s="7" t="str">
        <f t="shared" si="6"/>
        <v>Low</v>
      </c>
      <c r="L136" s="7">
        <f t="shared" si="7"/>
        <v>1489008</v>
      </c>
      <c r="M136" s="7">
        <f t="shared" si="8"/>
        <v>1155978.788</v>
      </c>
      <c r="N136" s="7">
        <f t="shared" si="9"/>
        <v>241425</v>
      </c>
      <c r="O136" s="7">
        <f t="shared" si="13"/>
        <v>394056</v>
      </c>
      <c r="P136" s="7">
        <f t="shared" si="10"/>
        <v>898</v>
      </c>
      <c r="Q136" s="7">
        <f t="shared" si="11"/>
        <v>0.07</v>
      </c>
    </row>
    <row r="137">
      <c r="A137" s="4" t="s">
        <v>419</v>
      </c>
      <c r="B137" s="4" t="s">
        <v>420</v>
      </c>
      <c r="C137" s="4" t="s">
        <v>95</v>
      </c>
      <c r="D137" s="5">
        <v>85484.0</v>
      </c>
      <c r="E137" s="7" t="str">
        <f t="shared" si="2"/>
        <v>F</v>
      </c>
      <c r="F137" s="7" t="str">
        <f t="shared" si="3"/>
        <v>A</v>
      </c>
      <c r="G137" s="7" t="str">
        <f t="shared" si="4"/>
        <v>Transformative change</v>
      </c>
      <c r="H137" s="7">
        <f t="shared" ref="H137:J137" si="146">ROUND(RAND(),2)</f>
        <v>0.16</v>
      </c>
      <c r="I137" s="7">
        <f t="shared" si="146"/>
        <v>0.27</v>
      </c>
      <c r="J137" s="7">
        <f t="shared" si="146"/>
        <v>0.85</v>
      </c>
      <c r="K137" s="7" t="str">
        <f t="shared" si="6"/>
        <v>Medium</v>
      </c>
      <c r="L137" s="7">
        <f t="shared" si="7"/>
        <v>2973502</v>
      </c>
      <c r="M137" s="7">
        <f t="shared" si="8"/>
        <v>328664.0207</v>
      </c>
      <c r="N137" s="7">
        <f t="shared" si="9"/>
        <v>683872</v>
      </c>
      <c r="O137" s="7">
        <f t="shared" si="13"/>
        <v>804048</v>
      </c>
      <c r="P137" s="7">
        <f t="shared" si="10"/>
        <v>2873.41</v>
      </c>
      <c r="Q137" s="7">
        <f t="shared" si="11"/>
        <v>0.27</v>
      </c>
    </row>
    <row r="138">
      <c r="A138" s="4" t="s">
        <v>421</v>
      </c>
      <c r="B138" s="4" t="s">
        <v>422</v>
      </c>
      <c r="C138" s="4" t="s">
        <v>423</v>
      </c>
      <c r="D138" s="5">
        <v>17580.0</v>
      </c>
      <c r="E138" s="7" t="str">
        <f t="shared" si="2"/>
        <v>E</v>
      </c>
      <c r="F138" s="7" t="str">
        <f t="shared" si="3"/>
        <v>B</v>
      </c>
      <c r="G138" s="7" t="str">
        <f t="shared" si="4"/>
        <v>Transformative change</v>
      </c>
      <c r="H138" s="7">
        <f t="shared" ref="H138:J138" si="147">ROUND(RAND(),2)</f>
        <v>0.75</v>
      </c>
      <c r="I138" s="7">
        <f t="shared" si="147"/>
        <v>0.7</v>
      </c>
      <c r="J138" s="7">
        <f t="shared" si="147"/>
        <v>0.85</v>
      </c>
      <c r="K138" s="7" t="str">
        <f t="shared" si="6"/>
        <v>Medium</v>
      </c>
      <c r="L138" s="7">
        <f t="shared" si="7"/>
        <v>2010252</v>
      </c>
      <c r="M138" s="7">
        <f t="shared" si="8"/>
        <v>784839.5456</v>
      </c>
      <c r="N138" s="7">
        <f t="shared" si="9"/>
        <v>123060</v>
      </c>
      <c r="O138" s="7">
        <f t="shared" si="13"/>
        <v>213016</v>
      </c>
      <c r="P138" s="7">
        <f t="shared" si="10"/>
        <v>1051</v>
      </c>
      <c r="Q138" s="7">
        <f t="shared" si="11"/>
        <v>0.23</v>
      </c>
    </row>
    <row r="139">
      <c r="A139" s="4" t="s">
        <v>424</v>
      </c>
      <c r="B139" s="4" t="s">
        <v>425</v>
      </c>
      <c r="C139" s="4" t="s">
        <v>426</v>
      </c>
      <c r="D139" s="5">
        <v>11812.0</v>
      </c>
      <c r="E139" s="7" t="str">
        <f t="shared" si="2"/>
        <v>F</v>
      </c>
      <c r="F139" s="7" t="str">
        <f t="shared" si="3"/>
        <v>C</v>
      </c>
      <c r="G139" s="7" t="str">
        <f t="shared" si="4"/>
        <v>Transformative change</v>
      </c>
      <c r="H139" s="7">
        <f t="shared" ref="H139:J139" si="148">ROUND(RAND(),2)</f>
        <v>0.16</v>
      </c>
      <c r="I139" s="7">
        <f t="shared" si="148"/>
        <v>0.55</v>
      </c>
      <c r="J139" s="7">
        <f t="shared" si="148"/>
        <v>0.45</v>
      </c>
      <c r="K139" s="7" t="str">
        <f t="shared" si="6"/>
        <v>Medium</v>
      </c>
      <c r="L139" s="7">
        <f t="shared" si="7"/>
        <v>2236659</v>
      </c>
      <c r="M139" s="7">
        <f t="shared" si="8"/>
        <v>559798.0819</v>
      </c>
      <c r="N139" s="7">
        <f t="shared" si="9"/>
        <v>153556</v>
      </c>
      <c r="O139" s="7">
        <f t="shared" si="13"/>
        <v>327576</v>
      </c>
      <c r="P139" s="7">
        <f t="shared" si="10"/>
        <v>1092</v>
      </c>
      <c r="Q139" s="7">
        <f t="shared" si="11"/>
        <v>0.12</v>
      </c>
    </row>
    <row r="140">
      <c r="A140" s="4" t="s">
        <v>427</v>
      </c>
      <c r="B140" s="4" t="s">
        <v>428</v>
      </c>
      <c r="C140" s="4" t="s">
        <v>429</v>
      </c>
      <c r="D140" s="5">
        <v>15360.0</v>
      </c>
      <c r="E140" s="7" t="str">
        <f t="shared" si="2"/>
        <v>F</v>
      </c>
      <c r="F140" s="7" t="str">
        <f t="shared" si="3"/>
        <v>A</v>
      </c>
      <c r="G140" s="7" t="str">
        <f t="shared" si="4"/>
        <v>Transformative change</v>
      </c>
      <c r="H140" s="7">
        <f t="shared" ref="H140:J140" si="149">ROUND(RAND(),2)</f>
        <v>0.17</v>
      </c>
      <c r="I140" s="7">
        <f t="shared" si="149"/>
        <v>0.5</v>
      </c>
      <c r="J140" s="7">
        <f t="shared" si="149"/>
        <v>0.52</v>
      </c>
      <c r="K140" s="7" t="str">
        <f t="shared" si="6"/>
        <v>Low</v>
      </c>
      <c r="L140" s="7">
        <f t="shared" si="7"/>
        <v>2910743</v>
      </c>
      <c r="M140" s="7">
        <f t="shared" si="8"/>
        <v>1096900.002</v>
      </c>
      <c r="N140" s="7">
        <f t="shared" si="9"/>
        <v>122880</v>
      </c>
      <c r="O140" s="7">
        <f t="shared" si="13"/>
        <v>285818</v>
      </c>
      <c r="P140" s="7">
        <f t="shared" si="10"/>
        <v>959</v>
      </c>
      <c r="Q140" s="7">
        <f t="shared" si="11"/>
        <v>0.2</v>
      </c>
    </row>
    <row r="141">
      <c r="A141" s="4" t="s">
        <v>430</v>
      </c>
      <c r="B141" s="4" t="s">
        <v>431</v>
      </c>
      <c r="C141" s="4" t="s">
        <v>432</v>
      </c>
      <c r="D141" s="5">
        <v>14865.0</v>
      </c>
      <c r="E141" s="7" t="str">
        <f t="shared" si="2"/>
        <v>D</v>
      </c>
      <c r="F141" s="7" t="str">
        <f t="shared" si="3"/>
        <v>A</v>
      </c>
      <c r="G141" s="7" t="str">
        <f t="shared" si="4"/>
        <v>Transformative change</v>
      </c>
      <c r="H141" s="7">
        <f t="shared" ref="H141:J141" si="150">ROUND(RAND(),2)</f>
        <v>0.79</v>
      </c>
      <c r="I141" s="7">
        <f t="shared" si="150"/>
        <v>0.07</v>
      </c>
      <c r="J141" s="7">
        <f t="shared" si="150"/>
        <v>0.09</v>
      </c>
      <c r="K141" s="7" t="str">
        <f t="shared" si="6"/>
        <v>Low</v>
      </c>
      <c r="L141" s="7">
        <f t="shared" si="7"/>
        <v>2991814</v>
      </c>
      <c r="M141" s="7">
        <f t="shared" si="8"/>
        <v>2098712.065</v>
      </c>
      <c r="N141" s="7">
        <f t="shared" si="9"/>
        <v>163515</v>
      </c>
      <c r="O141" s="7">
        <f t="shared" si="13"/>
        <v>186450</v>
      </c>
      <c r="P141" s="7">
        <f t="shared" si="10"/>
        <v>848</v>
      </c>
      <c r="Q141" s="7">
        <f t="shared" si="11"/>
        <v>0.01</v>
      </c>
    </row>
    <row r="142">
      <c r="A142" s="4" t="s">
        <v>433</v>
      </c>
      <c r="B142" s="4" t="s">
        <v>434</v>
      </c>
      <c r="C142" s="4" t="s">
        <v>435</v>
      </c>
      <c r="D142" s="5">
        <v>10659.0</v>
      </c>
      <c r="E142" s="7" t="str">
        <f t="shared" si="2"/>
        <v>B</v>
      </c>
      <c r="F142" s="7" t="str">
        <f t="shared" si="3"/>
        <v>C</v>
      </c>
      <c r="G142" s="7" t="str">
        <f t="shared" si="4"/>
        <v>Transformative change</v>
      </c>
      <c r="H142" s="7">
        <f t="shared" ref="H142:J142" si="151">ROUND(RAND(),2)</f>
        <v>0.54</v>
      </c>
      <c r="I142" s="7">
        <f t="shared" si="151"/>
        <v>0.34</v>
      </c>
      <c r="J142" s="7">
        <f t="shared" si="151"/>
        <v>0.4</v>
      </c>
      <c r="K142" s="7" t="str">
        <f t="shared" si="6"/>
        <v>Low</v>
      </c>
      <c r="L142" s="7">
        <f t="shared" si="7"/>
        <v>2734378</v>
      </c>
      <c r="M142" s="7">
        <f t="shared" si="8"/>
        <v>1427468.601</v>
      </c>
      <c r="N142" s="7">
        <f t="shared" si="9"/>
        <v>127908</v>
      </c>
      <c r="O142" s="7">
        <f t="shared" si="13"/>
        <v>154331</v>
      </c>
      <c r="P142" s="7">
        <f t="shared" si="10"/>
        <v>1001</v>
      </c>
      <c r="Q142" s="7">
        <f t="shared" si="11"/>
        <v>0.23</v>
      </c>
    </row>
    <row r="143">
      <c r="A143" s="4" t="s">
        <v>436</v>
      </c>
      <c r="B143" s="4" t="s">
        <v>437</v>
      </c>
      <c r="C143" s="4" t="s">
        <v>98</v>
      </c>
      <c r="D143" s="5">
        <v>14805.0</v>
      </c>
      <c r="E143" s="7" t="str">
        <f t="shared" si="2"/>
        <v>G</v>
      </c>
      <c r="F143" s="7" t="str">
        <f t="shared" si="3"/>
        <v>B</v>
      </c>
      <c r="G143" s="7" t="str">
        <f t="shared" si="4"/>
        <v>High ambition</v>
      </c>
      <c r="H143" s="7">
        <f t="shared" ref="H143:J143" si="152">ROUND(RAND(),2)</f>
        <v>0.13</v>
      </c>
      <c r="I143" s="7">
        <f t="shared" si="152"/>
        <v>0.06</v>
      </c>
      <c r="J143" s="7">
        <f t="shared" si="152"/>
        <v>0.62</v>
      </c>
      <c r="K143" s="7" t="str">
        <f t="shared" si="6"/>
        <v>Medium</v>
      </c>
      <c r="L143" s="7">
        <f t="shared" si="7"/>
        <v>1707153</v>
      </c>
      <c r="M143" s="7">
        <f t="shared" si="8"/>
        <v>1308877.978</v>
      </c>
      <c r="N143" s="7">
        <f t="shared" si="9"/>
        <v>103635</v>
      </c>
      <c r="O143" s="7">
        <f t="shared" si="13"/>
        <v>147155</v>
      </c>
      <c r="P143" s="7">
        <f t="shared" si="10"/>
        <v>957</v>
      </c>
      <c r="Q143" s="7">
        <f t="shared" si="11"/>
        <v>0.27</v>
      </c>
    </row>
    <row r="144">
      <c r="A144" s="4" t="s">
        <v>438</v>
      </c>
      <c r="B144" s="4" t="s">
        <v>439</v>
      </c>
      <c r="C144" s="4" t="s">
        <v>440</v>
      </c>
      <c r="D144" s="5">
        <v>15023.0</v>
      </c>
      <c r="E144" s="7" t="str">
        <f t="shared" si="2"/>
        <v>F</v>
      </c>
      <c r="F144" s="7" t="str">
        <f t="shared" si="3"/>
        <v>C</v>
      </c>
      <c r="G144" s="7" t="str">
        <f t="shared" si="4"/>
        <v>High ambition</v>
      </c>
      <c r="H144" s="7">
        <f t="shared" ref="H144:J144" si="153">ROUND(RAND(),2)</f>
        <v>0.95</v>
      </c>
      <c r="I144" s="7">
        <f t="shared" si="153"/>
        <v>0.68</v>
      </c>
      <c r="J144" s="7">
        <f t="shared" si="153"/>
        <v>0.5</v>
      </c>
      <c r="K144" s="7" t="str">
        <f t="shared" si="6"/>
        <v>Low</v>
      </c>
      <c r="L144" s="7">
        <f t="shared" si="7"/>
        <v>3911930</v>
      </c>
      <c r="M144" s="7">
        <f t="shared" si="8"/>
        <v>3026817.591</v>
      </c>
      <c r="N144" s="7">
        <f t="shared" si="9"/>
        <v>210322</v>
      </c>
      <c r="O144" s="7">
        <f t="shared" si="13"/>
        <v>349809</v>
      </c>
      <c r="P144" s="7">
        <f t="shared" si="10"/>
        <v>938</v>
      </c>
      <c r="Q144" s="7">
        <f t="shared" si="11"/>
        <v>0.19</v>
      </c>
    </row>
    <row r="145">
      <c r="A145" s="4" t="s">
        <v>441</v>
      </c>
      <c r="B145" s="4" t="s">
        <v>442</v>
      </c>
      <c r="C145" s="4" t="s">
        <v>95</v>
      </c>
      <c r="D145" s="5">
        <v>9864.0</v>
      </c>
      <c r="E145" s="7" t="str">
        <f t="shared" si="2"/>
        <v>G</v>
      </c>
      <c r="F145" s="7" t="str">
        <f t="shared" si="3"/>
        <v>A</v>
      </c>
      <c r="G145" s="7" t="str">
        <f t="shared" si="4"/>
        <v>Transformative change</v>
      </c>
      <c r="H145" s="7">
        <f t="shared" ref="H145:J145" si="154">ROUND(RAND(),2)</f>
        <v>0.64</v>
      </c>
      <c r="I145" s="7">
        <f t="shared" si="154"/>
        <v>0.22</v>
      </c>
      <c r="J145" s="7">
        <f t="shared" si="154"/>
        <v>0.08</v>
      </c>
      <c r="K145" s="7" t="str">
        <f t="shared" si="6"/>
        <v>Medium</v>
      </c>
      <c r="L145" s="7">
        <f t="shared" si="7"/>
        <v>2526775</v>
      </c>
      <c r="M145" s="7">
        <f t="shared" si="8"/>
        <v>1613948.82</v>
      </c>
      <c r="N145" s="7">
        <f t="shared" si="9"/>
        <v>147960</v>
      </c>
      <c r="O145" s="7">
        <f t="shared" si="13"/>
        <v>245199</v>
      </c>
      <c r="P145" s="7">
        <f t="shared" si="10"/>
        <v>1065</v>
      </c>
      <c r="Q145" s="7">
        <f t="shared" si="11"/>
        <v>0.21</v>
      </c>
    </row>
    <row r="146">
      <c r="A146" s="4" t="s">
        <v>443</v>
      </c>
      <c r="B146" s="4" t="s">
        <v>444</v>
      </c>
      <c r="C146" s="4" t="s">
        <v>445</v>
      </c>
      <c r="D146" s="5">
        <v>7851.0</v>
      </c>
      <c r="E146" s="7" t="str">
        <f t="shared" si="2"/>
        <v>E</v>
      </c>
      <c r="F146" s="7" t="str">
        <f t="shared" si="3"/>
        <v>B</v>
      </c>
      <c r="G146" s="7" t="str">
        <f t="shared" si="4"/>
        <v>Transformative change</v>
      </c>
      <c r="H146" s="7">
        <f t="shared" ref="H146:J146" si="155">ROUND(RAND(),2)</f>
        <v>0.79</v>
      </c>
      <c r="I146" s="7">
        <f t="shared" si="155"/>
        <v>0.69</v>
      </c>
      <c r="J146" s="7">
        <f t="shared" si="155"/>
        <v>0.45</v>
      </c>
      <c r="K146" s="7" t="str">
        <f t="shared" si="6"/>
        <v>Low</v>
      </c>
      <c r="L146" s="7">
        <f t="shared" si="7"/>
        <v>1880411</v>
      </c>
      <c r="M146" s="7">
        <f t="shared" si="8"/>
        <v>1609782.557</v>
      </c>
      <c r="N146" s="7">
        <f t="shared" si="9"/>
        <v>31404</v>
      </c>
      <c r="O146" s="7">
        <f t="shared" si="13"/>
        <v>151684</v>
      </c>
      <c r="P146" s="7">
        <f t="shared" si="10"/>
        <v>815</v>
      </c>
      <c r="Q146" s="7">
        <f t="shared" si="11"/>
        <v>0.16</v>
      </c>
    </row>
    <row r="147">
      <c r="A147" s="4" t="s">
        <v>446</v>
      </c>
      <c r="B147" s="4" t="s">
        <v>447</v>
      </c>
      <c r="C147" s="4" t="s">
        <v>448</v>
      </c>
      <c r="D147" s="5">
        <v>11688.0</v>
      </c>
      <c r="E147" s="7" t="str">
        <f t="shared" si="2"/>
        <v>C</v>
      </c>
      <c r="F147" s="7" t="str">
        <f t="shared" si="3"/>
        <v>A</v>
      </c>
      <c r="G147" s="7" t="str">
        <f t="shared" si="4"/>
        <v>High ambition</v>
      </c>
      <c r="H147" s="7">
        <f t="shared" ref="H147:J147" si="156">ROUND(RAND(),2)</f>
        <v>0.59</v>
      </c>
      <c r="I147" s="7">
        <f t="shared" si="156"/>
        <v>0.56</v>
      </c>
      <c r="J147" s="7">
        <f t="shared" si="156"/>
        <v>0.65</v>
      </c>
      <c r="K147" s="7" t="str">
        <f t="shared" si="6"/>
        <v>High</v>
      </c>
      <c r="L147" s="7">
        <f t="shared" si="7"/>
        <v>3090621</v>
      </c>
      <c r="M147" s="7">
        <f t="shared" si="8"/>
        <v>1725038.838</v>
      </c>
      <c r="N147" s="7">
        <f t="shared" si="9"/>
        <v>151944</v>
      </c>
      <c r="O147" s="7">
        <f t="shared" si="13"/>
        <v>236578</v>
      </c>
      <c r="P147" s="7">
        <f t="shared" si="10"/>
        <v>550.52</v>
      </c>
      <c r="Q147" s="7">
        <f t="shared" si="11"/>
        <v>0.12</v>
      </c>
    </row>
    <row r="148">
      <c r="A148" s="4" t="s">
        <v>449</v>
      </c>
      <c r="B148" s="4" t="s">
        <v>450</v>
      </c>
      <c r="C148" s="4" t="s">
        <v>451</v>
      </c>
      <c r="D148" s="5">
        <v>9702.0</v>
      </c>
      <c r="E148" s="7" t="str">
        <f t="shared" si="2"/>
        <v>C</v>
      </c>
      <c r="F148" s="7" t="str">
        <f t="shared" si="3"/>
        <v>A</v>
      </c>
      <c r="G148" s="7" t="str">
        <f t="shared" si="4"/>
        <v>Transformative change</v>
      </c>
      <c r="H148" s="7">
        <f t="shared" ref="H148:J148" si="157">ROUND(RAND(),2)</f>
        <v>0.11</v>
      </c>
      <c r="I148" s="7">
        <f t="shared" si="157"/>
        <v>0.17</v>
      </c>
      <c r="J148" s="7">
        <f t="shared" si="157"/>
        <v>0.41</v>
      </c>
      <c r="K148" s="7" t="str">
        <f t="shared" si="6"/>
        <v>Low</v>
      </c>
      <c r="L148" s="7">
        <f t="shared" si="7"/>
        <v>3876174</v>
      </c>
      <c r="M148" s="7">
        <f t="shared" si="8"/>
        <v>2745661.898</v>
      </c>
      <c r="N148" s="7">
        <f t="shared" si="9"/>
        <v>77616</v>
      </c>
      <c r="O148" s="7">
        <f t="shared" si="13"/>
        <v>182452</v>
      </c>
      <c r="P148" s="7">
        <f t="shared" si="10"/>
        <v>971</v>
      </c>
      <c r="Q148" s="7">
        <f t="shared" si="11"/>
        <v>0.19</v>
      </c>
    </row>
    <row r="149">
      <c r="A149" s="4" t="s">
        <v>452</v>
      </c>
      <c r="B149" s="4" t="s">
        <v>453</v>
      </c>
      <c r="C149" s="4" t="s">
        <v>454</v>
      </c>
      <c r="D149" s="5">
        <v>12739.0</v>
      </c>
      <c r="E149" s="7" t="str">
        <f t="shared" si="2"/>
        <v>C</v>
      </c>
      <c r="F149" s="7" t="str">
        <f t="shared" si="3"/>
        <v>B</v>
      </c>
      <c r="G149" s="7" t="str">
        <f t="shared" si="4"/>
        <v>Transformative change</v>
      </c>
      <c r="H149" s="7">
        <f t="shared" ref="H149:J149" si="158">ROUND(RAND(),2)</f>
        <v>0.2</v>
      </c>
      <c r="I149" s="7">
        <f t="shared" si="158"/>
        <v>0.43</v>
      </c>
      <c r="J149" s="7">
        <f t="shared" si="158"/>
        <v>0.13</v>
      </c>
      <c r="K149" s="7" t="str">
        <f t="shared" si="6"/>
        <v>Low</v>
      </c>
      <c r="L149" s="7">
        <f t="shared" si="7"/>
        <v>3271363</v>
      </c>
      <c r="M149" s="7">
        <f t="shared" si="8"/>
        <v>2060858.626</v>
      </c>
      <c r="N149" s="7">
        <f t="shared" si="9"/>
        <v>50956</v>
      </c>
      <c r="O149" s="7">
        <f t="shared" si="13"/>
        <v>54539</v>
      </c>
      <c r="P149" s="7">
        <f t="shared" si="10"/>
        <v>1001</v>
      </c>
      <c r="Q149" s="7">
        <f t="shared" si="11"/>
        <v>0.14</v>
      </c>
    </row>
    <row r="150">
      <c r="A150" s="4" t="s">
        <v>455</v>
      </c>
      <c r="B150" s="4" t="s">
        <v>456</v>
      </c>
      <c r="C150" s="4" t="s">
        <v>95</v>
      </c>
      <c r="D150" s="5">
        <v>154600.0</v>
      </c>
      <c r="E150" s="7" t="str">
        <f t="shared" si="2"/>
        <v>F</v>
      </c>
      <c r="F150" s="7" t="str">
        <f t="shared" si="3"/>
        <v>C</v>
      </c>
      <c r="G150" s="7" t="str">
        <f t="shared" si="4"/>
        <v>Transformative change</v>
      </c>
      <c r="H150" s="7">
        <f t="shared" ref="H150:J150" si="159">ROUND(RAND(),2)</f>
        <v>0.26</v>
      </c>
      <c r="I150" s="7">
        <f t="shared" si="159"/>
        <v>0.83</v>
      </c>
      <c r="J150" s="7">
        <f t="shared" si="159"/>
        <v>0.86</v>
      </c>
      <c r="K150" s="7" t="str">
        <f t="shared" si="6"/>
        <v>Low</v>
      </c>
      <c r="L150" s="7">
        <f t="shared" si="7"/>
        <v>1523052</v>
      </c>
      <c r="M150" s="7">
        <f t="shared" si="8"/>
        <v>1403678.58</v>
      </c>
      <c r="N150" s="7">
        <f t="shared" si="9"/>
        <v>1855200</v>
      </c>
      <c r="O150" s="7">
        <f t="shared" si="13"/>
        <v>1903754</v>
      </c>
      <c r="P150" s="7">
        <f t="shared" si="10"/>
        <v>42163.64</v>
      </c>
      <c r="Q150" s="7">
        <f t="shared" si="11"/>
        <v>0.19</v>
      </c>
    </row>
    <row r="151">
      <c r="A151" s="4" t="s">
        <v>457</v>
      </c>
      <c r="B151" s="4" t="s">
        <v>458</v>
      </c>
      <c r="C151" s="4" t="s">
        <v>459</v>
      </c>
      <c r="D151" s="5">
        <v>5165.0</v>
      </c>
      <c r="E151" s="7" t="str">
        <f t="shared" si="2"/>
        <v>F</v>
      </c>
      <c r="F151" s="7" t="str">
        <f t="shared" si="3"/>
        <v>B</v>
      </c>
      <c r="G151" s="7" t="str">
        <f t="shared" si="4"/>
        <v>Transformative change</v>
      </c>
      <c r="H151" s="7">
        <f t="shared" ref="H151:J151" si="160">ROUND(RAND(),2)</f>
        <v>0.37</v>
      </c>
      <c r="I151" s="7">
        <f t="shared" si="160"/>
        <v>0.58</v>
      </c>
      <c r="J151" s="7">
        <f t="shared" si="160"/>
        <v>0.58</v>
      </c>
      <c r="K151" s="7" t="str">
        <f t="shared" si="6"/>
        <v>Low</v>
      </c>
      <c r="L151" s="7">
        <f t="shared" si="7"/>
        <v>605662</v>
      </c>
      <c r="M151" s="7">
        <f t="shared" si="8"/>
        <v>127677.2838</v>
      </c>
      <c r="N151" s="7">
        <f t="shared" si="9"/>
        <v>56815</v>
      </c>
      <c r="O151" s="7">
        <f t="shared" si="13"/>
        <v>59426</v>
      </c>
      <c r="P151" s="7">
        <f t="shared" si="10"/>
        <v>158.7</v>
      </c>
      <c r="Q151" s="7">
        <f t="shared" si="11"/>
        <v>0.04</v>
      </c>
    </row>
    <row r="152">
      <c r="A152" s="4" t="s">
        <v>460</v>
      </c>
      <c r="B152" s="4" t="s">
        <v>461</v>
      </c>
      <c r="C152" s="4" t="s">
        <v>95</v>
      </c>
      <c r="D152" s="5">
        <v>18218.0</v>
      </c>
      <c r="E152" s="7" t="str">
        <f t="shared" si="2"/>
        <v>C</v>
      </c>
      <c r="F152" s="7" t="str">
        <f t="shared" si="3"/>
        <v>A</v>
      </c>
      <c r="G152" s="7" t="str">
        <f t="shared" si="4"/>
        <v>Transformative change</v>
      </c>
      <c r="H152" s="7">
        <f t="shared" ref="H152:J152" si="161">ROUND(RAND(),2)</f>
        <v>0.91</v>
      </c>
      <c r="I152" s="7">
        <f t="shared" si="161"/>
        <v>0.41</v>
      </c>
      <c r="J152" s="7">
        <f t="shared" si="161"/>
        <v>0.48</v>
      </c>
      <c r="K152" s="7" t="str">
        <f t="shared" si="6"/>
        <v>High</v>
      </c>
      <c r="L152" s="7">
        <f t="shared" si="7"/>
        <v>979322</v>
      </c>
      <c r="M152" s="7">
        <f t="shared" si="8"/>
        <v>93006.32407</v>
      </c>
      <c r="N152" s="7">
        <f t="shared" si="9"/>
        <v>218616</v>
      </c>
      <c r="O152" s="7">
        <f t="shared" si="13"/>
        <v>376330</v>
      </c>
      <c r="P152" s="7">
        <f t="shared" si="10"/>
        <v>989.21</v>
      </c>
      <c r="Q152" s="7">
        <f t="shared" si="11"/>
        <v>0.22</v>
      </c>
    </row>
    <row r="153">
      <c r="A153" s="4" t="s">
        <v>462</v>
      </c>
      <c r="B153" s="4" t="s">
        <v>463</v>
      </c>
      <c r="C153" s="4" t="s">
        <v>95</v>
      </c>
      <c r="D153" s="5">
        <v>5862.0</v>
      </c>
      <c r="E153" s="7" t="str">
        <f t="shared" si="2"/>
        <v>D</v>
      </c>
      <c r="F153" s="7" t="str">
        <f t="shared" si="3"/>
        <v>A</v>
      </c>
      <c r="G153" s="7" t="str">
        <f t="shared" si="4"/>
        <v>Transformative change</v>
      </c>
      <c r="H153" s="7">
        <f t="shared" ref="H153:J153" si="162">ROUND(RAND(),2)</f>
        <v>0.96</v>
      </c>
      <c r="I153" s="7">
        <f t="shared" si="162"/>
        <v>0.03</v>
      </c>
      <c r="J153" s="7">
        <f t="shared" si="162"/>
        <v>0.08</v>
      </c>
      <c r="K153" s="7" t="str">
        <f t="shared" si="6"/>
        <v>High</v>
      </c>
      <c r="L153" s="7">
        <f t="shared" si="7"/>
        <v>2175241</v>
      </c>
      <c r="M153" s="7">
        <f t="shared" si="8"/>
        <v>1515244.401</v>
      </c>
      <c r="N153" s="7">
        <f t="shared" si="9"/>
        <v>35172</v>
      </c>
      <c r="O153" s="7">
        <f t="shared" si="13"/>
        <v>233479</v>
      </c>
      <c r="P153" s="7">
        <f t="shared" si="10"/>
        <v>839</v>
      </c>
      <c r="Q153" s="7">
        <f t="shared" si="11"/>
        <v>0.13</v>
      </c>
    </row>
    <row r="154">
      <c r="A154" s="4" t="s">
        <v>464</v>
      </c>
      <c r="B154" s="4" t="s">
        <v>465</v>
      </c>
      <c r="C154" s="4" t="s">
        <v>95</v>
      </c>
      <c r="D154" s="5">
        <v>93321.0</v>
      </c>
      <c r="E154" s="7" t="str">
        <f t="shared" si="2"/>
        <v>B</v>
      </c>
      <c r="F154" s="7" t="str">
        <f t="shared" si="3"/>
        <v>C</v>
      </c>
      <c r="G154" s="7" t="str">
        <f t="shared" si="4"/>
        <v>Transformative change</v>
      </c>
      <c r="H154" s="7">
        <f t="shared" ref="H154:J154" si="163">ROUND(RAND(),2)</f>
        <v>0.72</v>
      </c>
      <c r="I154" s="7">
        <f t="shared" si="163"/>
        <v>0.04</v>
      </c>
      <c r="J154" s="7">
        <f t="shared" si="163"/>
        <v>0.31</v>
      </c>
      <c r="K154" s="7" t="str">
        <f t="shared" si="6"/>
        <v>High</v>
      </c>
      <c r="L154" s="7">
        <f t="shared" si="7"/>
        <v>1390954</v>
      </c>
      <c r="M154" s="7">
        <f t="shared" si="8"/>
        <v>519252.9796</v>
      </c>
      <c r="N154" s="7">
        <f t="shared" si="9"/>
        <v>933210</v>
      </c>
      <c r="O154" s="7">
        <f t="shared" si="13"/>
        <v>1107755</v>
      </c>
      <c r="P154" s="7">
        <f t="shared" si="10"/>
        <v>4422.8</v>
      </c>
      <c r="Q154" s="7">
        <f t="shared" si="11"/>
        <v>0.02</v>
      </c>
    </row>
    <row r="155">
      <c r="A155" s="4" t="s">
        <v>466</v>
      </c>
      <c r="B155" s="4" t="s">
        <v>467</v>
      </c>
      <c r="C155" s="4" t="s">
        <v>468</v>
      </c>
      <c r="D155" s="5">
        <v>15811.0</v>
      </c>
      <c r="E155" s="7" t="str">
        <f t="shared" si="2"/>
        <v>B</v>
      </c>
      <c r="F155" s="7" t="str">
        <f t="shared" si="3"/>
        <v>C</v>
      </c>
      <c r="G155" s="7" t="str">
        <f t="shared" si="4"/>
        <v>High ambition</v>
      </c>
      <c r="H155" s="7">
        <f t="shared" ref="H155:J155" si="164">ROUND(RAND(),2)</f>
        <v>0.13</v>
      </c>
      <c r="I155" s="7">
        <f t="shared" si="164"/>
        <v>0.06</v>
      </c>
      <c r="J155" s="7">
        <f t="shared" si="164"/>
        <v>0.19</v>
      </c>
      <c r="K155" s="7" t="str">
        <f t="shared" si="6"/>
        <v>High</v>
      </c>
      <c r="L155" s="7">
        <f t="shared" si="7"/>
        <v>3512597</v>
      </c>
      <c r="M155" s="7">
        <f t="shared" si="8"/>
        <v>1944945.697</v>
      </c>
      <c r="N155" s="7">
        <f t="shared" si="9"/>
        <v>173921</v>
      </c>
      <c r="O155" s="7">
        <f t="shared" si="13"/>
        <v>193019</v>
      </c>
      <c r="P155" s="7">
        <f t="shared" si="10"/>
        <v>845</v>
      </c>
      <c r="Q155" s="7">
        <f t="shared" si="11"/>
        <v>0.25</v>
      </c>
    </row>
    <row r="156">
      <c r="A156" s="4" t="s">
        <v>469</v>
      </c>
      <c r="B156" s="4" t="s">
        <v>470</v>
      </c>
      <c r="C156" s="4" t="s">
        <v>471</v>
      </c>
      <c r="D156" s="5">
        <v>237720.0</v>
      </c>
      <c r="E156" s="7" t="str">
        <f t="shared" si="2"/>
        <v>G</v>
      </c>
      <c r="F156" s="7" t="str">
        <f t="shared" si="3"/>
        <v>B</v>
      </c>
      <c r="G156" s="7" t="str">
        <f t="shared" si="4"/>
        <v>Transformative change</v>
      </c>
      <c r="H156" s="7">
        <f t="shared" ref="H156:J156" si="165">ROUND(RAND(),2)</f>
        <v>0.14</v>
      </c>
      <c r="I156" s="7">
        <f t="shared" si="165"/>
        <v>0.67</v>
      </c>
      <c r="J156" s="7">
        <f t="shared" si="165"/>
        <v>0.53</v>
      </c>
      <c r="K156" s="7" t="str">
        <f t="shared" si="6"/>
        <v>Medium</v>
      </c>
      <c r="L156" s="7">
        <f t="shared" si="7"/>
        <v>2683606</v>
      </c>
      <c r="M156" s="7">
        <f t="shared" si="8"/>
        <v>976711.9228</v>
      </c>
      <c r="N156" s="7">
        <f t="shared" si="9"/>
        <v>2139480</v>
      </c>
      <c r="O156" s="7">
        <f t="shared" si="13"/>
        <v>2281844</v>
      </c>
      <c r="P156" s="7">
        <f t="shared" si="10"/>
        <v>7084.37</v>
      </c>
      <c r="Q156" s="7">
        <f t="shared" si="11"/>
        <v>0.21</v>
      </c>
    </row>
    <row r="157">
      <c r="A157" s="4" t="s">
        <v>472</v>
      </c>
      <c r="B157" s="4" t="s">
        <v>473</v>
      </c>
      <c r="C157" s="4" t="s">
        <v>474</v>
      </c>
      <c r="D157" s="5">
        <v>10402.0</v>
      </c>
      <c r="E157" s="7" t="str">
        <f t="shared" si="2"/>
        <v>D</v>
      </c>
      <c r="F157" s="7" t="str">
        <f t="shared" si="3"/>
        <v>B</v>
      </c>
      <c r="G157" s="7" t="str">
        <f t="shared" si="4"/>
        <v>Transformative change</v>
      </c>
      <c r="H157" s="7">
        <f t="shared" ref="H157:J157" si="166">ROUND(RAND(),2)</f>
        <v>0.43</v>
      </c>
      <c r="I157" s="7">
        <f t="shared" si="166"/>
        <v>0.91</v>
      </c>
      <c r="J157" s="7">
        <f t="shared" si="166"/>
        <v>0.85</v>
      </c>
      <c r="K157" s="7" t="str">
        <f t="shared" si="6"/>
        <v>Low</v>
      </c>
      <c r="L157" s="7">
        <f t="shared" si="7"/>
        <v>1326732</v>
      </c>
      <c r="M157" s="7">
        <f t="shared" si="8"/>
        <v>720353.776</v>
      </c>
      <c r="N157" s="7">
        <f t="shared" si="9"/>
        <v>135226</v>
      </c>
      <c r="O157" s="7">
        <f t="shared" si="13"/>
        <v>268210</v>
      </c>
      <c r="P157" s="7">
        <f t="shared" si="10"/>
        <v>909</v>
      </c>
      <c r="Q157" s="7">
        <f t="shared" si="11"/>
        <v>0.17</v>
      </c>
    </row>
    <row r="158">
      <c r="A158" s="4" t="s">
        <v>475</v>
      </c>
      <c r="B158" s="4" t="s">
        <v>442</v>
      </c>
      <c r="C158" s="4" t="s">
        <v>476</v>
      </c>
      <c r="D158" s="5">
        <v>7333.0</v>
      </c>
      <c r="E158" s="7" t="str">
        <f t="shared" si="2"/>
        <v>E</v>
      </c>
      <c r="F158" s="7" t="str">
        <f t="shared" si="3"/>
        <v>A</v>
      </c>
      <c r="G158" s="7" t="str">
        <f t="shared" si="4"/>
        <v>Transformative change</v>
      </c>
      <c r="H158" s="7">
        <f t="shared" ref="H158:J158" si="167">ROUND(RAND(),2)</f>
        <v>0.78</v>
      </c>
      <c r="I158" s="7">
        <f t="shared" si="167"/>
        <v>0.71</v>
      </c>
      <c r="J158" s="7">
        <f t="shared" si="167"/>
        <v>0.71</v>
      </c>
      <c r="K158" s="7" t="str">
        <f t="shared" si="6"/>
        <v>High</v>
      </c>
      <c r="L158" s="7">
        <f t="shared" si="7"/>
        <v>552010</v>
      </c>
      <c r="M158" s="7">
        <f t="shared" si="8"/>
        <v>86660.46142</v>
      </c>
      <c r="N158" s="7">
        <f t="shared" si="9"/>
        <v>36665</v>
      </c>
      <c r="O158" s="7">
        <f t="shared" si="13"/>
        <v>86437</v>
      </c>
      <c r="P158" s="7">
        <f t="shared" si="10"/>
        <v>894</v>
      </c>
      <c r="Q158" s="7">
        <f t="shared" si="11"/>
        <v>0.02</v>
      </c>
    </row>
    <row r="159">
      <c r="A159" s="4" t="s">
        <v>477</v>
      </c>
      <c r="B159" s="4" t="s">
        <v>478</v>
      </c>
      <c r="C159" s="4" t="s">
        <v>479</v>
      </c>
      <c r="D159" s="5">
        <v>12089.0</v>
      </c>
      <c r="E159" s="7" t="str">
        <f t="shared" si="2"/>
        <v>A</v>
      </c>
      <c r="F159" s="7" t="str">
        <f t="shared" si="3"/>
        <v>B</v>
      </c>
      <c r="G159" s="7" t="str">
        <f t="shared" si="4"/>
        <v>High ambition</v>
      </c>
      <c r="H159" s="7">
        <f t="shared" ref="H159:J159" si="168">ROUND(RAND(),2)</f>
        <v>0.34</v>
      </c>
      <c r="I159" s="7">
        <f t="shared" si="168"/>
        <v>0.55</v>
      </c>
      <c r="J159" s="7">
        <f t="shared" si="168"/>
        <v>0.76</v>
      </c>
      <c r="K159" s="7" t="str">
        <f t="shared" si="6"/>
        <v>Low</v>
      </c>
      <c r="L159" s="7">
        <f t="shared" si="7"/>
        <v>2666142</v>
      </c>
      <c r="M159" s="7">
        <f t="shared" si="8"/>
        <v>761740.3175</v>
      </c>
      <c r="N159" s="7">
        <f t="shared" si="9"/>
        <v>48356</v>
      </c>
      <c r="O159" s="7">
        <f t="shared" si="13"/>
        <v>145687</v>
      </c>
      <c r="P159" s="7">
        <f t="shared" si="10"/>
        <v>963</v>
      </c>
      <c r="Q159" s="7">
        <f t="shared" si="11"/>
        <v>0.27</v>
      </c>
    </row>
    <row r="160">
      <c r="A160" s="4" t="s">
        <v>480</v>
      </c>
      <c r="B160" s="4" t="s">
        <v>481</v>
      </c>
      <c r="C160" s="4" t="s">
        <v>482</v>
      </c>
      <c r="D160" s="5">
        <v>19954.0</v>
      </c>
      <c r="E160" s="7" t="str">
        <f t="shared" si="2"/>
        <v>G</v>
      </c>
      <c r="F160" s="7" t="str">
        <f t="shared" si="3"/>
        <v>C</v>
      </c>
      <c r="G160" s="7" t="str">
        <f t="shared" si="4"/>
        <v>Transformative change</v>
      </c>
      <c r="H160" s="7">
        <f t="shared" ref="H160:J160" si="169">ROUND(RAND(),2)</f>
        <v>0.7</v>
      </c>
      <c r="I160" s="7">
        <f t="shared" si="169"/>
        <v>0.26</v>
      </c>
      <c r="J160" s="7">
        <f t="shared" si="169"/>
        <v>0.54</v>
      </c>
      <c r="K160" s="7" t="str">
        <f t="shared" si="6"/>
        <v>Medium</v>
      </c>
      <c r="L160" s="7">
        <f t="shared" si="7"/>
        <v>712865</v>
      </c>
      <c r="M160" s="7">
        <f t="shared" si="8"/>
        <v>211490.0052</v>
      </c>
      <c r="N160" s="7">
        <f t="shared" si="9"/>
        <v>199540</v>
      </c>
      <c r="O160" s="7">
        <f t="shared" si="13"/>
        <v>295711</v>
      </c>
      <c r="P160" s="7">
        <f t="shared" si="10"/>
        <v>1024</v>
      </c>
      <c r="Q160" s="7">
        <f t="shared" si="11"/>
        <v>0.09</v>
      </c>
    </row>
    <row r="161">
      <c r="A161" s="4" t="s">
        <v>483</v>
      </c>
      <c r="B161" s="4" t="s">
        <v>484</v>
      </c>
      <c r="C161" s="4" t="s">
        <v>95</v>
      </c>
      <c r="D161" s="5">
        <v>35707.0</v>
      </c>
      <c r="E161" s="7" t="str">
        <f t="shared" si="2"/>
        <v>A</v>
      </c>
      <c r="F161" s="7" t="str">
        <f t="shared" si="3"/>
        <v>C</v>
      </c>
      <c r="G161" s="7" t="str">
        <f t="shared" si="4"/>
        <v>Transformative change</v>
      </c>
      <c r="H161" s="7">
        <f t="shared" ref="H161:J161" si="170">ROUND(RAND(),2)</f>
        <v>0.74</v>
      </c>
      <c r="I161" s="7">
        <f t="shared" si="170"/>
        <v>0.22</v>
      </c>
      <c r="J161" s="7">
        <f t="shared" si="170"/>
        <v>0.79</v>
      </c>
      <c r="K161" s="7" t="str">
        <f t="shared" si="6"/>
        <v>Medium</v>
      </c>
      <c r="L161" s="7">
        <f t="shared" si="7"/>
        <v>1199361</v>
      </c>
      <c r="M161" s="7">
        <f t="shared" si="8"/>
        <v>738627.1292</v>
      </c>
      <c r="N161" s="7">
        <f t="shared" si="9"/>
        <v>499898</v>
      </c>
      <c r="O161" s="7">
        <f t="shared" si="13"/>
        <v>641422</v>
      </c>
      <c r="P161" s="7">
        <f t="shared" si="10"/>
        <v>2872.98</v>
      </c>
      <c r="Q161" s="7">
        <f t="shared" si="11"/>
        <v>0.18</v>
      </c>
    </row>
    <row r="162">
      <c r="A162" s="4" t="s">
        <v>485</v>
      </c>
      <c r="B162" s="4" t="s">
        <v>486</v>
      </c>
      <c r="C162" s="4" t="s">
        <v>487</v>
      </c>
      <c r="D162" s="5">
        <v>17939.0</v>
      </c>
      <c r="E162" s="7" t="str">
        <f t="shared" si="2"/>
        <v>A</v>
      </c>
      <c r="F162" s="7" t="str">
        <f t="shared" si="3"/>
        <v>B</v>
      </c>
      <c r="G162" s="7" t="str">
        <f t="shared" si="4"/>
        <v>Transformative change</v>
      </c>
      <c r="H162" s="7">
        <f t="shared" ref="H162:J162" si="171">ROUND(RAND(),2)</f>
        <v>0.37</v>
      </c>
      <c r="I162" s="7">
        <f t="shared" si="171"/>
        <v>0.68</v>
      </c>
      <c r="J162" s="7">
        <f t="shared" si="171"/>
        <v>0.86</v>
      </c>
      <c r="K162" s="7" t="str">
        <f t="shared" si="6"/>
        <v>Low</v>
      </c>
      <c r="L162" s="7">
        <f t="shared" si="7"/>
        <v>3636063</v>
      </c>
      <c r="M162" s="7">
        <f t="shared" si="8"/>
        <v>970995.613</v>
      </c>
      <c r="N162" s="7">
        <f t="shared" si="9"/>
        <v>89695</v>
      </c>
      <c r="O162" s="7">
        <f t="shared" si="13"/>
        <v>210391</v>
      </c>
      <c r="P162" s="7">
        <f t="shared" si="10"/>
        <v>939</v>
      </c>
      <c r="Q162" s="7">
        <f t="shared" si="11"/>
        <v>0.23</v>
      </c>
    </row>
    <row r="163">
      <c r="A163" s="4" t="s">
        <v>488</v>
      </c>
      <c r="B163" s="4" t="s">
        <v>489</v>
      </c>
      <c r="C163" s="4" t="s">
        <v>490</v>
      </c>
      <c r="D163" s="5">
        <v>18553.0</v>
      </c>
      <c r="E163" s="7" t="str">
        <f t="shared" si="2"/>
        <v>F</v>
      </c>
      <c r="F163" s="7" t="str">
        <f t="shared" si="3"/>
        <v>B</v>
      </c>
      <c r="G163" s="7" t="str">
        <f t="shared" si="4"/>
        <v>Transformative change</v>
      </c>
      <c r="H163" s="7">
        <f t="shared" ref="H163:J163" si="172">ROUND(RAND(),2)</f>
        <v>0.79</v>
      </c>
      <c r="I163" s="7">
        <f t="shared" si="172"/>
        <v>0.57</v>
      </c>
      <c r="J163" s="7">
        <f t="shared" si="172"/>
        <v>0.5</v>
      </c>
      <c r="K163" s="7" t="str">
        <f t="shared" si="6"/>
        <v>High</v>
      </c>
      <c r="L163" s="7">
        <f t="shared" si="7"/>
        <v>3677733</v>
      </c>
      <c r="M163" s="7">
        <f t="shared" si="8"/>
        <v>2017352.79</v>
      </c>
      <c r="N163" s="7">
        <f t="shared" si="9"/>
        <v>111318</v>
      </c>
      <c r="O163" s="7">
        <f t="shared" si="13"/>
        <v>150393</v>
      </c>
      <c r="P163" s="7">
        <f t="shared" si="10"/>
        <v>643.46</v>
      </c>
      <c r="Q163" s="7">
        <f t="shared" si="11"/>
        <v>0.09</v>
      </c>
    </row>
    <row r="164">
      <c r="A164" s="4" t="s">
        <v>491</v>
      </c>
      <c r="B164" s="4" t="s">
        <v>492</v>
      </c>
      <c r="C164" s="4" t="s">
        <v>493</v>
      </c>
      <c r="D164" s="5">
        <v>5689.0</v>
      </c>
      <c r="E164" s="7" t="str">
        <f t="shared" si="2"/>
        <v>F</v>
      </c>
      <c r="F164" s="7" t="str">
        <f t="shared" si="3"/>
        <v>A</v>
      </c>
      <c r="G164" s="7" t="str">
        <f t="shared" si="4"/>
        <v>Transformative change</v>
      </c>
      <c r="H164" s="7">
        <f t="shared" ref="H164:J164" si="173">ROUND(RAND(),2)</f>
        <v>0.15</v>
      </c>
      <c r="I164" s="7">
        <f t="shared" si="173"/>
        <v>0.33</v>
      </c>
      <c r="J164" s="7">
        <f t="shared" si="173"/>
        <v>0.03</v>
      </c>
      <c r="K164" s="7" t="str">
        <f t="shared" si="6"/>
        <v>Medium</v>
      </c>
      <c r="L164" s="7">
        <f t="shared" si="7"/>
        <v>3739030</v>
      </c>
      <c r="M164" s="7">
        <f t="shared" si="8"/>
        <v>1362139.459</v>
      </c>
      <c r="N164" s="7">
        <f t="shared" si="9"/>
        <v>79646</v>
      </c>
      <c r="O164" s="7">
        <f t="shared" si="13"/>
        <v>201859</v>
      </c>
      <c r="P164" s="7">
        <f t="shared" si="10"/>
        <v>1007</v>
      </c>
      <c r="Q164" s="7">
        <f t="shared" si="11"/>
        <v>0.22</v>
      </c>
    </row>
    <row r="165">
      <c r="A165" s="4" t="s">
        <v>494</v>
      </c>
      <c r="B165" s="4" t="s">
        <v>495</v>
      </c>
      <c r="C165" s="4" t="s">
        <v>496</v>
      </c>
      <c r="D165" s="5">
        <v>17786.0</v>
      </c>
      <c r="E165" s="7" t="str">
        <f t="shared" si="2"/>
        <v>E</v>
      </c>
      <c r="F165" s="7" t="str">
        <f t="shared" si="3"/>
        <v>C</v>
      </c>
      <c r="G165" s="7" t="str">
        <f t="shared" si="4"/>
        <v>High ambition</v>
      </c>
      <c r="H165" s="7">
        <f t="shared" ref="H165:J165" si="174">ROUND(RAND(),2)</f>
        <v>0.85</v>
      </c>
      <c r="I165" s="7">
        <f t="shared" si="174"/>
        <v>0.55</v>
      </c>
      <c r="J165" s="7">
        <f t="shared" si="174"/>
        <v>0.66</v>
      </c>
      <c r="K165" s="7" t="str">
        <f t="shared" si="6"/>
        <v>Low</v>
      </c>
      <c r="L165" s="7">
        <f t="shared" si="7"/>
        <v>2430622</v>
      </c>
      <c r="M165" s="7">
        <f t="shared" si="8"/>
        <v>433647.3347</v>
      </c>
      <c r="N165" s="7">
        <f t="shared" si="9"/>
        <v>195646</v>
      </c>
      <c r="O165" s="7">
        <f t="shared" si="13"/>
        <v>347411</v>
      </c>
      <c r="P165" s="7">
        <f t="shared" si="10"/>
        <v>552.67</v>
      </c>
      <c r="Q165" s="7">
        <f t="shared" si="11"/>
        <v>0.18</v>
      </c>
    </row>
    <row r="166">
      <c r="A166" s="4" t="s">
        <v>497</v>
      </c>
      <c r="B166" s="4" t="s">
        <v>498</v>
      </c>
      <c r="C166" s="4" t="s">
        <v>499</v>
      </c>
      <c r="D166" s="5">
        <v>7582.0</v>
      </c>
      <c r="E166" s="7" t="str">
        <f t="shared" si="2"/>
        <v>C</v>
      </c>
      <c r="F166" s="7" t="str">
        <f t="shared" si="3"/>
        <v>A</v>
      </c>
      <c r="G166" s="7" t="str">
        <f t="shared" si="4"/>
        <v>Transformative change</v>
      </c>
      <c r="H166" s="7">
        <f t="shared" ref="H166:J166" si="175">ROUND(RAND(),2)</f>
        <v>0.64</v>
      </c>
      <c r="I166" s="7">
        <f t="shared" si="175"/>
        <v>0.34</v>
      </c>
      <c r="J166" s="7">
        <f t="shared" si="175"/>
        <v>0.84</v>
      </c>
      <c r="K166" s="7" t="str">
        <f t="shared" si="6"/>
        <v>Low</v>
      </c>
      <c r="L166" s="7">
        <f t="shared" si="7"/>
        <v>580189</v>
      </c>
      <c r="M166" s="7">
        <f t="shared" si="8"/>
        <v>424693.1069</v>
      </c>
      <c r="N166" s="7">
        <f t="shared" si="9"/>
        <v>113730</v>
      </c>
      <c r="O166" s="7">
        <f t="shared" si="13"/>
        <v>151924</v>
      </c>
      <c r="P166" s="7">
        <f t="shared" si="10"/>
        <v>577.31</v>
      </c>
      <c r="Q166" s="7">
        <f t="shared" si="11"/>
        <v>0.29</v>
      </c>
    </row>
    <row r="167">
      <c r="A167" s="4" t="s">
        <v>500</v>
      </c>
      <c r="B167" s="4" t="s">
        <v>501</v>
      </c>
      <c r="C167" s="4" t="s">
        <v>502</v>
      </c>
      <c r="D167" s="5">
        <v>17095.0</v>
      </c>
      <c r="E167" s="7" t="str">
        <f t="shared" si="2"/>
        <v>B</v>
      </c>
      <c r="F167" s="7" t="str">
        <f t="shared" si="3"/>
        <v>B</v>
      </c>
      <c r="G167" s="7" t="str">
        <f t="shared" si="4"/>
        <v>Transformative change</v>
      </c>
      <c r="H167" s="7">
        <f t="shared" ref="H167:J167" si="176">ROUND(RAND(),2)</f>
        <v>0.05</v>
      </c>
      <c r="I167" s="7">
        <f t="shared" si="176"/>
        <v>0.69</v>
      </c>
      <c r="J167" s="7">
        <f t="shared" si="176"/>
        <v>0.86</v>
      </c>
      <c r="K167" s="7" t="str">
        <f t="shared" si="6"/>
        <v>Low</v>
      </c>
      <c r="L167" s="7">
        <f t="shared" si="7"/>
        <v>3850152</v>
      </c>
      <c r="M167" s="7">
        <f t="shared" si="8"/>
        <v>1521280.059</v>
      </c>
      <c r="N167" s="7">
        <f t="shared" si="9"/>
        <v>170950</v>
      </c>
      <c r="O167" s="7">
        <f t="shared" si="13"/>
        <v>253487</v>
      </c>
      <c r="P167" s="7">
        <f t="shared" si="10"/>
        <v>882</v>
      </c>
      <c r="Q167" s="7">
        <f t="shared" si="11"/>
        <v>0.28</v>
      </c>
    </row>
    <row r="168">
      <c r="A168" s="4" t="s">
        <v>503</v>
      </c>
      <c r="B168" s="4" t="s">
        <v>504</v>
      </c>
      <c r="C168" s="4" t="s">
        <v>505</v>
      </c>
      <c r="D168" s="5">
        <v>13864.0</v>
      </c>
      <c r="E168" s="7" t="str">
        <f t="shared" si="2"/>
        <v>B</v>
      </c>
      <c r="F168" s="7" t="str">
        <f t="shared" si="3"/>
        <v>C</v>
      </c>
      <c r="G168" s="7" t="str">
        <f t="shared" si="4"/>
        <v>Transformative change</v>
      </c>
      <c r="H168" s="7">
        <f t="shared" ref="H168:J168" si="177">ROUND(RAND(),2)</f>
        <v>0.48</v>
      </c>
      <c r="I168" s="7">
        <f t="shared" si="177"/>
        <v>0.27</v>
      </c>
      <c r="J168" s="7">
        <f t="shared" si="177"/>
        <v>0.35</v>
      </c>
      <c r="K168" s="7" t="str">
        <f t="shared" si="6"/>
        <v>Low</v>
      </c>
      <c r="L168" s="7">
        <f t="shared" si="7"/>
        <v>239997</v>
      </c>
      <c r="M168" s="7">
        <f t="shared" si="8"/>
        <v>199674.2996</v>
      </c>
      <c r="N168" s="7">
        <f t="shared" si="9"/>
        <v>207960</v>
      </c>
      <c r="O168" s="7">
        <f t="shared" si="13"/>
        <v>382085</v>
      </c>
      <c r="P168" s="7">
        <f t="shared" si="10"/>
        <v>1000</v>
      </c>
      <c r="Q168" s="7">
        <f t="shared" si="11"/>
        <v>0.16</v>
      </c>
    </row>
    <row r="169">
      <c r="A169" s="4" t="s">
        <v>506</v>
      </c>
      <c r="B169" s="4" t="s">
        <v>507</v>
      </c>
      <c r="C169" s="4" t="s">
        <v>508</v>
      </c>
      <c r="D169" s="5">
        <v>496131.0</v>
      </c>
      <c r="E169" s="7" t="str">
        <f t="shared" si="2"/>
        <v>G</v>
      </c>
      <c r="F169" s="7" t="str">
        <f t="shared" si="3"/>
        <v>A</v>
      </c>
      <c r="G169" s="7" t="str">
        <f t="shared" si="4"/>
        <v>Transformative change</v>
      </c>
      <c r="H169" s="7">
        <f t="shared" ref="H169:J169" si="178">ROUND(RAND(),2)</f>
        <v>0.59</v>
      </c>
      <c r="I169" s="7">
        <f t="shared" si="178"/>
        <v>0.89</v>
      </c>
      <c r="J169" s="7">
        <f t="shared" si="178"/>
        <v>0.15</v>
      </c>
      <c r="K169" s="7" t="str">
        <f t="shared" si="6"/>
        <v>Low</v>
      </c>
      <c r="L169" s="7">
        <f t="shared" si="7"/>
        <v>2690624</v>
      </c>
      <c r="M169" s="7">
        <f t="shared" si="8"/>
        <v>2617251.683</v>
      </c>
      <c r="N169" s="7">
        <f t="shared" si="9"/>
        <v>4961310</v>
      </c>
      <c r="O169" s="7">
        <f t="shared" si="13"/>
        <v>5110484</v>
      </c>
      <c r="P169" s="7">
        <f t="shared" si="10"/>
        <v>12721.31</v>
      </c>
      <c r="Q169" s="7">
        <f t="shared" si="11"/>
        <v>0.03</v>
      </c>
    </row>
    <row r="170">
      <c r="A170" s="4" t="s">
        <v>509</v>
      </c>
      <c r="B170" s="4" t="s">
        <v>510</v>
      </c>
      <c r="C170" s="4" t="s">
        <v>511</v>
      </c>
      <c r="D170" s="5">
        <v>18265.0</v>
      </c>
      <c r="E170" s="7" t="str">
        <f t="shared" si="2"/>
        <v>C</v>
      </c>
      <c r="F170" s="7" t="str">
        <f t="shared" si="3"/>
        <v>B</v>
      </c>
      <c r="G170" s="7" t="str">
        <f t="shared" si="4"/>
        <v>High ambition</v>
      </c>
      <c r="H170" s="7">
        <f t="shared" ref="H170:J170" si="179">ROUND(RAND(),2)</f>
        <v>0.25</v>
      </c>
      <c r="I170" s="7">
        <f t="shared" si="179"/>
        <v>0.82</v>
      </c>
      <c r="J170" s="7">
        <f t="shared" si="179"/>
        <v>0.75</v>
      </c>
      <c r="K170" s="7" t="str">
        <f t="shared" si="6"/>
        <v>High</v>
      </c>
      <c r="L170" s="7">
        <f t="shared" si="7"/>
        <v>751717</v>
      </c>
      <c r="M170" s="7">
        <f t="shared" si="8"/>
        <v>537605.9283</v>
      </c>
      <c r="N170" s="7">
        <f t="shared" si="9"/>
        <v>237445</v>
      </c>
      <c r="O170" s="7">
        <f t="shared" si="13"/>
        <v>389048</v>
      </c>
      <c r="P170" s="7">
        <f t="shared" si="10"/>
        <v>815.96</v>
      </c>
      <c r="Q170" s="7">
        <f t="shared" si="11"/>
        <v>0.21</v>
      </c>
    </row>
    <row r="171">
      <c r="A171" s="4" t="s">
        <v>512</v>
      </c>
      <c r="B171" s="4" t="s">
        <v>513</v>
      </c>
      <c r="C171" s="4" t="s">
        <v>514</v>
      </c>
      <c r="D171" s="5">
        <v>10827.0</v>
      </c>
      <c r="E171" s="7" t="str">
        <f t="shared" si="2"/>
        <v>B</v>
      </c>
      <c r="F171" s="7" t="str">
        <f t="shared" si="3"/>
        <v>C</v>
      </c>
      <c r="G171" s="7" t="str">
        <f t="shared" si="4"/>
        <v>Transformative change</v>
      </c>
      <c r="H171" s="7">
        <f t="shared" ref="H171:J171" si="180">ROUND(RAND(),2)</f>
        <v>0.94</v>
      </c>
      <c r="I171" s="7">
        <f t="shared" si="180"/>
        <v>0.28</v>
      </c>
      <c r="J171" s="7">
        <f t="shared" si="180"/>
        <v>0.19</v>
      </c>
      <c r="K171" s="7" t="str">
        <f t="shared" si="6"/>
        <v>High</v>
      </c>
      <c r="L171" s="7">
        <f t="shared" si="7"/>
        <v>917106</v>
      </c>
      <c r="M171" s="7">
        <f t="shared" si="8"/>
        <v>323347.9167</v>
      </c>
      <c r="N171" s="7">
        <f t="shared" si="9"/>
        <v>151578</v>
      </c>
      <c r="O171" s="7">
        <f t="shared" si="13"/>
        <v>239760</v>
      </c>
      <c r="P171" s="7">
        <f t="shared" si="10"/>
        <v>914</v>
      </c>
      <c r="Q171" s="7">
        <f t="shared" si="11"/>
        <v>0.23</v>
      </c>
    </row>
    <row r="172">
      <c r="A172" s="4" t="s">
        <v>515</v>
      </c>
      <c r="B172" s="4" t="s">
        <v>516</v>
      </c>
      <c r="C172" s="4" t="s">
        <v>517</v>
      </c>
      <c r="D172" s="5">
        <v>6929.0</v>
      </c>
      <c r="E172" s="7" t="str">
        <f t="shared" si="2"/>
        <v>B</v>
      </c>
      <c r="F172" s="7" t="str">
        <f t="shared" si="3"/>
        <v>B</v>
      </c>
      <c r="G172" s="7" t="str">
        <f t="shared" si="4"/>
        <v>Transformative change</v>
      </c>
      <c r="H172" s="7">
        <f t="shared" ref="H172:J172" si="181">ROUND(RAND(),2)</f>
        <v>0.81</v>
      </c>
      <c r="I172" s="7">
        <f t="shared" si="181"/>
        <v>0.77</v>
      </c>
      <c r="J172" s="7">
        <f t="shared" si="181"/>
        <v>0.17</v>
      </c>
      <c r="K172" s="7" t="str">
        <f t="shared" si="6"/>
        <v>High</v>
      </c>
      <c r="L172" s="7">
        <f t="shared" si="7"/>
        <v>2179077</v>
      </c>
      <c r="M172" s="7">
        <f t="shared" si="8"/>
        <v>305529.4729</v>
      </c>
      <c r="N172" s="7">
        <f t="shared" si="9"/>
        <v>62361</v>
      </c>
      <c r="O172" s="7">
        <f t="shared" si="13"/>
        <v>153792</v>
      </c>
      <c r="P172" s="7">
        <f t="shared" si="10"/>
        <v>1015</v>
      </c>
      <c r="Q172" s="7">
        <f t="shared" si="11"/>
        <v>0.09</v>
      </c>
    </row>
    <row r="173">
      <c r="A173" s="4" t="s">
        <v>518</v>
      </c>
      <c r="B173" s="4" t="s">
        <v>519</v>
      </c>
      <c r="C173" s="4" t="s">
        <v>520</v>
      </c>
      <c r="D173" s="5">
        <v>12685.0</v>
      </c>
      <c r="E173" s="7" t="str">
        <f t="shared" si="2"/>
        <v>B</v>
      </c>
      <c r="F173" s="7" t="str">
        <f t="shared" si="3"/>
        <v>C</v>
      </c>
      <c r="G173" s="7" t="str">
        <f t="shared" si="4"/>
        <v>Transformative change</v>
      </c>
      <c r="H173" s="7">
        <f t="shared" ref="H173:J173" si="182">ROUND(RAND(),2)</f>
        <v>1</v>
      </c>
      <c r="I173" s="7">
        <f t="shared" si="182"/>
        <v>0.86</v>
      </c>
      <c r="J173" s="7">
        <f t="shared" si="182"/>
        <v>0</v>
      </c>
      <c r="K173" s="7" t="str">
        <f t="shared" si="6"/>
        <v>Medium</v>
      </c>
      <c r="L173" s="7">
        <f t="shared" si="7"/>
        <v>3908276</v>
      </c>
      <c r="M173" s="7">
        <f t="shared" si="8"/>
        <v>1154485.419</v>
      </c>
      <c r="N173" s="7">
        <f t="shared" si="9"/>
        <v>76110</v>
      </c>
      <c r="O173" s="7">
        <f t="shared" si="13"/>
        <v>83087</v>
      </c>
      <c r="P173" s="7">
        <f t="shared" si="10"/>
        <v>1018</v>
      </c>
      <c r="Q173" s="7">
        <f t="shared" si="11"/>
        <v>0.2</v>
      </c>
    </row>
    <row r="174">
      <c r="A174" s="4" t="s">
        <v>521</v>
      </c>
      <c r="B174" s="4" t="s">
        <v>522</v>
      </c>
      <c r="C174" s="4" t="s">
        <v>95</v>
      </c>
      <c r="D174" s="5">
        <v>5961.0</v>
      </c>
      <c r="E174" s="7" t="str">
        <f t="shared" si="2"/>
        <v>D</v>
      </c>
      <c r="F174" s="7" t="str">
        <f t="shared" si="3"/>
        <v>C</v>
      </c>
      <c r="G174" s="7" t="str">
        <f t="shared" si="4"/>
        <v>Transformative change</v>
      </c>
      <c r="H174" s="7">
        <f t="shared" ref="H174:J174" si="183">ROUND(RAND(),2)</f>
        <v>0.53</v>
      </c>
      <c r="I174" s="7">
        <f t="shared" si="183"/>
        <v>0.2</v>
      </c>
      <c r="J174" s="7">
        <f t="shared" si="183"/>
        <v>0.92</v>
      </c>
      <c r="K174" s="7" t="str">
        <f t="shared" si="6"/>
        <v>Medium</v>
      </c>
      <c r="L174" s="7">
        <f t="shared" si="7"/>
        <v>1334130</v>
      </c>
      <c r="M174" s="7">
        <f t="shared" si="8"/>
        <v>1156965.57</v>
      </c>
      <c r="N174" s="7">
        <f t="shared" si="9"/>
        <v>59610</v>
      </c>
      <c r="O174" s="7">
        <f t="shared" si="13"/>
        <v>142423</v>
      </c>
      <c r="P174" s="7">
        <f t="shared" si="10"/>
        <v>866</v>
      </c>
      <c r="Q174" s="7">
        <f t="shared" si="11"/>
        <v>0.23</v>
      </c>
    </row>
    <row r="175">
      <c r="A175" s="4" t="s">
        <v>523</v>
      </c>
      <c r="B175" s="4" t="s">
        <v>478</v>
      </c>
      <c r="C175" s="4" t="s">
        <v>454</v>
      </c>
      <c r="D175" s="5">
        <v>15309.0</v>
      </c>
      <c r="E175" s="7" t="str">
        <f t="shared" si="2"/>
        <v>D</v>
      </c>
      <c r="F175" s="7" t="str">
        <f t="shared" si="3"/>
        <v>C</v>
      </c>
      <c r="G175" s="7" t="str">
        <f t="shared" si="4"/>
        <v>Transformative change</v>
      </c>
      <c r="H175" s="7">
        <f t="shared" ref="H175:J175" si="184">ROUND(RAND(),2)</f>
        <v>0.98</v>
      </c>
      <c r="I175" s="7">
        <f t="shared" si="184"/>
        <v>0.81</v>
      </c>
      <c r="J175" s="7">
        <f t="shared" si="184"/>
        <v>0.76</v>
      </c>
      <c r="K175" s="7" t="str">
        <f t="shared" si="6"/>
        <v>High</v>
      </c>
      <c r="L175" s="7">
        <f t="shared" si="7"/>
        <v>3810430</v>
      </c>
      <c r="M175" s="7">
        <f t="shared" si="8"/>
        <v>2014974.857</v>
      </c>
      <c r="N175" s="7">
        <f t="shared" si="9"/>
        <v>122472</v>
      </c>
      <c r="O175" s="7">
        <f t="shared" si="13"/>
        <v>148657</v>
      </c>
      <c r="P175" s="7">
        <f t="shared" si="10"/>
        <v>1289.18</v>
      </c>
      <c r="Q175" s="7">
        <f t="shared" si="11"/>
        <v>0.08</v>
      </c>
    </row>
    <row r="176">
      <c r="A176" s="4" t="s">
        <v>524</v>
      </c>
      <c r="B176" s="4" t="s">
        <v>525</v>
      </c>
      <c r="C176" s="4" t="s">
        <v>526</v>
      </c>
      <c r="D176" s="5">
        <v>536921.0</v>
      </c>
      <c r="E176" s="7" t="str">
        <f t="shared" si="2"/>
        <v>A</v>
      </c>
      <c r="F176" s="7" t="str">
        <f t="shared" si="3"/>
        <v>B</v>
      </c>
      <c r="G176" s="7" t="str">
        <f t="shared" si="4"/>
        <v>Transformative change</v>
      </c>
      <c r="H176" s="7">
        <f t="shared" ref="H176:J176" si="185">ROUND(RAND(),2)</f>
        <v>0.02</v>
      </c>
      <c r="I176" s="7">
        <f t="shared" si="185"/>
        <v>0.88</v>
      </c>
      <c r="J176" s="7">
        <f t="shared" si="185"/>
        <v>0.95</v>
      </c>
      <c r="K176" s="7" t="str">
        <f t="shared" si="6"/>
        <v>Medium</v>
      </c>
      <c r="L176" s="7">
        <f t="shared" si="7"/>
        <v>386144</v>
      </c>
      <c r="M176" s="7">
        <f t="shared" si="8"/>
        <v>125504.362</v>
      </c>
      <c r="N176" s="7">
        <f t="shared" si="9"/>
        <v>7516894</v>
      </c>
      <c r="O176" s="7">
        <f t="shared" si="13"/>
        <v>7591126</v>
      </c>
      <c r="P176" s="7">
        <f t="shared" si="10"/>
        <v>26655.65</v>
      </c>
      <c r="Q176" s="7">
        <f t="shared" si="11"/>
        <v>0.22</v>
      </c>
    </row>
    <row r="177">
      <c r="A177" s="4" t="s">
        <v>527</v>
      </c>
      <c r="B177" s="4" t="s">
        <v>528</v>
      </c>
      <c r="C177" s="4" t="s">
        <v>529</v>
      </c>
      <c r="D177" s="5">
        <v>16946.0</v>
      </c>
      <c r="E177" s="7" t="str">
        <f t="shared" si="2"/>
        <v>C</v>
      </c>
      <c r="F177" s="7" t="str">
        <f t="shared" si="3"/>
        <v>B</v>
      </c>
      <c r="G177" s="7" t="str">
        <f t="shared" si="4"/>
        <v>Transformative change</v>
      </c>
      <c r="H177" s="7">
        <f t="shared" ref="H177:J177" si="186">ROUND(RAND(),2)</f>
        <v>0.73</v>
      </c>
      <c r="I177" s="7">
        <f t="shared" si="186"/>
        <v>0.79</v>
      </c>
      <c r="J177" s="7">
        <f t="shared" si="186"/>
        <v>0.3</v>
      </c>
      <c r="K177" s="7" t="str">
        <f t="shared" si="6"/>
        <v>High</v>
      </c>
      <c r="L177" s="7">
        <f t="shared" si="7"/>
        <v>2552661</v>
      </c>
      <c r="M177" s="7">
        <f t="shared" si="8"/>
        <v>1429777.944</v>
      </c>
      <c r="N177" s="7">
        <f t="shared" si="9"/>
        <v>169460</v>
      </c>
      <c r="O177" s="7">
        <f t="shared" si="13"/>
        <v>297252</v>
      </c>
      <c r="P177" s="7">
        <f t="shared" si="10"/>
        <v>879</v>
      </c>
      <c r="Q177" s="7">
        <f t="shared" si="11"/>
        <v>0.29</v>
      </c>
    </row>
    <row r="178">
      <c r="A178" s="4" t="s">
        <v>530</v>
      </c>
      <c r="B178" s="4" t="s">
        <v>531</v>
      </c>
      <c r="C178" s="4" t="s">
        <v>532</v>
      </c>
      <c r="D178" s="5">
        <v>5096.0</v>
      </c>
      <c r="E178" s="7" t="str">
        <f t="shared" si="2"/>
        <v>E</v>
      </c>
      <c r="F178" s="7" t="str">
        <f t="shared" si="3"/>
        <v>C</v>
      </c>
      <c r="G178" s="7" t="str">
        <f t="shared" si="4"/>
        <v>Transformative change</v>
      </c>
      <c r="H178" s="7">
        <f t="shared" ref="H178:J178" si="187">ROUND(RAND(),2)</f>
        <v>0.83</v>
      </c>
      <c r="I178" s="7">
        <f t="shared" si="187"/>
        <v>0.73</v>
      </c>
      <c r="J178" s="7">
        <f t="shared" si="187"/>
        <v>0.79</v>
      </c>
      <c r="K178" s="7" t="str">
        <f t="shared" si="6"/>
        <v>Low</v>
      </c>
      <c r="L178" s="7">
        <f t="shared" si="7"/>
        <v>531013</v>
      </c>
      <c r="M178" s="7">
        <f t="shared" si="8"/>
        <v>168295.9953</v>
      </c>
      <c r="N178" s="7">
        <f t="shared" si="9"/>
        <v>76440</v>
      </c>
      <c r="O178" s="7">
        <f t="shared" si="13"/>
        <v>143148</v>
      </c>
      <c r="P178" s="7">
        <f t="shared" si="10"/>
        <v>933</v>
      </c>
      <c r="Q178" s="7">
        <f t="shared" si="11"/>
        <v>0.01</v>
      </c>
    </row>
    <row r="179">
      <c r="A179" s="4" t="s">
        <v>533</v>
      </c>
      <c r="B179" s="4" t="s">
        <v>534</v>
      </c>
      <c r="C179" s="4" t="s">
        <v>174</v>
      </c>
      <c r="D179" s="5">
        <v>7134.0</v>
      </c>
      <c r="E179" s="7" t="str">
        <f t="shared" si="2"/>
        <v>C</v>
      </c>
      <c r="F179" s="7" t="str">
        <f t="shared" si="3"/>
        <v>A</v>
      </c>
      <c r="G179" s="7" t="str">
        <f t="shared" si="4"/>
        <v>Transformative change</v>
      </c>
      <c r="H179" s="7">
        <f t="shared" ref="H179:J179" si="188">ROUND(RAND(),2)</f>
        <v>0.17</v>
      </c>
      <c r="I179" s="7">
        <f t="shared" si="188"/>
        <v>0.22</v>
      </c>
      <c r="J179" s="7">
        <f t="shared" si="188"/>
        <v>0.95</v>
      </c>
      <c r="K179" s="7" t="str">
        <f t="shared" si="6"/>
        <v>Low</v>
      </c>
      <c r="L179" s="7">
        <f t="shared" si="7"/>
        <v>827548</v>
      </c>
      <c r="M179" s="7">
        <f t="shared" si="8"/>
        <v>796277.458</v>
      </c>
      <c r="N179" s="7">
        <f t="shared" si="9"/>
        <v>42804</v>
      </c>
      <c r="O179" s="7">
        <f t="shared" si="13"/>
        <v>193773</v>
      </c>
      <c r="P179" s="7">
        <f t="shared" si="10"/>
        <v>923</v>
      </c>
      <c r="Q179" s="7">
        <f t="shared" si="11"/>
        <v>0.03</v>
      </c>
    </row>
    <row r="180">
      <c r="A180" s="4" t="s">
        <v>535</v>
      </c>
      <c r="B180" s="4" t="s">
        <v>536</v>
      </c>
      <c r="C180" s="4" t="s">
        <v>537</v>
      </c>
      <c r="D180" s="5">
        <v>18324.0</v>
      </c>
      <c r="E180" s="7" t="str">
        <f t="shared" si="2"/>
        <v>D</v>
      </c>
      <c r="F180" s="7" t="str">
        <f t="shared" si="3"/>
        <v>B</v>
      </c>
      <c r="G180" s="7" t="str">
        <f t="shared" si="4"/>
        <v>High ambition</v>
      </c>
      <c r="H180" s="7">
        <f t="shared" ref="H180:J180" si="189">ROUND(RAND(),2)</f>
        <v>0.35</v>
      </c>
      <c r="I180" s="7">
        <f t="shared" si="189"/>
        <v>0.86</v>
      </c>
      <c r="J180" s="7">
        <f t="shared" si="189"/>
        <v>0.04</v>
      </c>
      <c r="K180" s="7" t="str">
        <f t="shared" si="6"/>
        <v>Medium</v>
      </c>
      <c r="L180" s="7">
        <f t="shared" si="7"/>
        <v>110672</v>
      </c>
      <c r="M180" s="7">
        <f t="shared" si="8"/>
        <v>54101.89878</v>
      </c>
      <c r="N180" s="7">
        <f t="shared" si="9"/>
        <v>91620</v>
      </c>
      <c r="O180" s="7">
        <f t="shared" si="13"/>
        <v>136517</v>
      </c>
      <c r="P180" s="7">
        <f t="shared" si="10"/>
        <v>883</v>
      </c>
      <c r="Q180" s="7">
        <f t="shared" si="11"/>
        <v>0.1</v>
      </c>
    </row>
    <row r="181">
      <c r="A181" s="4" t="s">
        <v>538</v>
      </c>
      <c r="B181" s="4" t="s">
        <v>539</v>
      </c>
      <c r="C181" s="4" t="s">
        <v>95</v>
      </c>
      <c r="D181" s="5">
        <v>15537.0</v>
      </c>
      <c r="E181" s="7" t="str">
        <f t="shared" si="2"/>
        <v>A</v>
      </c>
      <c r="F181" s="7" t="str">
        <f t="shared" si="3"/>
        <v>C</v>
      </c>
      <c r="G181" s="7" t="str">
        <f t="shared" si="4"/>
        <v>Transformative change</v>
      </c>
      <c r="H181" s="7">
        <f t="shared" ref="H181:J181" si="190">ROUND(RAND(),2)</f>
        <v>0.44</v>
      </c>
      <c r="I181" s="7">
        <f t="shared" si="190"/>
        <v>0.69</v>
      </c>
      <c r="J181" s="7">
        <f t="shared" si="190"/>
        <v>0.45</v>
      </c>
      <c r="K181" s="7" t="str">
        <f t="shared" si="6"/>
        <v>Medium</v>
      </c>
      <c r="L181" s="7">
        <f t="shared" si="7"/>
        <v>3977266</v>
      </c>
      <c r="M181" s="7">
        <f t="shared" si="8"/>
        <v>2671521.253</v>
      </c>
      <c r="N181" s="7">
        <f t="shared" si="9"/>
        <v>155370</v>
      </c>
      <c r="O181" s="7">
        <f t="shared" si="13"/>
        <v>168980</v>
      </c>
      <c r="P181" s="7">
        <f t="shared" si="10"/>
        <v>973</v>
      </c>
      <c r="Q181" s="7">
        <f t="shared" si="11"/>
        <v>0.28</v>
      </c>
    </row>
    <row r="182">
      <c r="A182" s="4" t="s">
        <v>540</v>
      </c>
      <c r="B182" s="4" t="s">
        <v>541</v>
      </c>
      <c r="C182" s="4" t="s">
        <v>95</v>
      </c>
      <c r="D182" s="5">
        <v>16622.0</v>
      </c>
      <c r="E182" s="7" t="str">
        <f t="shared" si="2"/>
        <v>D</v>
      </c>
      <c r="F182" s="7" t="str">
        <f t="shared" si="3"/>
        <v>C</v>
      </c>
      <c r="G182" s="7" t="str">
        <f t="shared" si="4"/>
        <v>Transformative change</v>
      </c>
      <c r="H182" s="7">
        <f t="shared" ref="H182:J182" si="191">ROUND(RAND(),2)</f>
        <v>0.96</v>
      </c>
      <c r="I182" s="7">
        <f t="shared" si="191"/>
        <v>0.17</v>
      </c>
      <c r="J182" s="7">
        <f t="shared" si="191"/>
        <v>0.79</v>
      </c>
      <c r="K182" s="7" t="str">
        <f t="shared" si="6"/>
        <v>Low</v>
      </c>
      <c r="L182" s="7">
        <f t="shared" si="7"/>
        <v>813208</v>
      </c>
      <c r="M182" s="7">
        <f t="shared" si="8"/>
        <v>762425.7977</v>
      </c>
      <c r="N182" s="7">
        <f t="shared" si="9"/>
        <v>116354</v>
      </c>
      <c r="O182" s="7">
        <f t="shared" si="13"/>
        <v>164308</v>
      </c>
      <c r="P182" s="7">
        <f t="shared" si="10"/>
        <v>862</v>
      </c>
      <c r="Q182" s="7">
        <f t="shared" si="11"/>
        <v>0.21</v>
      </c>
    </row>
    <row r="183">
      <c r="A183" s="4" t="s">
        <v>542</v>
      </c>
      <c r="B183" s="4" t="s">
        <v>543</v>
      </c>
      <c r="C183" s="4" t="s">
        <v>95</v>
      </c>
      <c r="D183" s="5">
        <v>554197.0</v>
      </c>
      <c r="E183" s="7" t="str">
        <f t="shared" si="2"/>
        <v>G</v>
      </c>
      <c r="F183" s="7" t="str">
        <f t="shared" si="3"/>
        <v>A</v>
      </c>
      <c r="G183" s="7" t="str">
        <f t="shared" si="4"/>
        <v>Transformative change</v>
      </c>
      <c r="H183" s="7">
        <f t="shared" ref="H183:J183" si="192">ROUND(RAND(),2)</f>
        <v>0.84</v>
      </c>
      <c r="I183" s="7">
        <f t="shared" si="192"/>
        <v>0.83</v>
      </c>
      <c r="J183" s="7">
        <f t="shared" si="192"/>
        <v>0.03</v>
      </c>
      <c r="K183" s="7" t="str">
        <f t="shared" si="6"/>
        <v>Medium</v>
      </c>
      <c r="L183" s="7">
        <f t="shared" si="7"/>
        <v>3921883</v>
      </c>
      <c r="M183" s="7">
        <f t="shared" si="8"/>
        <v>641365.3788</v>
      </c>
      <c r="N183" s="7">
        <f t="shared" si="9"/>
        <v>4433576</v>
      </c>
      <c r="O183" s="7">
        <f t="shared" si="13"/>
        <v>4527594</v>
      </c>
      <c r="P183" s="7">
        <f t="shared" si="10"/>
        <v>18707.07</v>
      </c>
      <c r="Q183" s="7">
        <f t="shared" si="11"/>
        <v>0.24</v>
      </c>
    </row>
    <row r="184">
      <c r="A184" s="4" t="s">
        <v>544</v>
      </c>
      <c r="B184" s="4" t="s">
        <v>545</v>
      </c>
      <c r="C184" s="4" t="s">
        <v>95</v>
      </c>
      <c r="D184" s="5">
        <v>17345.0</v>
      </c>
      <c r="E184" s="7" t="str">
        <f t="shared" si="2"/>
        <v>A</v>
      </c>
      <c r="F184" s="7" t="str">
        <f t="shared" si="3"/>
        <v>B</v>
      </c>
      <c r="G184" s="7" t="str">
        <f t="shared" si="4"/>
        <v>Transformative change</v>
      </c>
      <c r="H184" s="7">
        <f t="shared" ref="H184:J184" si="193">ROUND(RAND(),2)</f>
        <v>0.48</v>
      </c>
      <c r="I184" s="7">
        <f t="shared" si="193"/>
        <v>0.58</v>
      </c>
      <c r="J184" s="7">
        <f t="shared" si="193"/>
        <v>0.66</v>
      </c>
      <c r="K184" s="7" t="str">
        <f t="shared" si="6"/>
        <v>High</v>
      </c>
      <c r="L184" s="7">
        <f t="shared" si="7"/>
        <v>1286792</v>
      </c>
      <c r="M184" s="7">
        <f t="shared" si="8"/>
        <v>751060.4249</v>
      </c>
      <c r="N184" s="7">
        <f t="shared" si="9"/>
        <v>104070</v>
      </c>
      <c r="O184" s="7">
        <f t="shared" si="13"/>
        <v>279212</v>
      </c>
      <c r="P184" s="7">
        <f t="shared" si="10"/>
        <v>1089</v>
      </c>
      <c r="Q184" s="7">
        <f t="shared" si="11"/>
        <v>0.21</v>
      </c>
    </row>
    <row r="185">
      <c r="A185" s="4" t="s">
        <v>413</v>
      </c>
      <c r="B185" s="4" t="s">
        <v>546</v>
      </c>
      <c r="C185" s="4" t="s">
        <v>95</v>
      </c>
      <c r="D185" s="5">
        <v>14221.0</v>
      </c>
      <c r="E185" s="7" t="str">
        <f t="shared" si="2"/>
        <v>E</v>
      </c>
      <c r="F185" s="7" t="str">
        <f t="shared" si="3"/>
        <v>C</v>
      </c>
      <c r="G185" s="7" t="str">
        <f t="shared" si="4"/>
        <v>High ambition</v>
      </c>
      <c r="H185" s="7">
        <f t="shared" ref="H185:J185" si="194">ROUND(RAND(),2)</f>
        <v>0.44</v>
      </c>
      <c r="I185" s="7">
        <f t="shared" si="194"/>
        <v>0.27</v>
      </c>
      <c r="J185" s="7">
        <f t="shared" si="194"/>
        <v>0.88</v>
      </c>
      <c r="K185" s="7" t="str">
        <f t="shared" si="6"/>
        <v>Medium</v>
      </c>
      <c r="L185" s="7">
        <f t="shared" si="7"/>
        <v>3824705</v>
      </c>
      <c r="M185" s="7">
        <f t="shared" si="8"/>
        <v>3004727.708</v>
      </c>
      <c r="N185" s="7">
        <f t="shared" si="9"/>
        <v>99547</v>
      </c>
      <c r="O185" s="7">
        <f t="shared" si="13"/>
        <v>189246</v>
      </c>
      <c r="P185" s="7">
        <f t="shared" si="10"/>
        <v>1045</v>
      </c>
      <c r="Q185" s="7">
        <f t="shared" si="11"/>
        <v>0.15</v>
      </c>
    </row>
    <row r="186">
      <c r="A186" s="4" t="s">
        <v>547</v>
      </c>
      <c r="B186" s="4" t="s">
        <v>548</v>
      </c>
      <c r="C186" s="4" t="s">
        <v>549</v>
      </c>
      <c r="D186" s="5">
        <v>13575.0</v>
      </c>
      <c r="E186" s="7" t="str">
        <f t="shared" si="2"/>
        <v>D</v>
      </c>
      <c r="F186" s="7" t="str">
        <f t="shared" si="3"/>
        <v>A</v>
      </c>
      <c r="G186" s="7" t="str">
        <f t="shared" si="4"/>
        <v>Transformative change</v>
      </c>
      <c r="H186" s="7">
        <f t="shared" ref="H186:J186" si="195">ROUND(RAND(),2)</f>
        <v>0.86</v>
      </c>
      <c r="I186" s="7">
        <f t="shared" si="195"/>
        <v>0.99</v>
      </c>
      <c r="J186" s="7">
        <f t="shared" si="195"/>
        <v>0.25</v>
      </c>
      <c r="K186" s="7" t="str">
        <f t="shared" si="6"/>
        <v>Medium</v>
      </c>
      <c r="L186" s="7">
        <f t="shared" si="7"/>
        <v>3864316</v>
      </c>
      <c r="M186" s="7">
        <f t="shared" si="8"/>
        <v>2993679.902</v>
      </c>
      <c r="N186" s="7">
        <f t="shared" si="9"/>
        <v>81450</v>
      </c>
      <c r="O186" s="7">
        <f t="shared" si="13"/>
        <v>212367</v>
      </c>
      <c r="P186" s="7">
        <f t="shared" si="10"/>
        <v>820</v>
      </c>
      <c r="Q186" s="7">
        <f t="shared" si="11"/>
        <v>0.13</v>
      </c>
    </row>
    <row r="187">
      <c r="A187" s="4" t="s">
        <v>550</v>
      </c>
      <c r="B187" s="4" t="s">
        <v>551</v>
      </c>
      <c r="C187" s="4" t="s">
        <v>95</v>
      </c>
      <c r="D187" s="5">
        <v>12438.0</v>
      </c>
      <c r="E187" s="7" t="str">
        <f t="shared" si="2"/>
        <v>F</v>
      </c>
      <c r="F187" s="7" t="str">
        <f t="shared" si="3"/>
        <v>C</v>
      </c>
      <c r="G187" s="7" t="str">
        <f t="shared" si="4"/>
        <v>High ambition</v>
      </c>
      <c r="H187" s="7">
        <f t="shared" ref="H187:J187" si="196">ROUND(RAND(),2)</f>
        <v>0.23</v>
      </c>
      <c r="I187" s="7">
        <f t="shared" si="196"/>
        <v>0.58</v>
      </c>
      <c r="J187" s="7">
        <f t="shared" si="196"/>
        <v>0.04</v>
      </c>
      <c r="K187" s="7" t="str">
        <f t="shared" si="6"/>
        <v>High</v>
      </c>
      <c r="L187" s="7">
        <f t="shared" si="7"/>
        <v>3708818</v>
      </c>
      <c r="M187" s="7">
        <f t="shared" si="8"/>
        <v>182189.74</v>
      </c>
      <c r="N187" s="7">
        <f t="shared" si="9"/>
        <v>62190</v>
      </c>
      <c r="O187" s="7">
        <f t="shared" si="13"/>
        <v>198143</v>
      </c>
      <c r="P187" s="7">
        <f t="shared" si="10"/>
        <v>1049</v>
      </c>
      <c r="Q187" s="7">
        <f t="shared" si="11"/>
        <v>0.02</v>
      </c>
    </row>
    <row r="188">
      <c r="A188" s="4" t="s">
        <v>552</v>
      </c>
      <c r="B188" s="4" t="s">
        <v>553</v>
      </c>
      <c r="C188" s="4" t="s">
        <v>554</v>
      </c>
      <c r="D188" s="5">
        <v>14024.0</v>
      </c>
      <c r="E188" s="7" t="str">
        <f t="shared" si="2"/>
        <v>E</v>
      </c>
      <c r="F188" s="7" t="str">
        <f t="shared" si="3"/>
        <v>B</v>
      </c>
      <c r="G188" s="7" t="str">
        <f t="shared" si="4"/>
        <v>Transformative change</v>
      </c>
      <c r="H188" s="7">
        <f t="shared" ref="H188:J188" si="197">ROUND(RAND(),2)</f>
        <v>0.72</v>
      </c>
      <c r="I188" s="7">
        <f t="shared" si="197"/>
        <v>0.59</v>
      </c>
      <c r="J188" s="7">
        <f t="shared" si="197"/>
        <v>0.03</v>
      </c>
      <c r="K188" s="7" t="str">
        <f t="shared" si="6"/>
        <v>Low</v>
      </c>
      <c r="L188" s="7">
        <f t="shared" si="7"/>
        <v>2880530</v>
      </c>
      <c r="M188" s="7">
        <f t="shared" si="8"/>
        <v>52323.97697</v>
      </c>
      <c r="N188" s="7">
        <f t="shared" si="9"/>
        <v>182312</v>
      </c>
      <c r="O188" s="7">
        <f t="shared" si="13"/>
        <v>312972</v>
      </c>
      <c r="P188" s="7">
        <f t="shared" si="10"/>
        <v>693.2</v>
      </c>
      <c r="Q188" s="7">
        <f t="shared" si="11"/>
        <v>0.26</v>
      </c>
    </row>
    <row r="189">
      <c r="A189" s="4" t="s">
        <v>555</v>
      </c>
      <c r="B189" s="4" t="s">
        <v>556</v>
      </c>
      <c r="C189" s="4" t="s">
        <v>557</v>
      </c>
      <c r="D189" s="5">
        <v>10083.0</v>
      </c>
      <c r="E189" s="7" t="str">
        <f t="shared" si="2"/>
        <v>G</v>
      </c>
      <c r="F189" s="7" t="str">
        <f t="shared" si="3"/>
        <v>C</v>
      </c>
      <c r="G189" s="7" t="str">
        <f t="shared" si="4"/>
        <v>Transformative change</v>
      </c>
      <c r="H189" s="7">
        <f t="shared" ref="H189:J189" si="198">ROUND(RAND(),2)</f>
        <v>0.12</v>
      </c>
      <c r="I189" s="7">
        <f t="shared" si="198"/>
        <v>0.53</v>
      </c>
      <c r="J189" s="7">
        <f t="shared" si="198"/>
        <v>0.58</v>
      </c>
      <c r="K189" s="7" t="str">
        <f t="shared" si="6"/>
        <v>Medium</v>
      </c>
      <c r="L189" s="7">
        <f t="shared" si="7"/>
        <v>3239619</v>
      </c>
      <c r="M189" s="7">
        <f t="shared" si="8"/>
        <v>898257.494</v>
      </c>
      <c r="N189" s="7">
        <f t="shared" si="9"/>
        <v>80664</v>
      </c>
      <c r="O189" s="7">
        <f t="shared" si="13"/>
        <v>99429</v>
      </c>
      <c r="P189" s="7">
        <f t="shared" si="10"/>
        <v>556.3</v>
      </c>
      <c r="Q189" s="7">
        <f t="shared" si="11"/>
        <v>0.29</v>
      </c>
    </row>
    <row r="190">
      <c r="A190" s="4" t="s">
        <v>558</v>
      </c>
      <c r="B190" s="4" t="s">
        <v>559</v>
      </c>
      <c r="C190" s="4" t="s">
        <v>560</v>
      </c>
      <c r="D190" s="5">
        <v>64856.0</v>
      </c>
      <c r="E190" s="7" t="str">
        <f t="shared" si="2"/>
        <v>F</v>
      </c>
      <c r="F190" s="7" t="str">
        <f t="shared" si="3"/>
        <v>B</v>
      </c>
      <c r="G190" s="7" t="str">
        <f t="shared" si="4"/>
        <v>Transformative change</v>
      </c>
      <c r="H190" s="7">
        <f t="shared" ref="H190:J190" si="199">ROUND(RAND(),2)</f>
        <v>0.55</v>
      </c>
      <c r="I190" s="7">
        <f t="shared" si="199"/>
        <v>0.03</v>
      </c>
      <c r="J190" s="7">
        <f t="shared" si="199"/>
        <v>0.94</v>
      </c>
      <c r="K190" s="7" t="str">
        <f t="shared" si="6"/>
        <v>Medium</v>
      </c>
      <c r="L190" s="7">
        <f t="shared" si="7"/>
        <v>3829718</v>
      </c>
      <c r="M190" s="7">
        <f t="shared" si="8"/>
        <v>2960974.014</v>
      </c>
      <c r="N190" s="7">
        <f t="shared" si="9"/>
        <v>389136</v>
      </c>
      <c r="O190" s="7">
        <f t="shared" si="13"/>
        <v>448352</v>
      </c>
      <c r="P190" s="7">
        <f t="shared" si="10"/>
        <v>1655.9</v>
      </c>
      <c r="Q190" s="7">
        <f t="shared" si="11"/>
        <v>0.08</v>
      </c>
    </row>
    <row r="191">
      <c r="A191" s="4" t="s">
        <v>561</v>
      </c>
      <c r="B191" s="4" t="s">
        <v>562</v>
      </c>
      <c r="C191" s="4" t="s">
        <v>563</v>
      </c>
      <c r="D191" s="5">
        <v>81637.0</v>
      </c>
      <c r="E191" s="7" t="str">
        <f t="shared" si="2"/>
        <v>B</v>
      </c>
      <c r="F191" s="7" t="str">
        <f t="shared" si="3"/>
        <v>C</v>
      </c>
      <c r="G191" s="7" t="str">
        <f t="shared" si="4"/>
        <v>Transformative change</v>
      </c>
      <c r="H191" s="7">
        <f t="shared" ref="H191:J191" si="200">ROUND(RAND(),2)</f>
        <v>0.11</v>
      </c>
      <c r="I191" s="7">
        <f t="shared" si="200"/>
        <v>0.8</v>
      </c>
      <c r="J191" s="7">
        <f t="shared" si="200"/>
        <v>0.6</v>
      </c>
      <c r="K191" s="7" t="str">
        <f t="shared" si="6"/>
        <v>Medium</v>
      </c>
      <c r="L191" s="7">
        <f t="shared" si="7"/>
        <v>3409932</v>
      </c>
      <c r="M191" s="7">
        <f t="shared" si="8"/>
        <v>2437619.262</v>
      </c>
      <c r="N191" s="7">
        <f t="shared" si="9"/>
        <v>734733</v>
      </c>
      <c r="O191" s="7">
        <f t="shared" si="13"/>
        <v>743285</v>
      </c>
      <c r="P191" s="7">
        <f t="shared" si="10"/>
        <v>2142.08</v>
      </c>
      <c r="Q191" s="7">
        <f t="shared" si="11"/>
        <v>0.03</v>
      </c>
    </row>
    <row r="192">
      <c r="A192" s="4" t="s">
        <v>564</v>
      </c>
      <c r="B192" s="4" t="s">
        <v>565</v>
      </c>
      <c r="C192" s="4" t="s">
        <v>566</v>
      </c>
      <c r="D192" s="5">
        <v>14492.0</v>
      </c>
      <c r="E192" s="7" t="str">
        <f t="shared" si="2"/>
        <v>F</v>
      </c>
      <c r="F192" s="7" t="str">
        <f t="shared" si="3"/>
        <v>A</v>
      </c>
      <c r="G192" s="7" t="str">
        <f t="shared" si="4"/>
        <v>High ambition</v>
      </c>
      <c r="H192" s="7">
        <f t="shared" ref="H192:J192" si="201">ROUND(RAND(),2)</f>
        <v>0.24</v>
      </c>
      <c r="I192" s="7">
        <f t="shared" si="201"/>
        <v>0.35</v>
      </c>
      <c r="J192" s="7">
        <f t="shared" si="201"/>
        <v>0.35</v>
      </c>
      <c r="K192" s="7" t="str">
        <f t="shared" si="6"/>
        <v>Low</v>
      </c>
      <c r="L192" s="7">
        <f t="shared" si="7"/>
        <v>799400</v>
      </c>
      <c r="M192" s="7">
        <f t="shared" si="8"/>
        <v>680027.738</v>
      </c>
      <c r="N192" s="7">
        <f t="shared" si="9"/>
        <v>130428</v>
      </c>
      <c r="O192" s="7">
        <f t="shared" si="13"/>
        <v>138611</v>
      </c>
      <c r="P192" s="7">
        <f t="shared" si="10"/>
        <v>847</v>
      </c>
      <c r="Q192" s="7">
        <f t="shared" si="11"/>
        <v>0.03</v>
      </c>
    </row>
    <row r="193">
      <c r="A193" s="4" t="s">
        <v>567</v>
      </c>
      <c r="B193" s="4" t="s">
        <v>568</v>
      </c>
      <c r="C193" s="4" t="s">
        <v>569</v>
      </c>
      <c r="D193" s="5">
        <v>5153.0</v>
      </c>
      <c r="E193" s="7" t="str">
        <f t="shared" si="2"/>
        <v>B</v>
      </c>
      <c r="F193" s="7" t="str">
        <f t="shared" si="3"/>
        <v>A</v>
      </c>
      <c r="G193" s="7" t="str">
        <f t="shared" si="4"/>
        <v>Transformative change</v>
      </c>
      <c r="H193" s="7">
        <f t="shared" ref="H193:J193" si="202">ROUND(RAND(),2)</f>
        <v>0.74</v>
      </c>
      <c r="I193" s="7">
        <f t="shared" si="202"/>
        <v>0.45</v>
      </c>
      <c r="J193" s="7">
        <f t="shared" si="202"/>
        <v>0.89</v>
      </c>
      <c r="K193" s="7" t="str">
        <f t="shared" si="6"/>
        <v>Medium</v>
      </c>
      <c r="L193" s="7">
        <f t="shared" si="7"/>
        <v>2867386</v>
      </c>
      <c r="M193" s="7">
        <f t="shared" si="8"/>
        <v>2854150.343</v>
      </c>
      <c r="N193" s="7">
        <f t="shared" si="9"/>
        <v>61836</v>
      </c>
      <c r="O193" s="7">
        <f t="shared" si="13"/>
        <v>186288</v>
      </c>
      <c r="P193" s="7">
        <f t="shared" si="10"/>
        <v>186.25</v>
      </c>
      <c r="Q193" s="7">
        <f t="shared" si="11"/>
        <v>0.06</v>
      </c>
    </row>
    <row r="194">
      <c r="A194" s="4" t="s">
        <v>570</v>
      </c>
      <c r="B194" s="4" t="s">
        <v>571</v>
      </c>
      <c r="C194" s="4" t="s">
        <v>572</v>
      </c>
      <c r="D194" s="5">
        <v>12748.0</v>
      </c>
      <c r="E194" s="7" t="str">
        <f t="shared" si="2"/>
        <v>G</v>
      </c>
      <c r="F194" s="7" t="str">
        <f t="shared" si="3"/>
        <v>A</v>
      </c>
      <c r="G194" s="7" t="str">
        <f t="shared" si="4"/>
        <v>Transformative change</v>
      </c>
      <c r="H194" s="7">
        <f t="shared" ref="H194:J194" si="203">ROUND(RAND(),2)</f>
        <v>0.14</v>
      </c>
      <c r="I194" s="7">
        <f t="shared" si="203"/>
        <v>0.66</v>
      </c>
      <c r="J194" s="7">
        <f t="shared" si="203"/>
        <v>0.86</v>
      </c>
      <c r="K194" s="7" t="str">
        <f t="shared" si="6"/>
        <v>Medium</v>
      </c>
      <c r="L194" s="7">
        <f t="shared" si="7"/>
        <v>2304265</v>
      </c>
      <c r="M194" s="7">
        <f t="shared" si="8"/>
        <v>435394.6861</v>
      </c>
      <c r="N194" s="7">
        <f t="shared" si="9"/>
        <v>178472</v>
      </c>
      <c r="O194" s="7">
        <f t="shared" si="13"/>
        <v>206681</v>
      </c>
      <c r="P194" s="7">
        <f t="shared" si="10"/>
        <v>833</v>
      </c>
      <c r="Q194" s="7">
        <f t="shared" si="11"/>
        <v>0.04</v>
      </c>
    </row>
    <row r="195">
      <c r="A195" s="4" t="s">
        <v>573</v>
      </c>
      <c r="B195" s="4" t="s">
        <v>574</v>
      </c>
      <c r="C195" s="4" t="s">
        <v>575</v>
      </c>
      <c r="D195" s="5">
        <v>18401.0</v>
      </c>
      <c r="E195" s="7" t="str">
        <f t="shared" si="2"/>
        <v>C</v>
      </c>
      <c r="F195" s="7" t="str">
        <f t="shared" si="3"/>
        <v>B</v>
      </c>
      <c r="G195" s="7" t="str">
        <f t="shared" si="4"/>
        <v>Transformative change</v>
      </c>
      <c r="H195" s="7">
        <f t="shared" ref="H195:J195" si="204">ROUND(RAND(),2)</f>
        <v>0.65</v>
      </c>
      <c r="I195" s="7">
        <f t="shared" si="204"/>
        <v>0.71</v>
      </c>
      <c r="J195" s="7">
        <f t="shared" si="204"/>
        <v>0.61</v>
      </c>
      <c r="K195" s="7" t="str">
        <f t="shared" si="6"/>
        <v>Low</v>
      </c>
      <c r="L195" s="7">
        <f t="shared" si="7"/>
        <v>3948107</v>
      </c>
      <c r="M195" s="7">
        <f t="shared" si="8"/>
        <v>2960760.829</v>
      </c>
      <c r="N195" s="7">
        <f t="shared" si="9"/>
        <v>92005</v>
      </c>
      <c r="O195" s="7">
        <f t="shared" si="13"/>
        <v>271192</v>
      </c>
      <c r="P195" s="7">
        <f t="shared" si="10"/>
        <v>1013</v>
      </c>
      <c r="Q195" s="7">
        <f t="shared" si="11"/>
        <v>0.16</v>
      </c>
    </row>
    <row r="196">
      <c r="A196" s="4" t="s">
        <v>576</v>
      </c>
      <c r="B196" s="4" t="s">
        <v>577</v>
      </c>
      <c r="C196" s="4" t="s">
        <v>95</v>
      </c>
      <c r="D196" s="5">
        <v>8255.0</v>
      </c>
      <c r="E196" s="7" t="str">
        <f t="shared" si="2"/>
        <v>C</v>
      </c>
      <c r="F196" s="7" t="str">
        <f t="shared" si="3"/>
        <v>A</v>
      </c>
      <c r="G196" s="7" t="str">
        <f t="shared" si="4"/>
        <v>Transformative change</v>
      </c>
      <c r="H196" s="7">
        <f t="shared" ref="H196:J196" si="205">ROUND(RAND(),2)</f>
        <v>0.51</v>
      </c>
      <c r="I196" s="7">
        <f t="shared" si="205"/>
        <v>0.22</v>
      </c>
      <c r="J196" s="7">
        <f t="shared" si="205"/>
        <v>0.37</v>
      </c>
      <c r="K196" s="7" t="str">
        <f t="shared" si="6"/>
        <v>Low</v>
      </c>
      <c r="L196" s="7">
        <f t="shared" si="7"/>
        <v>1314483</v>
      </c>
      <c r="M196" s="7">
        <f t="shared" si="8"/>
        <v>761857.9743</v>
      </c>
      <c r="N196" s="7">
        <f t="shared" si="9"/>
        <v>90805</v>
      </c>
      <c r="O196" s="7">
        <f t="shared" si="13"/>
        <v>110428</v>
      </c>
      <c r="P196" s="7">
        <f t="shared" si="10"/>
        <v>1278.94</v>
      </c>
      <c r="Q196" s="7">
        <f t="shared" si="11"/>
        <v>0.07</v>
      </c>
    </row>
    <row r="197">
      <c r="A197" s="4" t="s">
        <v>390</v>
      </c>
      <c r="B197" s="4" t="s">
        <v>578</v>
      </c>
      <c r="C197" s="4" t="s">
        <v>579</v>
      </c>
      <c r="D197" s="5">
        <v>234264.0</v>
      </c>
      <c r="E197" s="7" t="str">
        <f t="shared" si="2"/>
        <v>A</v>
      </c>
      <c r="F197" s="7" t="str">
        <f t="shared" si="3"/>
        <v>B</v>
      </c>
      <c r="G197" s="7" t="str">
        <f t="shared" si="4"/>
        <v>Transformative change</v>
      </c>
      <c r="H197" s="7">
        <f t="shared" ref="H197:J197" si="206">ROUND(RAND(),2)</f>
        <v>0.79</v>
      </c>
      <c r="I197" s="7">
        <f t="shared" si="206"/>
        <v>0.97</v>
      </c>
      <c r="J197" s="7">
        <f t="shared" si="206"/>
        <v>0.23</v>
      </c>
      <c r="K197" s="7" t="str">
        <f t="shared" si="6"/>
        <v>High</v>
      </c>
      <c r="L197" s="7">
        <f t="shared" si="7"/>
        <v>806299</v>
      </c>
      <c r="M197" s="7">
        <f t="shared" si="8"/>
        <v>99537.90668</v>
      </c>
      <c r="N197" s="7">
        <f t="shared" si="9"/>
        <v>3513960</v>
      </c>
      <c r="O197" s="7">
        <f t="shared" si="13"/>
        <v>3569968</v>
      </c>
      <c r="P197" s="7">
        <f t="shared" si="10"/>
        <v>17747.27</v>
      </c>
      <c r="Q197" s="7">
        <f t="shared" si="11"/>
        <v>0.21</v>
      </c>
    </row>
    <row r="198">
      <c r="A198" s="4" t="s">
        <v>580</v>
      </c>
      <c r="B198" s="4" t="s">
        <v>581</v>
      </c>
      <c r="C198" s="4" t="s">
        <v>582</v>
      </c>
      <c r="D198" s="5">
        <v>16714.0</v>
      </c>
      <c r="E198" s="7" t="str">
        <f t="shared" si="2"/>
        <v>F</v>
      </c>
      <c r="F198" s="7" t="str">
        <f t="shared" si="3"/>
        <v>C</v>
      </c>
      <c r="G198" s="7" t="str">
        <f t="shared" si="4"/>
        <v>Transformative change</v>
      </c>
      <c r="H198" s="7">
        <f t="shared" ref="H198:J198" si="207">ROUND(RAND(),2)</f>
        <v>0.56</v>
      </c>
      <c r="I198" s="7">
        <f t="shared" si="207"/>
        <v>0.78</v>
      </c>
      <c r="J198" s="7">
        <f t="shared" si="207"/>
        <v>0.45</v>
      </c>
      <c r="K198" s="7" t="str">
        <f t="shared" si="6"/>
        <v>Medium</v>
      </c>
      <c r="L198" s="7">
        <f t="shared" si="7"/>
        <v>2163792</v>
      </c>
      <c r="M198" s="7">
        <f t="shared" si="8"/>
        <v>699994.2566</v>
      </c>
      <c r="N198" s="7">
        <f t="shared" si="9"/>
        <v>200568</v>
      </c>
      <c r="O198" s="7">
        <f t="shared" si="13"/>
        <v>209955</v>
      </c>
      <c r="P198" s="7">
        <f t="shared" si="10"/>
        <v>985</v>
      </c>
      <c r="Q198" s="7">
        <f t="shared" si="11"/>
        <v>0.18</v>
      </c>
    </row>
    <row r="199">
      <c r="A199" s="4" t="s">
        <v>583</v>
      </c>
      <c r="B199" s="4" t="s">
        <v>584</v>
      </c>
      <c r="C199" s="4" t="s">
        <v>585</v>
      </c>
      <c r="D199" s="5">
        <v>8985.0</v>
      </c>
      <c r="E199" s="7" t="str">
        <f t="shared" si="2"/>
        <v>E</v>
      </c>
      <c r="F199" s="7" t="str">
        <f t="shared" si="3"/>
        <v>A</v>
      </c>
      <c r="G199" s="7" t="str">
        <f t="shared" si="4"/>
        <v>High ambition</v>
      </c>
      <c r="H199" s="7">
        <f t="shared" ref="H199:J199" si="208">ROUND(RAND(),2)</f>
        <v>0.13</v>
      </c>
      <c r="I199" s="7">
        <f t="shared" si="208"/>
        <v>0.29</v>
      </c>
      <c r="J199" s="7">
        <f t="shared" si="208"/>
        <v>0.22</v>
      </c>
      <c r="K199" s="7" t="str">
        <f t="shared" si="6"/>
        <v>Medium</v>
      </c>
      <c r="L199" s="7">
        <f t="shared" si="7"/>
        <v>3476197</v>
      </c>
      <c r="M199" s="7">
        <f t="shared" si="8"/>
        <v>137744.3016</v>
      </c>
      <c r="N199" s="7">
        <f t="shared" si="9"/>
        <v>62895</v>
      </c>
      <c r="O199" s="7">
        <f t="shared" si="13"/>
        <v>135760</v>
      </c>
      <c r="P199" s="7">
        <f t="shared" si="10"/>
        <v>901</v>
      </c>
      <c r="Q199" s="7">
        <f t="shared" si="11"/>
        <v>0.16</v>
      </c>
    </row>
    <row r="200">
      <c r="A200" s="4" t="s">
        <v>586</v>
      </c>
      <c r="B200" s="4" t="s">
        <v>587</v>
      </c>
      <c r="C200" s="4" t="s">
        <v>95</v>
      </c>
      <c r="D200" s="5">
        <v>7691.0</v>
      </c>
      <c r="E200" s="7" t="str">
        <f t="shared" si="2"/>
        <v>E</v>
      </c>
      <c r="F200" s="7" t="str">
        <f t="shared" si="3"/>
        <v>A</v>
      </c>
      <c r="G200" s="7" t="str">
        <f t="shared" si="4"/>
        <v>Transformative change</v>
      </c>
      <c r="H200" s="7">
        <f t="shared" ref="H200:J200" si="209">ROUND(RAND(),2)</f>
        <v>0.36</v>
      </c>
      <c r="I200" s="7">
        <f t="shared" si="209"/>
        <v>0.02</v>
      </c>
      <c r="J200" s="7">
        <f t="shared" si="209"/>
        <v>0.72</v>
      </c>
      <c r="K200" s="7" t="str">
        <f t="shared" si="6"/>
        <v>Low</v>
      </c>
      <c r="L200" s="7">
        <f t="shared" si="7"/>
        <v>1655163</v>
      </c>
      <c r="M200" s="7">
        <f t="shared" si="8"/>
        <v>1312482.68</v>
      </c>
      <c r="N200" s="7">
        <f t="shared" si="9"/>
        <v>38455</v>
      </c>
      <c r="O200" s="7">
        <f t="shared" si="13"/>
        <v>46139</v>
      </c>
      <c r="P200" s="7">
        <f t="shared" si="10"/>
        <v>976</v>
      </c>
      <c r="Q200" s="7">
        <f t="shared" si="11"/>
        <v>0.22</v>
      </c>
    </row>
    <row r="201">
      <c r="A201" s="4" t="s">
        <v>588</v>
      </c>
      <c r="B201" s="4" t="s">
        <v>589</v>
      </c>
      <c r="C201" s="4" t="s">
        <v>95</v>
      </c>
      <c r="D201" s="5">
        <v>21380.0</v>
      </c>
      <c r="E201" s="7" t="str">
        <f t="shared" si="2"/>
        <v>B</v>
      </c>
      <c r="F201" s="7" t="str">
        <f t="shared" si="3"/>
        <v>A</v>
      </c>
      <c r="G201" s="7" t="str">
        <f t="shared" si="4"/>
        <v>Transformative change</v>
      </c>
      <c r="H201" s="7">
        <f t="shared" ref="H201:J201" si="210">ROUND(RAND(),2)</f>
        <v>0.88</v>
      </c>
      <c r="I201" s="7">
        <f t="shared" si="210"/>
        <v>0.23</v>
      </c>
      <c r="J201" s="7">
        <f t="shared" si="210"/>
        <v>0.66</v>
      </c>
      <c r="K201" s="7" t="str">
        <f t="shared" si="6"/>
        <v>Low</v>
      </c>
      <c r="L201" s="7">
        <f t="shared" si="7"/>
        <v>870887</v>
      </c>
      <c r="M201" s="7">
        <f t="shared" si="8"/>
        <v>194857.9954</v>
      </c>
      <c r="N201" s="7">
        <f t="shared" si="9"/>
        <v>149660</v>
      </c>
      <c r="O201" s="7">
        <f t="shared" si="13"/>
        <v>169372</v>
      </c>
      <c r="P201" s="7">
        <f t="shared" si="10"/>
        <v>507.32</v>
      </c>
      <c r="Q201" s="7">
        <f t="shared" si="11"/>
        <v>0.01</v>
      </c>
    </row>
    <row r="202">
      <c r="A202" s="4" t="s">
        <v>590</v>
      </c>
      <c r="B202" s="4" t="s">
        <v>591</v>
      </c>
      <c r="C202" s="4" t="s">
        <v>592</v>
      </c>
      <c r="D202" s="5">
        <v>6465.0</v>
      </c>
      <c r="E202" s="7" t="str">
        <f t="shared" si="2"/>
        <v>E</v>
      </c>
      <c r="F202" s="7" t="str">
        <f t="shared" si="3"/>
        <v>B</v>
      </c>
      <c r="G202" s="7" t="str">
        <f t="shared" si="4"/>
        <v>Transformative change</v>
      </c>
      <c r="H202" s="7">
        <f t="shared" ref="H202:J202" si="211">ROUND(RAND(),2)</f>
        <v>0.14</v>
      </c>
      <c r="I202" s="7">
        <f t="shared" si="211"/>
        <v>0.04</v>
      </c>
      <c r="J202" s="7">
        <f t="shared" si="211"/>
        <v>0.11</v>
      </c>
      <c r="K202" s="7" t="str">
        <f t="shared" si="6"/>
        <v>High</v>
      </c>
      <c r="L202" s="7">
        <f t="shared" si="7"/>
        <v>1695616</v>
      </c>
      <c r="M202" s="7">
        <f t="shared" si="8"/>
        <v>791172.5536</v>
      </c>
      <c r="N202" s="7">
        <f t="shared" si="9"/>
        <v>84045</v>
      </c>
      <c r="O202" s="7">
        <f t="shared" si="13"/>
        <v>272537</v>
      </c>
      <c r="P202" s="7">
        <f t="shared" si="10"/>
        <v>1089</v>
      </c>
      <c r="Q202" s="7">
        <f t="shared" si="11"/>
        <v>0.27</v>
      </c>
    </row>
    <row r="203">
      <c r="A203" s="4" t="s">
        <v>593</v>
      </c>
      <c r="B203" s="4" t="s">
        <v>594</v>
      </c>
      <c r="C203" s="4" t="s">
        <v>350</v>
      </c>
      <c r="D203" s="5">
        <v>39445.0</v>
      </c>
      <c r="E203" s="7" t="str">
        <f t="shared" si="2"/>
        <v>E</v>
      </c>
      <c r="F203" s="7" t="str">
        <f t="shared" si="3"/>
        <v>A</v>
      </c>
      <c r="G203" s="7" t="str">
        <f t="shared" si="4"/>
        <v>Transformative change</v>
      </c>
      <c r="H203" s="7">
        <f t="shared" ref="H203:J203" si="212">ROUND(RAND(),2)</f>
        <v>0.54</v>
      </c>
      <c r="I203" s="7">
        <f t="shared" si="212"/>
        <v>0.35</v>
      </c>
      <c r="J203" s="7">
        <f t="shared" si="212"/>
        <v>0.57</v>
      </c>
      <c r="K203" s="7" t="str">
        <f t="shared" si="6"/>
        <v>High</v>
      </c>
      <c r="L203" s="7">
        <f t="shared" si="7"/>
        <v>371904</v>
      </c>
      <c r="M203" s="7">
        <f t="shared" si="8"/>
        <v>95421.58853</v>
      </c>
      <c r="N203" s="7">
        <f t="shared" si="9"/>
        <v>394450</v>
      </c>
      <c r="O203" s="7">
        <f t="shared" si="13"/>
        <v>469319</v>
      </c>
      <c r="P203" s="7">
        <f t="shared" si="10"/>
        <v>1086.64</v>
      </c>
      <c r="Q203" s="7">
        <f t="shared" si="11"/>
        <v>0.17</v>
      </c>
    </row>
    <row r="204">
      <c r="A204" s="4" t="s">
        <v>595</v>
      </c>
      <c r="B204" s="4" t="s">
        <v>596</v>
      </c>
      <c r="C204" s="4" t="s">
        <v>597</v>
      </c>
      <c r="D204" s="5">
        <v>774847.0</v>
      </c>
      <c r="E204" s="7" t="str">
        <f t="shared" si="2"/>
        <v>A</v>
      </c>
      <c r="F204" s="7" t="str">
        <f t="shared" si="3"/>
        <v>A</v>
      </c>
      <c r="G204" s="7" t="str">
        <f t="shared" si="4"/>
        <v>Transformative change</v>
      </c>
      <c r="H204" s="7">
        <f t="shared" ref="H204:J204" si="213">ROUND(RAND(),2)</f>
        <v>0.3</v>
      </c>
      <c r="I204" s="7">
        <f t="shared" si="213"/>
        <v>0.4</v>
      </c>
      <c r="J204" s="7">
        <f t="shared" si="213"/>
        <v>0.37</v>
      </c>
      <c r="K204" s="7" t="str">
        <f t="shared" si="6"/>
        <v>High</v>
      </c>
      <c r="L204" s="7">
        <f t="shared" si="7"/>
        <v>1306672</v>
      </c>
      <c r="M204" s="7">
        <f t="shared" si="8"/>
        <v>246988.8278</v>
      </c>
      <c r="N204" s="7">
        <f t="shared" si="9"/>
        <v>3099388</v>
      </c>
      <c r="O204" s="7">
        <f t="shared" si="13"/>
        <v>3225485</v>
      </c>
      <c r="P204" s="7">
        <f t="shared" si="10"/>
        <v>14349.02</v>
      </c>
      <c r="Q204" s="7">
        <f t="shared" si="11"/>
        <v>0.01</v>
      </c>
    </row>
    <row r="205">
      <c r="A205" s="4" t="s">
        <v>598</v>
      </c>
      <c r="B205" s="4" t="s">
        <v>599</v>
      </c>
      <c r="C205" s="4" t="s">
        <v>600</v>
      </c>
      <c r="D205" s="5">
        <v>7949.0</v>
      </c>
      <c r="E205" s="7" t="str">
        <f t="shared" si="2"/>
        <v>E</v>
      </c>
      <c r="F205" s="7" t="str">
        <f t="shared" si="3"/>
        <v>B</v>
      </c>
      <c r="G205" s="7" t="str">
        <f t="shared" si="4"/>
        <v>Transformative change</v>
      </c>
      <c r="H205" s="7">
        <f t="shared" ref="H205:J205" si="214">ROUND(RAND(),2)</f>
        <v>0.91</v>
      </c>
      <c r="I205" s="7">
        <f t="shared" si="214"/>
        <v>0.67</v>
      </c>
      <c r="J205" s="7">
        <f t="shared" si="214"/>
        <v>0.51</v>
      </c>
      <c r="K205" s="7" t="str">
        <f t="shared" si="6"/>
        <v>Medium</v>
      </c>
      <c r="L205" s="7">
        <f t="shared" si="7"/>
        <v>2874016</v>
      </c>
      <c r="M205" s="7">
        <f t="shared" si="8"/>
        <v>827526.2858</v>
      </c>
      <c r="N205" s="7">
        <f t="shared" si="9"/>
        <v>55643</v>
      </c>
      <c r="O205" s="7">
        <f t="shared" si="13"/>
        <v>58023</v>
      </c>
      <c r="P205" s="7">
        <f t="shared" si="10"/>
        <v>881</v>
      </c>
      <c r="Q205" s="7">
        <f t="shared" si="11"/>
        <v>0.12</v>
      </c>
    </row>
    <row r="206">
      <c r="A206" s="4" t="s">
        <v>601</v>
      </c>
      <c r="B206" s="4" t="s">
        <v>602</v>
      </c>
      <c r="C206" s="4" t="s">
        <v>95</v>
      </c>
      <c r="D206" s="5">
        <v>10245.0</v>
      </c>
      <c r="E206" s="7" t="str">
        <f t="shared" si="2"/>
        <v>B</v>
      </c>
      <c r="F206" s="7" t="str">
        <f t="shared" si="3"/>
        <v>A</v>
      </c>
      <c r="G206" s="7" t="str">
        <f t="shared" si="4"/>
        <v>Transformative change</v>
      </c>
      <c r="H206" s="7">
        <f t="shared" ref="H206:J206" si="215">ROUND(RAND(),2)</f>
        <v>0.17</v>
      </c>
      <c r="I206" s="7">
        <f t="shared" si="215"/>
        <v>0.16</v>
      </c>
      <c r="J206" s="7">
        <f t="shared" si="215"/>
        <v>0</v>
      </c>
      <c r="K206" s="7" t="str">
        <f t="shared" si="6"/>
        <v>Medium</v>
      </c>
      <c r="L206" s="7">
        <f t="shared" si="7"/>
        <v>3553170</v>
      </c>
      <c r="M206" s="7">
        <f t="shared" si="8"/>
        <v>656889.7055</v>
      </c>
      <c r="N206" s="7">
        <f t="shared" si="9"/>
        <v>112695</v>
      </c>
      <c r="O206" s="7">
        <f t="shared" si="13"/>
        <v>306540</v>
      </c>
      <c r="P206" s="7">
        <f t="shared" si="10"/>
        <v>802</v>
      </c>
      <c r="Q206" s="7">
        <f t="shared" si="11"/>
        <v>0.03</v>
      </c>
    </row>
    <row r="207">
      <c r="A207" s="4" t="s">
        <v>603</v>
      </c>
      <c r="B207" s="4" t="s">
        <v>604</v>
      </c>
      <c r="C207" s="4" t="s">
        <v>605</v>
      </c>
      <c r="D207" s="5">
        <v>297192.0</v>
      </c>
      <c r="E207" s="7" t="str">
        <f t="shared" si="2"/>
        <v>F</v>
      </c>
      <c r="F207" s="7" t="str">
        <f t="shared" si="3"/>
        <v>B</v>
      </c>
      <c r="G207" s="7" t="str">
        <f t="shared" si="4"/>
        <v>Transformative change</v>
      </c>
      <c r="H207" s="7">
        <f t="shared" ref="H207:J207" si="216">ROUND(RAND(),2)</f>
        <v>0.93</v>
      </c>
      <c r="I207" s="7">
        <f t="shared" si="216"/>
        <v>0.77</v>
      </c>
      <c r="J207" s="7">
        <f t="shared" si="216"/>
        <v>0.08</v>
      </c>
      <c r="K207" s="7" t="str">
        <f t="shared" si="6"/>
        <v>Low</v>
      </c>
      <c r="L207" s="7">
        <f t="shared" si="7"/>
        <v>1601523</v>
      </c>
      <c r="M207" s="7">
        <f t="shared" si="8"/>
        <v>783625.5178</v>
      </c>
      <c r="N207" s="7">
        <f t="shared" si="9"/>
        <v>1485960</v>
      </c>
      <c r="O207" s="7">
        <f t="shared" si="13"/>
        <v>1563616</v>
      </c>
      <c r="P207" s="7">
        <f t="shared" si="10"/>
        <v>33771.82</v>
      </c>
      <c r="Q207" s="7">
        <f t="shared" si="11"/>
        <v>0.15</v>
      </c>
    </row>
    <row r="208">
      <c r="A208" s="4" t="s">
        <v>606</v>
      </c>
      <c r="B208" s="4" t="s">
        <v>607</v>
      </c>
      <c r="C208" s="4" t="s">
        <v>608</v>
      </c>
      <c r="D208" s="5">
        <v>93489.0</v>
      </c>
      <c r="E208" s="7" t="str">
        <f t="shared" si="2"/>
        <v>C</v>
      </c>
      <c r="F208" s="7" t="str">
        <f t="shared" si="3"/>
        <v>C</v>
      </c>
      <c r="G208" s="7" t="str">
        <f t="shared" si="4"/>
        <v>Transformative change</v>
      </c>
      <c r="H208" s="7">
        <f t="shared" ref="H208:J208" si="217">ROUND(RAND(),2)</f>
        <v>0.11</v>
      </c>
      <c r="I208" s="7">
        <f t="shared" si="217"/>
        <v>0.36</v>
      </c>
      <c r="J208" s="7">
        <f t="shared" si="217"/>
        <v>0.83</v>
      </c>
      <c r="K208" s="7" t="str">
        <f t="shared" si="6"/>
        <v>Medium</v>
      </c>
      <c r="L208" s="7">
        <f t="shared" si="7"/>
        <v>1610609</v>
      </c>
      <c r="M208" s="7">
        <f t="shared" si="8"/>
        <v>1174609.59</v>
      </c>
      <c r="N208" s="7">
        <f t="shared" si="9"/>
        <v>373956</v>
      </c>
      <c r="O208" s="7">
        <f t="shared" si="13"/>
        <v>461325</v>
      </c>
      <c r="P208" s="7">
        <f t="shared" si="10"/>
        <v>857</v>
      </c>
      <c r="Q208" s="7">
        <f t="shared" si="11"/>
        <v>0.16</v>
      </c>
    </row>
    <row r="209">
      <c r="A209" s="4" t="s">
        <v>433</v>
      </c>
      <c r="B209" s="4" t="s">
        <v>609</v>
      </c>
      <c r="C209" s="4" t="s">
        <v>610</v>
      </c>
      <c r="D209" s="5">
        <v>8744.0</v>
      </c>
      <c r="E209" s="7" t="str">
        <f t="shared" si="2"/>
        <v>E</v>
      </c>
      <c r="F209" s="7" t="str">
        <f t="shared" si="3"/>
        <v>A</v>
      </c>
      <c r="G209" s="7" t="str">
        <f t="shared" si="4"/>
        <v>Transformative change</v>
      </c>
      <c r="H209" s="7">
        <f t="shared" ref="H209:J209" si="218">ROUND(RAND(),2)</f>
        <v>0.04</v>
      </c>
      <c r="I209" s="7">
        <f t="shared" si="218"/>
        <v>0.61</v>
      </c>
      <c r="J209" s="7">
        <f t="shared" si="218"/>
        <v>0.37</v>
      </c>
      <c r="K209" s="7" t="str">
        <f t="shared" si="6"/>
        <v>High</v>
      </c>
      <c r="L209" s="7">
        <f t="shared" si="7"/>
        <v>3065428</v>
      </c>
      <c r="M209" s="7">
        <f t="shared" si="8"/>
        <v>2662467.023</v>
      </c>
      <c r="N209" s="7">
        <f t="shared" si="9"/>
        <v>104928</v>
      </c>
      <c r="O209" s="7">
        <f t="shared" si="13"/>
        <v>128963</v>
      </c>
      <c r="P209" s="7">
        <f t="shared" si="10"/>
        <v>905</v>
      </c>
      <c r="Q209" s="7">
        <f t="shared" si="11"/>
        <v>0.18</v>
      </c>
    </row>
    <row r="210">
      <c r="A210" s="4" t="s">
        <v>611</v>
      </c>
      <c r="B210" s="4" t="s">
        <v>612</v>
      </c>
      <c r="C210" s="4" t="s">
        <v>613</v>
      </c>
      <c r="D210" s="5">
        <v>732994.0</v>
      </c>
      <c r="E210" s="7" t="str">
        <f t="shared" si="2"/>
        <v>B</v>
      </c>
      <c r="F210" s="7" t="str">
        <f t="shared" si="3"/>
        <v>B</v>
      </c>
      <c r="G210" s="7" t="str">
        <f t="shared" si="4"/>
        <v>High ambition</v>
      </c>
      <c r="H210" s="7">
        <f t="shared" ref="H210:J210" si="219">ROUND(RAND(),2)</f>
        <v>0.23</v>
      </c>
      <c r="I210" s="7">
        <f t="shared" si="219"/>
        <v>0.33</v>
      </c>
      <c r="J210" s="7">
        <f t="shared" si="219"/>
        <v>0.29</v>
      </c>
      <c r="K210" s="7" t="str">
        <f t="shared" si="6"/>
        <v>Medium</v>
      </c>
      <c r="L210" s="7">
        <f t="shared" si="7"/>
        <v>2569932</v>
      </c>
      <c r="M210" s="7">
        <f t="shared" si="8"/>
        <v>880305.7651</v>
      </c>
      <c r="N210" s="7">
        <f t="shared" si="9"/>
        <v>9528922</v>
      </c>
      <c r="O210" s="7">
        <f t="shared" si="13"/>
        <v>9544093</v>
      </c>
      <c r="P210" s="7">
        <f t="shared" si="10"/>
        <v>30250.55</v>
      </c>
      <c r="Q210" s="7">
        <f t="shared" si="11"/>
        <v>0.16</v>
      </c>
    </row>
    <row r="211">
      <c r="A211" s="4" t="s">
        <v>614</v>
      </c>
      <c r="B211" s="4" t="s">
        <v>615</v>
      </c>
      <c r="C211" s="4" t="s">
        <v>616</v>
      </c>
      <c r="D211" s="5">
        <v>23160.0</v>
      </c>
      <c r="E211" s="7" t="str">
        <f t="shared" si="2"/>
        <v>G</v>
      </c>
      <c r="F211" s="7" t="str">
        <f t="shared" si="3"/>
        <v>B</v>
      </c>
      <c r="G211" s="7" t="str">
        <f t="shared" si="4"/>
        <v>Transformative change</v>
      </c>
      <c r="H211" s="7">
        <f t="shared" ref="H211:J211" si="220">ROUND(RAND(),2)</f>
        <v>1</v>
      </c>
      <c r="I211" s="7">
        <f t="shared" si="220"/>
        <v>0.46</v>
      </c>
      <c r="J211" s="7">
        <f t="shared" si="220"/>
        <v>0.38</v>
      </c>
      <c r="K211" s="7" t="str">
        <f t="shared" si="6"/>
        <v>High</v>
      </c>
      <c r="L211" s="7">
        <f t="shared" si="7"/>
        <v>3705195</v>
      </c>
      <c r="M211" s="7">
        <f t="shared" si="8"/>
        <v>2621930.384</v>
      </c>
      <c r="N211" s="7">
        <f t="shared" si="9"/>
        <v>92640</v>
      </c>
      <c r="O211" s="7">
        <f t="shared" si="13"/>
        <v>214149</v>
      </c>
      <c r="P211" s="7">
        <f t="shared" si="10"/>
        <v>823</v>
      </c>
      <c r="Q211" s="7">
        <f t="shared" si="11"/>
        <v>0.14</v>
      </c>
    </row>
    <row r="212">
      <c r="A212" s="4" t="s">
        <v>617</v>
      </c>
      <c r="B212" s="4" t="s">
        <v>618</v>
      </c>
      <c r="C212" s="4" t="s">
        <v>619</v>
      </c>
      <c r="D212" s="5">
        <v>19494.0</v>
      </c>
      <c r="E212" s="7" t="str">
        <f t="shared" si="2"/>
        <v>A</v>
      </c>
      <c r="F212" s="7" t="str">
        <f t="shared" si="3"/>
        <v>A</v>
      </c>
      <c r="G212" s="7" t="str">
        <f t="shared" si="4"/>
        <v>Transformative change</v>
      </c>
      <c r="H212" s="7">
        <f t="shared" ref="H212:J212" si="221">ROUND(RAND(),2)</f>
        <v>0.76</v>
      </c>
      <c r="I212" s="7">
        <f t="shared" si="221"/>
        <v>0.55</v>
      </c>
      <c r="J212" s="7">
        <f t="shared" si="221"/>
        <v>0.79</v>
      </c>
      <c r="K212" s="7" t="str">
        <f t="shared" si="6"/>
        <v>Low</v>
      </c>
      <c r="L212" s="7">
        <f t="shared" si="7"/>
        <v>3738567</v>
      </c>
      <c r="M212" s="7">
        <f t="shared" si="8"/>
        <v>3499727.832</v>
      </c>
      <c r="N212" s="7">
        <f t="shared" si="9"/>
        <v>97470</v>
      </c>
      <c r="O212" s="7">
        <f t="shared" si="13"/>
        <v>100159</v>
      </c>
      <c r="P212" s="7">
        <f t="shared" si="10"/>
        <v>1092</v>
      </c>
      <c r="Q212" s="7">
        <f t="shared" si="11"/>
        <v>0.14</v>
      </c>
    </row>
    <row r="213">
      <c r="A213" s="4" t="s">
        <v>620</v>
      </c>
      <c r="B213" s="4" t="s">
        <v>621</v>
      </c>
      <c r="C213" s="4" t="s">
        <v>622</v>
      </c>
      <c r="D213" s="5">
        <v>7939.0</v>
      </c>
      <c r="E213" s="7" t="str">
        <f t="shared" si="2"/>
        <v>D</v>
      </c>
      <c r="F213" s="7" t="str">
        <f t="shared" si="3"/>
        <v>C</v>
      </c>
      <c r="G213" s="7" t="str">
        <f t="shared" si="4"/>
        <v>Transformative change</v>
      </c>
      <c r="H213" s="7">
        <f t="shared" ref="H213:J213" si="222">ROUND(RAND(),2)</f>
        <v>0.56</v>
      </c>
      <c r="I213" s="7">
        <f t="shared" si="222"/>
        <v>0.33</v>
      </c>
      <c r="J213" s="7">
        <f t="shared" si="222"/>
        <v>0.25</v>
      </c>
      <c r="K213" s="7" t="str">
        <f t="shared" si="6"/>
        <v>Medium</v>
      </c>
      <c r="L213" s="7">
        <f t="shared" si="7"/>
        <v>2174392</v>
      </c>
      <c r="M213" s="7">
        <f t="shared" si="8"/>
        <v>1338494.005</v>
      </c>
      <c r="N213" s="7">
        <f t="shared" si="9"/>
        <v>31756</v>
      </c>
      <c r="O213" s="7">
        <f t="shared" si="13"/>
        <v>160340</v>
      </c>
      <c r="P213" s="7">
        <f t="shared" si="10"/>
        <v>885</v>
      </c>
      <c r="Q213" s="7">
        <f t="shared" si="11"/>
        <v>0.05</v>
      </c>
    </row>
    <row r="214">
      <c r="A214" s="4" t="s">
        <v>623</v>
      </c>
      <c r="B214" s="4" t="s">
        <v>624</v>
      </c>
      <c r="C214" s="4" t="s">
        <v>625</v>
      </c>
      <c r="D214" s="5">
        <v>353591.0</v>
      </c>
      <c r="E214" s="7" t="str">
        <f t="shared" si="2"/>
        <v>B</v>
      </c>
      <c r="F214" s="7" t="str">
        <f t="shared" si="3"/>
        <v>C</v>
      </c>
      <c r="G214" s="7" t="str">
        <f t="shared" si="4"/>
        <v>Transformative change</v>
      </c>
      <c r="H214" s="7">
        <f t="shared" ref="H214:J214" si="223">ROUND(RAND(),2)</f>
        <v>0.86</v>
      </c>
      <c r="I214" s="7">
        <f t="shared" si="223"/>
        <v>0.88</v>
      </c>
      <c r="J214" s="7">
        <f t="shared" si="223"/>
        <v>0.37</v>
      </c>
      <c r="K214" s="7" t="str">
        <f t="shared" si="6"/>
        <v>Medium</v>
      </c>
      <c r="L214" s="7">
        <f t="shared" si="7"/>
        <v>617807</v>
      </c>
      <c r="M214" s="7">
        <f t="shared" si="8"/>
        <v>303383.2185</v>
      </c>
      <c r="N214" s="7">
        <f t="shared" si="9"/>
        <v>4243092</v>
      </c>
      <c r="O214" s="7">
        <f t="shared" si="13"/>
        <v>4433030</v>
      </c>
      <c r="P214" s="7">
        <f t="shared" si="10"/>
        <v>12780.4</v>
      </c>
      <c r="Q214" s="7">
        <f t="shared" si="11"/>
        <v>0.21</v>
      </c>
    </row>
    <row r="215">
      <c r="A215" s="4" t="s">
        <v>626</v>
      </c>
      <c r="B215" s="4" t="s">
        <v>627</v>
      </c>
      <c r="C215" s="4" t="s">
        <v>628</v>
      </c>
      <c r="D215" s="5">
        <v>6870.0</v>
      </c>
      <c r="E215" s="7" t="str">
        <f t="shared" si="2"/>
        <v>F</v>
      </c>
      <c r="F215" s="7" t="str">
        <f t="shared" si="3"/>
        <v>B</v>
      </c>
      <c r="G215" s="7" t="str">
        <f t="shared" si="4"/>
        <v>Transformative change</v>
      </c>
      <c r="H215" s="7">
        <f t="shared" ref="H215:J215" si="224">ROUND(RAND(),2)</f>
        <v>0.56</v>
      </c>
      <c r="I215" s="7">
        <f t="shared" si="224"/>
        <v>0.33</v>
      </c>
      <c r="J215" s="7">
        <f t="shared" si="224"/>
        <v>0.12</v>
      </c>
      <c r="K215" s="7" t="str">
        <f t="shared" si="6"/>
        <v>High</v>
      </c>
      <c r="L215" s="7">
        <f t="shared" si="7"/>
        <v>1766355</v>
      </c>
      <c r="M215" s="7">
        <f t="shared" si="8"/>
        <v>24839.15573</v>
      </c>
      <c r="N215" s="7">
        <f t="shared" si="9"/>
        <v>41220</v>
      </c>
      <c r="O215" s="7">
        <f t="shared" si="13"/>
        <v>212345</v>
      </c>
      <c r="P215" s="7">
        <f t="shared" si="10"/>
        <v>883</v>
      </c>
      <c r="Q215" s="7">
        <f t="shared" si="11"/>
        <v>0.26</v>
      </c>
    </row>
    <row r="216">
      <c r="A216" s="4" t="s">
        <v>629</v>
      </c>
      <c r="B216" s="4" t="s">
        <v>630</v>
      </c>
      <c r="C216" s="4" t="s">
        <v>95</v>
      </c>
      <c r="D216" s="5">
        <v>13809.0</v>
      </c>
      <c r="E216" s="7" t="str">
        <f t="shared" si="2"/>
        <v>A</v>
      </c>
      <c r="F216" s="7" t="str">
        <f t="shared" si="3"/>
        <v>B</v>
      </c>
      <c r="G216" s="7" t="str">
        <f t="shared" si="4"/>
        <v>Transformative change</v>
      </c>
      <c r="H216" s="7">
        <f t="shared" ref="H216:J216" si="225">ROUND(RAND(),2)</f>
        <v>0.09</v>
      </c>
      <c r="I216" s="7">
        <f t="shared" si="225"/>
        <v>0.27</v>
      </c>
      <c r="J216" s="7">
        <f t="shared" si="225"/>
        <v>0.64</v>
      </c>
      <c r="K216" s="7" t="str">
        <f t="shared" si="6"/>
        <v>Low</v>
      </c>
      <c r="L216" s="7">
        <f t="shared" si="7"/>
        <v>259051</v>
      </c>
      <c r="M216" s="7">
        <f t="shared" si="8"/>
        <v>154436.4594</v>
      </c>
      <c r="N216" s="7">
        <f t="shared" si="9"/>
        <v>82854</v>
      </c>
      <c r="O216" s="7">
        <f t="shared" si="13"/>
        <v>200237</v>
      </c>
      <c r="P216" s="7">
        <f t="shared" si="10"/>
        <v>1068</v>
      </c>
      <c r="Q216" s="7">
        <f t="shared" si="11"/>
        <v>0.26</v>
      </c>
    </row>
    <row r="217">
      <c r="A217" s="4" t="s">
        <v>631</v>
      </c>
      <c r="B217" s="4" t="s">
        <v>632</v>
      </c>
      <c r="C217" s="4" t="s">
        <v>633</v>
      </c>
      <c r="D217" s="5">
        <v>53678.0</v>
      </c>
      <c r="E217" s="7" t="str">
        <f t="shared" si="2"/>
        <v>F</v>
      </c>
      <c r="F217" s="7" t="str">
        <f t="shared" si="3"/>
        <v>A</v>
      </c>
      <c r="G217" s="7" t="str">
        <f t="shared" si="4"/>
        <v>Transformative change</v>
      </c>
      <c r="H217" s="7">
        <f t="shared" ref="H217:J217" si="226">ROUND(RAND(),2)</f>
        <v>0.86</v>
      </c>
      <c r="I217" s="7">
        <f t="shared" si="226"/>
        <v>0.77</v>
      </c>
      <c r="J217" s="7">
        <f t="shared" si="226"/>
        <v>0.7</v>
      </c>
      <c r="K217" s="7" t="str">
        <f t="shared" si="6"/>
        <v>Medium</v>
      </c>
      <c r="L217" s="7">
        <f t="shared" si="7"/>
        <v>3654097</v>
      </c>
      <c r="M217" s="7">
        <f t="shared" si="8"/>
        <v>2895267.603</v>
      </c>
      <c r="N217" s="7">
        <f t="shared" si="9"/>
        <v>590458</v>
      </c>
      <c r="O217" s="7">
        <f t="shared" si="13"/>
        <v>655527</v>
      </c>
      <c r="P217" s="7">
        <f t="shared" si="10"/>
        <v>8683.21</v>
      </c>
      <c r="Q217" s="7">
        <f t="shared" si="11"/>
        <v>0.14</v>
      </c>
    </row>
    <row r="218">
      <c r="A218" s="4" t="s">
        <v>634</v>
      </c>
      <c r="B218" s="4" t="s">
        <v>635</v>
      </c>
      <c r="C218" s="4" t="s">
        <v>636</v>
      </c>
      <c r="D218" s="5">
        <v>18907.0</v>
      </c>
      <c r="E218" s="7" t="str">
        <f t="shared" si="2"/>
        <v>D</v>
      </c>
      <c r="F218" s="7" t="str">
        <f t="shared" si="3"/>
        <v>B</v>
      </c>
      <c r="G218" s="7" t="str">
        <f t="shared" si="4"/>
        <v>Transformative change</v>
      </c>
      <c r="H218" s="7">
        <f t="shared" ref="H218:J218" si="227">ROUND(RAND(),2)</f>
        <v>0.75</v>
      </c>
      <c r="I218" s="7">
        <f t="shared" si="227"/>
        <v>0.85</v>
      </c>
      <c r="J218" s="7">
        <f t="shared" si="227"/>
        <v>0.82</v>
      </c>
      <c r="K218" s="7" t="str">
        <f t="shared" si="6"/>
        <v>High</v>
      </c>
      <c r="L218" s="7">
        <f t="shared" si="7"/>
        <v>2645115</v>
      </c>
      <c r="M218" s="7">
        <f t="shared" si="8"/>
        <v>1360987.002</v>
      </c>
      <c r="N218" s="7">
        <f t="shared" si="9"/>
        <v>132349</v>
      </c>
      <c r="O218" s="7">
        <f t="shared" si="13"/>
        <v>210313</v>
      </c>
      <c r="P218" s="7">
        <f t="shared" si="10"/>
        <v>849</v>
      </c>
      <c r="Q218" s="7">
        <f t="shared" si="11"/>
        <v>0.19</v>
      </c>
    </row>
    <row r="219">
      <c r="A219" s="4" t="s">
        <v>637</v>
      </c>
      <c r="B219" s="4" t="s">
        <v>638</v>
      </c>
      <c r="C219" s="4" t="s">
        <v>95</v>
      </c>
      <c r="D219" s="5">
        <v>5756.0</v>
      </c>
      <c r="E219" s="7" t="str">
        <f t="shared" si="2"/>
        <v>C</v>
      </c>
      <c r="F219" s="7" t="str">
        <f t="shared" si="3"/>
        <v>A</v>
      </c>
      <c r="G219" s="7" t="str">
        <f t="shared" si="4"/>
        <v>Transformative change</v>
      </c>
      <c r="H219" s="7">
        <f t="shared" ref="H219:J219" si="228">ROUND(RAND(),2)</f>
        <v>0.63</v>
      </c>
      <c r="I219" s="7">
        <f t="shared" si="228"/>
        <v>0.29</v>
      </c>
      <c r="J219" s="7">
        <f t="shared" si="228"/>
        <v>0.27</v>
      </c>
      <c r="K219" s="7" t="str">
        <f t="shared" si="6"/>
        <v>Low</v>
      </c>
      <c r="L219" s="7">
        <f t="shared" si="7"/>
        <v>3518001</v>
      </c>
      <c r="M219" s="7">
        <f t="shared" si="8"/>
        <v>3096529.665</v>
      </c>
      <c r="N219" s="7">
        <f t="shared" si="9"/>
        <v>46048</v>
      </c>
      <c r="O219" s="7">
        <f t="shared" si="13"/>
        <v>146166</v>
      </c>
      <c r="P219" s="7">
        <f t="shared" si="10"/>
        <v>846</v>
      </c>
      <c r="Q219" s="7">
        <f t="shared" si="11"/>
        <v>0.21</v>
      </c>
    </row>
    <row r="220">
      <c r="A220" s="4" t="s">
        <v>639</v>
      </c>
      <c r="B220" s="4" t="s">
        <v>640</v>
      </c>
      <c r="C220" s="4" t="s">
        <v>641</v>
      </c>
      <c r="D220" s="5">
        <v>14167.0</v>
      </c>
      <c r="E220" s="7" t="str">
        <f t="shared" si="2"/>
        <v>C</v>
      </c>
      <c r="F220" s="7" t="str">
        <f t="shared" si="3"/>
        <v>C</v>
      </c>
      <c r="G220" s="7" t="str">
        <f t="shared" si="4"/>
        <v>Transformative change</v>
      </c>
      <c r="H220" s="7">
        <f t="shared" ref="H220:J220" si="229">ROUND(RAND(),2)</f>
        <v>0.1</v>
      </c>
      <c r="I220" s="7">
        <f t="shared" si="229"/>
        <v>0.22</v>
      </c>
      <c r="J220" s="7">
        <f t="shared" si="229"/>
        <v>0.82</v>
      </c>
      <c r="K220" s="7" t="str">
        <f t="shared" si="6"/>
        <v>Medium</v>
      </c>
      <c r="L220" s="7">
        <f t="shared" si="7"/>
        <v>67831</v>
      </c>
      <c r="M220" s="7">
        <f t="shared" si="8"/>
        <v>25898.84307</v>
      </c>
      <c r="N220" s="7">
        <f t="shared" si="9"/>
        <v>141670</v>
      </c>
      <c r="O220" s="7">
        <f t="shared" si="13"/>
        <v>319741</v>
      </c>
      <c r="P220" s="7">
        <f t="shared" si="10"/>
        <v>1431.01</v>
      </c>
      <c r="Q220" s="7">
        <f t="shared" si="11"/>
        <v>0.2</v>
      </c>
    </row>
    <row r="221">
      <c r="A221" s="4" t="s">
        <v>642</v>
      </c>
      <c r="B221" s="4" t="s">
        <v>643</v>
      </c>
      <c r="C221" s="4" t="s">
        <v>644</v>
      </c>
      <c r="D221" s="5">
        <v>16039.0</v>
      </c>
      <c r="E221" s="7" t="str">
        <f t="shared" si="2"/>
        <v>C</v>
      </c>
      <c r="F221" s="7" t="str">
        <f t="shared" si="3"/>
        <v>A</v>
      </c>
      <c r="G221" s="7" t="str">
        <f t="shared" si="4"/>
        <v>Transformative change</v>
      </c>
      <c r="H221" s="7">
        <f t="shared" ref="H221:J221" si="230">ROUND(RAND(),2)</f>
        <v>0.93</v>
      </c>
      <c r="I221" s="7">
        <f t="shared" si="230"/>
        <v>0.33</v>
      </c>
      <c r="J221" s="7">
        <f t="shared" si="230"/>
        <v>0.18</v>
      </c>
      <c r="K221" s="7" t="str">
        <f t="shared" si="6"/>
        <v>Medium</v>
      </c>
      <c r="L221" s="7">
        <f t="shared" si="7"/>
        <v>1555464</v>
      </c>
      <c r="M221" s="7">
        <f t="shared" si="8"/>
        <v>925369.7054</v>
      </c>
      <c r="N221" s="7">
        <f t="shared" si="9"/>
        <v>208507</v>
      </c>
      <c r="O221" s="7">
        <f t="shared" si="13"/>
        <v>263342</v>
      </c>
      <c r="P221" s="7">
        <f t="shared" si="10"/>
        <v>971</v>
      </c>
      <c r="Q221" s="7">
        <f t="shared" si="11"/>
        <v>0.24</v>
      </c>
    </row>
    <row r="222">
      <c r="A222" s="4" t="s">
        <v>645</v>
      </c>
      <c r="B222" s="4" t="s">
        <v>646</v>
      </c>
      <c r="C222" s="4" t="s">
        <v>647</v>
      </c>
      <c r="D222" s="5">
        <v>9575.0</v>
      </c>
      <c r="E222" s="7" t="str">
        <f t="shared" si="2"/>
        <v>C</v>
      </c>
      <c r="F222" s="7" t="str">
        <f t="shared" si="3"/>
        <v>A</v>
      </c>
      <c r="G222" s="7" t="str">
        <f t="shared" si="4"/>
        <v>Transformative change</v>
      </c>
      <c r="H222" s="7">
        <f t="shared" ref="H222:J222" si="231">ROUND(RAND(),2)</f>
        <v>0.65</v>
      </c>
      <c r="I222" s="7">
        <f t="shared" si="231"/>
        <v>0.12</v>
      </c>
      <c r="J222" s="7">
        <f t="shared" si="231"/>
        <v>0.96</v>
      </c>
      <c r="K222" s="7" t="str">
        <f t="shared" si="6"/>
        <v>High</v>
      </c>
      <c r="L222" s="7">
        <f t="shared" si="7"/>
        <v>499334</v>
      </c>
      <c r="M222" s="7">
        <f t="shared" si="8"/>
        <v>333245.9132</v>
      </c>
      <c r="N222" s="7">
        <f t="shared" si="9"/>
        <v>143625</v>
      </c>
      <c r="O222" s="7">
        <f t="shared" si="13"/>
        <v>203471</v>
      </c>
      <c r="P222" s="7">
        <f t="shared" si="10"/>
        <v>1709.82</v>
      </c>
      <c r="Q222" s="7">
        <f t="shared" si="11"/>
        <v>0.16</v>
      </c>
    </row>
    <row r="223">
      <c r="A223" s="4" t="s">
        <v>433</v>
      </c>
      <c r="B223" s="4" t="s">
        <v>648</v>
      </c>
      <c r="C223" s="4" t="s">
        <v>649</v>
      </c>
      <c r="D223" s="5">
        <v>91575.0</v>
      </c>
      <c r="E223" s="7" t="str">
        <f t="shared" si="2"/>
        <v>D</v>
      </c>
      <c r="F223" s="7" t="str">
        <f t="shared" si="3"/>
        <v>A</v>
      </c>
      <c r="G223" s="7" t="str">
        <f t="shared" si="4"/>
        <v>Transformative change</v>
      </c>
      <c r="H223" s="7">
        <f t="shared" ref="H223:J223" si="232">ROUND(RAND(),2)</f>
        <v>0.29</v>
      </c>
      <c r="I223" s="7">
        <f t="shared" si="232"/>
        <v>0.37</v>
      </c>
      <c r="J223" s="7">
        <f t="shared" si="232"/>
        <v>0.61</v>
      </c>
      <c r="K223" s="7" t="str">
        <f t="shared" si="6"/>
        <v>Medium</v>
      </c>
      <c r="L223" s="7">
        <f t="shared" si="7"/>
        <v>2968453</v>
      </c>
      <c r="M223" s="7">
        <f t="shared" si="8"/>
        <v>2427240.656</v>
      </c>
      <c r="N223" s="7">
        <f t="shared" si="9"/>
        <v>549450</v>
      </c>
      <c r="O223" s="7">
        <f t="shared" si="13"/>
        <v>559571</v>
      </c>
      <c r="P223" s="7">
        <f t="shared" si="10"/>
        <v>4696.15</v>
      </c>
      <c r="Q223" s="7">
        <f t="shared" si="11"/>
        <v>0.2</v>
      </c>
    </row>
    <row r="224">
      <c r="A224" s="4" t="s">
        <v>650</v>
      </c>
      <c r="B224" s="4" t="s">
        <v>651</v>
      </c>
      <c r="C224" s="4" t="s">
        <v>652</v>
      </c>
      <c r="D224" s="5">
        <v>16471.0</v>
      </c>
      <c r="E224" s="7" t="str">
        <f t="shared" si="2"/>
        <v>G</v>
      </c>
      <c r="F224" s="7" t="str">
        <f t="shared" si="3"/>
        <v>B</v>
      </c>
      <c r="G224" s="7" t="str">
        <f t="shared" si="4"/>
        <v>High ambition</v>
      </c>
      <c r="H224" s="7">
        <f t="shared" ref="H224:J224" si="233">ROUND(RAND(),2)</f>
        <v>0.39</v>
      </c>
      <c r="I224" s="7">
        <f t="shared" si="233"/>
        <v>0.56</v>
      </c>
      <c r="J224" s="7">
        <f t="shared" si="233"/>
        <v>0.91</v>
      </c>
      <c r="K224" s="7" t="str">
        <f t="shared" si="6"/>
        <v>High</v>
      </c>
      <c r="L224" s="7">
        <f t="shared" si="7"/>
        <v>721876</v>
      </c>
      <c r="M224" s="7">
        <f t="shared" si="8"/>
        <v>109714.5599</v>
      </c>
      <c r="N224" s="7">
        <f t="shared" si="9"/>
        <v>82355</v>
      </c>
      <c r="O224" s="7">
        <f t="shared" si="13"/>
        <v>95764</v>
      </c>
      <c r="P224" s="7">
        <f t="shared" si="10"/>
        <v>1043</v>
      </c>
      <c r="Q224" s="7">
        <f t="shared" si="11"/>
        <v>0.05</v>
      </c>
    </row>
    <row r="225">
      <c r="A225" s="4" t="s">
        <v>653</v>
      </c>
      <c r="B225" s="4" t="s">
        <v>654</v>
      </c>
      <c r="C225" s="4" t="s">
        <v>655</v>
      </c>
      <c r="D225" s="5">
        <v>11656.0</v>
      </c>
      <c r="E225" s="7" t="str">
        <f t="shared" si="2"/>
        <v>C</v>
      </c>
      <c r="F225" s="7" t="str">
        <f t="shared" si="3"/>
        <v>A</v>
      </c>
      <c r="G225" s="7" t="str">
        <f t="shared" si="4"/>
        <v>High ambition</v>
      </c>
      <c r="H225" s="7">
        <f t="shared" ref="H225:J225" si="234">ROUND(RAND(),2)</f>
        <v>0.21</v>
      </c>
      <c r="I225" s="7">
        <f t="shared" si="234"/>
        <v>0.51</v>
      </c>
      <c r="J225" s="7">
        <f t="shared" si="234"/>
        <v>0.98</v>
      </c>
      <c r="K225" s="7" t="str">
        <f t="shared" si="6"/>
        <v>Low</v>
      </c>
      <c r="L225" s="7">
        <f t="shared" si="7"/>
        <v>2008029</v>
      </c>
      <c r="M225" s="7">
        <f t="shared" si="8"/>
        <v>701425.0941</v>
      </c>
      <c r="N225" s="7">
        <f t="shared" si="9"/>
        <v>104904</v>
      </c>
      <c r="O225" s="7">
        <f t="shared" si="13"/>
        <v>214590</v>
      </c>
      <c r="P225" s="7">
        <f t="shared" si="10"/>
        <v>1023</v>
      </c>
      <c r="Q225" s="7">
        <f t="shared" si="11"/>
        <v>0.17</v>
      </c>
    </row>
    <row r="226">
      <c r="A226" s="4" t="s">
        <v>656</v>
      </c>
      <c r="B226" s="4" t="s">
        <v>657</v>
      </c>
      <c r="C226" s="4" t="s">
        <v>658</v>
      </c>
      <c r="D226" s="5">
        <v>5537.0</v>
      </c>
      <c r="E226" s="7" t="str">
        <f t="shared" si="2"/>
        <v>E</v>
      </c>
      <c r="F226" s="7" t="str">
        <f t="shared" si="3"/>
        <v>C</v>
      </c>
      <c r="G226" s="7" t="str">
        <f t="shared" si="4"/>
        <v>Transformative change</v>
      </c>
      <c r="H226" s="7">
        <f t="shared" ref="H226:J226" si="235">ROUND(RAND(),2)</f>
        <v>0.62</v>
      </c>
      <c r="I226" s="7">
        <f t="shared" si="235"/>
        <v>0.18</v>
      </c>
      <c r="J226" s="7">
        <f t="shared" si="235"/>
        <v>0.38</v>
      </c>
      <c r="K226" s="7" t="str">
        <f t="shared" si="6"/>
        <v>Low</v>
      </c>
      <c r="L226" s="7">
        <f t="shared" si="7"/>
        <v>3609781</v>
      </c>
      <c r="M226" s="7">
        <f t="shared" si="8"/>
        <v>1412525.387</v>
      </c>
      <c r="N226" s="7">
        <f t="shared" si="9"/>
        <v>22148</v>
      </c>
      <c r="O226" s="7">
        <f t="shared" si="13"/>
        <v>34582</v>
      </c>
      <c r="P226" s="7">
        <f t="shared" si="10"/>
        <v>839</v>
      </c>
      <c r="Q226" s="7">
        <f t="shared" si="11"/>
        <v>0.09</v>
      </c>
    </row>
    <row r="227">
      <c r="A227" s="4" t="s">
        <v>659</v>
      </c>
      <c r="B227" s="4" t="s">
        <v>660</v>
      </c>
      <c r="C227" s="4" t="s">
        <v>661</v>
      </c>
      <c r="D227" s="5">
        <v>396662.0</v>
      </c>
      <c r="E227" s="7" t="str">
        <f t="shared" si="2"/>
        <v>B</v>
      </c>
      <c r="F227" s="7" t="str">
        <f t="shared" si="3"/>
        <v>B</v>
      </c>
      <c r="G227" s="7" t="str">
        <f t="shared" si="4"/>
        <v>Transformative change</v>
      </c>
      <c r="H227" s="7">
        <f t="shared" ref="H227:J227" si="236">ROUND(RAND(),2)</f>
        <v>0.78</v>
      </c>
      <c r="I227" s="7">
        <f t="shared" si="236"/>
        <v>0.06</v>
      </c>
      <c r="J227" s="7">
        <f t="shared" si="236"/>
        <v>0.51</v>
      </c>
      <c r="K227" s="7" t="str">
        <f t="shared" si="6"/>
        <v>High</v>
      </c>
      <c r="L227" s="7">
        <f t="shared" si="7"/>
        <v>3559270</v>
      </c>
      <c r="M227" s="7">
        <f t="shared" si="8"/>
        <v>650172.282</v>
      </c>
      <c r="N227" s="7">
        <f t="shared" si="9"/>
        <v>2776634</v>
      </c>
      <c r="O227" s="7">
        <f t="shared" si="13"/>
        <v>2842594</v>
      </c>
      <c r="P227" s="7">
        <f t="shared" si="10"/>
        <v>10360.57</v>
      </c>
      <c r="Q227" s="7">
        <f t="shared" si="11"/>
        <v>0.02</v>
      </c>
    </row>
    <row r="228">
      <c r="A228" s="4" t="s">
        <v>662</v>
      </c>
      <c r="B228" s="4" t="s">
        <v>663</v>
      </c>
      <c r="C228" s="4" t="s">
        <v>597</v>
      </c>
      <c r="D228" s="5">
        <v>5524.0</v>
      </c>
      <c r="E228" s="7" t="str">
        <f t="shared" si="2"/>
        <v>F</v>
      </c>
      <c r="F228" s="7" t="str">
        <f t="shared" si="3"/>
        <v>B</v>
      </c>
      <c r="G228" s="7" t="str">
        <f t="shared" si="4"/>
        <v>Transformative change</v>
      </c>
      <c r="H228" s="7">
        <f t="shared" ref="H228:J228" si="237">ROUND(RAND(),2)</f>
        <v>0.39</v>
      </c>
      <c r="I228" s="7">
        <f t="shared" si="237"/>
        <v>0.68</v>
      </c>
      <c r="J228" s="7">
        <f t="shared" si="237"/>
        <v>0.22</v>
      </c>
      <c r="K228" s="7" t="str">
        <f t="shared" si="6"/>
        <v>Medium</v>
      </c>
      <c r="L228" s="7">
        <f t="shared" si="7"/>
        <v>1407044</v>
      </c>
      <c r="M228" s="7">
        <f t="shared" si="8"/>
        <v>1328527.149</v>
      </c>
      <c r="N228" s="7">
        <f t="shared" si="9"/>
        <v>71812</v>
      </c>
      <c r="O228" s="7">
        <f t="shared" si="13"/>
        <v>245892</v>
      </c>
      <c r="P228" s="7">
        <f t="shared" si="10"/>
        <v>834</v>
      </c>
      <c r="Q228" s="7">
        <f t="shared" si="11"/>
        <v>0.14</v>
      </c>
    </row>
    <row r="229">
      <c r="A229" s="4" t="s">
        <v>664</v>
      </c>
      <c r="B229" s="4" t="s">
        <v>665</v>
      </c>
      <c r="C229" s="4" t="s">
        <v>666</v>
      </c>
      <c r="D229" s="5">
        <v>8152.0</v>
      </c>
      <c r="E229" s="7" t="str">
        <f t="shared" si="2"/>
        <v>A</v>
      </c>
      <c r="F229" s="7" t="str">
        <f t="shared" si="3"/>
        <v>C</v>
      </c>
      <c r="G229" s="7" t="str">
        <f t="shared" si="4"/>
        <v>High ambition</v>
      </c>
      <c r="H229" s="7">
        <f t="shared" ref="H229:J229" si="238">ROUND(RAND(),2)</f>
        <v>0.74</v>
      </c>
      <c r="I229" s="7">
        <f t="shared" si="238"/>
        <v>0.28</v>
      </c>
      <c r="J229" s="7">
        <f t="shared" si="238"/>
        <v>0.49</v>
      </c>
      <c r="K229" s="7" t="str">
        <f t="shared" si="6"/>
        <v>Medium</v>
      </c>
      <c r="L229" s="7">
        <f t="shared" si="7"/>
        <v>515537</v>
      </c>
      <c r="M229" s="7">
        <f t="shared" si="8"/>
        <v>469426.0789</v>
      </c>
      <c r="N229" s="7">
        <f t="shared" si="9"/>
        <v>65216</v>
      </c>
      <c r="O229" s="7">
        <f t="shared" si="13"/>
        <v>257095</v>
      </c>
      <c r="P229" s="7">
        <f t="shared" si="10"/>
        <v>891</v>
      </c>
      <c r="Q229" s="7">
        <f t="shared" si="11"/>
        <v>0.27</v>
      </c>
    </row>
    <row r="230">
      <c r="A230" s="4" t="s">
        <v>667</v>
      </c>
      <c r="B230" s="4" t="s">
        <v>668</v>
      </c>
      <c r="C230" s="4" t="s">
        <v>95</v>
      </c>
      <c r="D230" s="5">
        <v>14394.0</v>
      </c>
      <c r="E230" s="7" t="str">
        <f t="shared" si="2"/>
        <v>C</v>
      </c>
      <c r="F230" s="7" t="str">
        <f t="shared" si="3"/>
        <v>A</v>
      </c>
      <c r="G230" s="7" t="str">
        <f t="shared" si="4"/>
        <v>High ambition</v>
      </c>
      <c r="H230" s="7">
        <f t="shared" ref="H230:J230" si="239">ROUND(RAND(),2)</f>
        <v>0.37</v>
      </c>
      <c r="I230" s="7">
        <f t="shared" si="239"/>
        <v>0.77</v>
      </c>
      <c r="J230" s="7">
        <f t="shared" si="239"/>
        <v>0.83</v>
      </c>
      <c r="K230" s="7" t="str">
        <f t="shared" si="6"/>
        <v>Medium</v>
      </c>
      <c r="L230" s="7">
        <f t="shared" si="7"/>
        <v>2355347</v>
      </c>
      <c r="M230" s="7">
        <f t="shared" si="8"/>
        <v>1290537.678</v>
      </c>
      <c r="N230" s="7">
        <f t="shared" si="9"/>
        <v>129546</v>
      </c>
      <c r="O230" s="7">
        <f t="shared" si="13"/>
        <v>324967</v>
      </c>
      <c r="P230" s="7">
        <f t="shared" si="10"/>
        <v>1037</v>
      </c>
      <c r="Q230" s="7">
        <f t="shared" si="11"/>
        <v>0.12</v>
      </c>
    </row>
    <row r="231">
      <c r="A231" s="4" t="s">
        <v>669</v>
      </c>
      <c r="B231" s="4" t="s">
        <v>670</v>
      </c>
      <c r="C231" s="4" t="s">
        <v>671</v>
      </c>
      <c r="D231" s="5">
        <v>15903.0</v>
      </c>
      <c r="E231" s="7" t="str">
        <f t="shared" si="2"/>
        <v>F</v>
      </c>
      <c r="F231" s="7" t="str">
        <f t="shared" si="3"/>
        <v>B</v>
      </c>
      <c r="G231" s="7" t="str">
        <f t="shared" si="4"/>
        <v>Transformative change</v>
      </c>
      <c r="H231" s="7">
        <f t="shared" ref="H231:J231" si="240">ROUND(RAND(),2)</f>
        <v>0.19</v>
      </c>
      <c r="I231" s="7">
        <f t="shared" si="240"/>
        <v>0.76</v>
      </c>
      <c r="J231" s="7">
        <f t="shared" si="240"/>
        <v>0.35</v>
      </c>
      <c r="K231" s="7" t="str">
        <f t="shared" si="6"/>
        <v>Medium</v>
      </c>
      <c r="L231" s="7">
        <f t="shared" si="7"/>
        <v>3657951</v>
      </c>
      <c r="M231" s="7">
        <f t="shared" si="8"/>
        <v>231047.1436</v>
      </c>
      <c r="N231" s="7">
        <f t="shared" si="9"/>
        <v>190836</v>
      </c>
      <c r="O231" s="7">
        <f t="shared" si="13"/>
        <v>263937</v>
      </c>
      <c r="P231" s="7">
        <f t="shared" si="10"/>
        <v>808.63</v>
      </c>
      <c r="Q231" s="7">
        <f t="shared" si="11"/>
        <v>0.3</v>
      </c>
    </row>
    <row r="232">
      <c r="A232" s="4" t="s">
        <v>672</v>
      </c>
      <c r="B232" s="4" t="s">
        <v>673</v>
      </c>
      <c r="C232" s="4" t="s">
        <v>674</v>
      </c>
      <c r="D232" s="5">
        <v>319013.0</v>
      </c>
      <c r="E232" s="7" t="str">
        <f t="shared" si="2"/>
        <v>G</v>
      </c>
      <c r="F232" s="7" t="str">
        <f t="shared" si="3"/>
        <v>A</v>
      </c>
      <c r="G232" s="7" t="str">
        <f t="shared" si="4"/>
        <v>Transformative change</v>
      </c>
      <c r="H232" s="7">
        <f t="shared" ref="H232:J232" si="241">ROUND(RAND(),2)</f>
        <v>0.38</v>
      </c>
      <c r="I232" s="7">
        <f t="shared" si="241"/>
        <v>0.82</v>
      </c>
      <c r="J232" s="7">
        <f t="shared" si="241"/>
        <v>0.92</v>
      </c>
      <c r="K232" s="7" t="str">
        <f t="shared" si="6"/>
        <v>Low</v>
      </c>
      <c r="L232" s="7">
        <f t="shared" si="7"/>
        <v>279676</v>
      </c>
      <c r="M232" s="7">
        <f t="shared" si="8"/>
        <v>257187.0068</v>
      </c>
      <c r="N232" s="7">
        <f t="shared" si="9"/>
        <v>2552104</v>
      </c>
      <c r="O232" s="7">
        <f t="shared" si="13"/>
        <v>2686501</v>
      </c>
      <c r="P232" s="7">
        <f t="shared" si="10"/>
        <v>7595.55</v>
      </c>
      <c r="Q232" s="7">
        <f t="shared" si="11"/>
        <v>0.29</v>
      </c>
    </row>
    <row r="233">
      <c r="A233" s="4" t="s">
        <v>675</v>
      </c>
      <c r="B233" s="4" t="s">
        <v>676</v>
      </c>
      <c r="C233" s="4" t="s">
        <v>677</v>
      </c>
      <c r="D233" s="5">
        <v>50560.0</v>
      </c>
      <c r="E233" s="7" t="str">
        <f t="shared" si="2"/>
        <v>C</v>
      </c>
      <c r="F233" s="7" t="str">
        <f t="shared" si="3"/>
        <v>A</v>
      </c>
      <c r="G233" s="7" t="str">
        <f t="shared" si="4"/>
        <v>High ambition</v>
      </c>
      <c r="H233" s="7">
        <f t="shared" ref="H233:J233" si="242">ROUND(RAND(),2)</f>
        <v>0.75</v>
      </c>
      <c r="I233" s="7">
        <f t="shared" si="242"/>
        <v>0.43</v>
      </c>
      <c r="J233" s="7">
        <f t="shared" si="242"/>
        <v>0.54</v>
      </c>
      <c r="K233" s="7" t="str">
        <f t="shared" si="6"/>
        <v>Medium</v>
      </c>
      <c r="L233" s="7">
        <f t="shared" si="7"/>
        <v>623932</v>
      </c>
      <c r="M233" s="7">
        <f t="shared" si="8"/>
        <v>522886.2877</v>
      </c>
      <c r="N233" s="7">
        <f t="shared" si="9"/>
        <v>707840</v>
      </c>
      <c r="O233" s="7">
        <f t="shared" si="13"/>
        <v>881355</v>
      </c>
      <c r="P233" s="7">
        <f t="shared" si="10"/>
        <v>15060.43</v>
      </c>
      <c r="Q233" s="7">
        <f t="shared" si="11"/>
        <v>0.19</v>
      </c>
    </row>
    <row r="234">
      <c r="A234" s="4" t="s">
        <v>678</v>
      </c>
      <c r="B234" s="4" t="s">
        <v>679</v>
      </c>
      <c r="C234" s="4" t="s">
        <v>680</v>
      </c>
      <c r="D234" s="5">
        <v>9979.0</v>
      </c>
      <c r="E234" s="7" t="str">
        <f t="shared" si="2"/>
        <v>A</v>
      </c>
      <c r="F234" s="7" t="str">
        <f t="shared" si="3"/>
        <v>C</v>
      </c>
      <c r="G234" s="7" t="str">
        <f t="shared" si="4"/>
        <v>Transformative change</v>
      </c>
      <c r="H234" s="7">
        <f t="shared" ref="H234:J234" si="243">ROUND(RAND(),2)</f>
        <v>0.79</v>
      </c>
      <c r="I234" s="7">
        <f t="shared" si="243"/>
        <v>0.86</v>
      </c>
      <c r="J234" s="7">
        <f t="shared" si="243"/>
        <v>0.24</v>
      </c>
      <c r="K234" s="7" t="str">
        <f t="shared" si="6"/>
        <v>Low</v>
      </c>
      <c r="L234" s="7">
        <f t="shared" si="7"/>
        <v>412481</v>
      </c>
      <c r="M234" s="7">
        <f t="shared" si="8"/>
        <v>393516.012</v>
      </c>
      <c r="N234" s="7">
        <f t="shared" si="9"/>
        <v>119748</v>
      </c>
      <c r="O234" s="7">
        <f t="shared" si="13"/>
        <v>305511</v>
      </c>
      <c r="P234" s="7">
        <f t="shared" si="10"/>
        <v>1006</v>
      </c>
      <c r="Q234" s="7">
        <f t="shared" si="11"/>
        <v>0.19</v>
      </c>
    </row>
    <row r="235">
      <c r="A235" s="4" t="s">
        <v>681</v>
      </c>
      <c r="B235" s="4" t="s">
        <v>682</v>
      </c>
      <c r="C235" s="4" t="s">
        <v>683</v>
      </c>
      <c r="D235" s="5">
        <v>5061.0</v>
      </c>
      <c r="E235" s="7" t="str">
        <f t="shared" si="2"/>
        <v>B</v>
      </c>
      <c r="F235" s="7" t="str">
        <f t="shared" si="3"/>
        <v>A</v>
      </c>
      <c r="G235" s="7" t="str">
        <f t="shared" si="4"/>
        <v>Transformative change</v>
      </c>
      <c r="H235" s="7">
        <f t="shared" ref="H235:J235" si="244">ROUND(RAND(),2)</f>
        <v>0.89</v>
      </c>
      <c r="I235" s="7">
        <f t="shared" si="244"/>
        <v>0.88</v>
      </c>
      <c r="J235" s="7">
        <f t="shared" si="244"/>
        <v>0.98</v>
      </c>
      <c r="K235" s="7" t="str">
        <f t="shared" si="6"/>
        <v>Medium</v>
      </c>
      <c r="L235" s="7">
        <f t="shared" si="7"/>
        <v>738110</v>
      </c>
      <c r="M235" s="7">
        <f t="shared" si="8"/>
        <v>330927.0662</v>
      </c>
      <c r="N235" s="7">
        <f t="shared" si="9"/>
        <v>45549</v>
      </c>
      <c r="O235" s="7">
        <f t="shared" si="13"/>
        <v>113879</v>
      </c>
      <c r="P235" s="7">
        <f t="shared" si="10"/>
        <v>223.28</v>
      </c>
      <c r="Q235" s="7">
        <f t="shared" si="11"/>
        <v>0.09</v>
      </c>
    </row>
    <row r="236">
      <c r="A236" s="4" t="s">
        <v>684</v>
      </c>
      <c r="B236" s="4" t="s">
        <v>685</v>
      </c>
      <c r="C236" s="4" t="s">
        <v>95</v>
      </c>
      <c r="D236" s="5">
        <v>10676.0</v>
      </c>
      <c r="E236" s="7" t="str">
        <f t="shared" si="2"/>
        <v>F</v>
      </c>
      <c r="F236" s="7" t="str">
        <f t="shared" si="3"/>
        <v>B</v>
      </c>
      <c r="G236" s="7" t="str">
        <f t="shared" si="4"/>
        <v>Transformative change</v>
      </c>
      <c r="H236" s="7">
        <f t="shared" ref="H236:J236" si="245">ROUND(RAND(),2)</f>
        <v>0.19</v>
      </c>
      <c r="I236" s="7">
        <f t="shared" si="245"/>
        <v>0.46</v>
      </c>
      <c r="J236" s="7">
        <f t="shared" si="245"/>
        <v>0.15</v>
      </c>
      <c r="K236" s="7" t="str">
        <f t="shared" si="6"/>
        <v>High</v>
      </c>
      <c r="L236" s="7">
        <f t="shared" si="7"/>
        <v>112245</v>
      </c>
      <c r="M236" s="7">
        <f t="shared" si="8"/>
        <v>86719.10098</v>
      </c>
      <c r="N236" s="7">
        <f t="shared" si="9"/>
        <v>117436</v>
      </c>
      <c r="O236" s="7">
        <f t="shared" si="13"/>
        <v>282131</v>
      </c>
      <c r="P236" s="7">
        <f t="shared" si="10"/>
        <v>1000</v>
      </c>
      <c r="Q236" s="7">
        <f t="shared" si="11"/>
        <v>0.24</v>
      </c>
    </row>
    <row r="237">
      <c r="A237" s="4" t="s">
        <v>686</v>
      </c>
      <c r="B237" s="4" t="s">
        <v>687</v>
      </c>
      <c r="C237" s="4" t="s">
        <v>688</v>
      </c>
      <c r="D237" s="5">
        <v>7791.0</v>
      </c>
      <c r="E237" s="7" t="str">
        <f t="shared" si="2"/>
        <v>G</v>
      </c>
      <c r="F237" s="7" t="str">
        <f t="shared" si="3"/>
        <v>C</v>
      </c>
      <c r="G237" s="7" t="str">
        <f t="shared" si="4"/>
        <v>High ambition</v>
      </c>
      <c r="H237" s="7">
        <f t="shared" ref="H237:J237" si="246">ROUND(RAND(),2)</f>
        <v>0.3</v>
      </c>
      <c r="I237" s="7">
        <f t="shared" si="246"/>
        <v>0.26</v>
      </c>
      <c r="J237" s="7">
        <f t="shared" si="246"/>
        <v>0.25</v>
      </c>
      <c r="K237" s="7" t="str">
        <f t="shared" si="6"/>
        <v>Medium</v>
      </c>
      <c r="L237" s="7">
        <f t="shared" si="7"/>
        <v>2109372</v>
      </c>
      <c r="M237" s="7">
        <f t="shared" si="8"/>
        <v>361227.3664</v>
      </c>
      <c r="N237" s="7">
        <f t="shared" si="9"/>
        <v>101283</v>
      </c>
      <c r="O237" s="7">
        <f t="shared" si="13"/>
        <v>295963</v>
      </c>
      <c r="P237" s="7">
        <f t="shared" si="10"/>
        <v>849</v>
      </c>
      <c r="Q237" s="7">
        <f t="shared" si="11"/>
        <v>0.05</v>
      </c>
    </row>
    <row r="238">
      <c r="A238" s="4" t="s">
        <v>689</v>
      </c>
      <c r="B238" s="4" t="s">
        <v>690</v>
      </c>
      <c r="C238" s="4" t="s">
        <v>691</v>
      </c>
      <c r="D238" s="5">
        <v>18951.0</v>
      </c>
      <c r="E238" s="7" t="str">
        <f t="shared" si="2"/>
        <v>F</v>
      </c>
      <c r="F238" s="7" t="str">
        <f t="shared" si="3"/>
        <v>B</v>
      </c>
      <c r="G238" s="7" t="str">
        <f t="shared" si="4"/>
        <v>Transformative change</v>
      </c>
      <c r="H238" s="7">
        <f t="shared" ref="H238:J238" si="247">ROUND(RAND(),2)</f>
        <v>0.8</v>
      </c>
      <c r="I238" s="7">
        <f t="shared" si="247"/>
        <v>0.89</v>
      </c>
      <c r="J238" s="7">
        <f t="shared" si="247"/>
        <v>0.81</v>
      </c>
      <c r="K238" s="7" t="str">
        <f t="shared" si="6"/>
        <v>Medium</v>
      </c>
      <c r="L238" s="7">
        <f t="shared" si="7"/>
        <v>3888555</v>
      </c>
      <c r="M238" s="7">
        <f t="shared" si="8"/>
        <v>1384804.882</v>
      </c>
      <c r="N238" s="7">
        <f t="shared" si="9"/>
        <v>151608</v>
      </c>
      <c r="O238" s="7">
        <f t="shared" si="13"/>
        <v>255114</v>
      </c>
      <c r="P238" s="7">
        <f t="shared" si="10"/>
        <v>1630.19</v>
      </c>
      <c r="Q238" s="7">
        <f t="shared" si="11"/>
        <v>0.09</v>
      </c>
    </row>
    <row r="239">
      <c r="A239" s="4" t="s">
        <v>692</v>
      </c>
      <c r="B239" s="4" t="s">
        <v>693</v>
      </c>
      <c r="C239" s="4" t="s">
        <v>694</v>
      </c>
      <c r="D239" s="5">
        <v>11694.0</v>
      </c>
      <c r="E239" s="7" t="str">
        <f t="shared" si="2"/>
        <v>C</v>
      </c>
      <c r="F239" s="7" t="str">
        <f t="shared" si="3"/>
        <v>B</v>
      </c>
      <c r="G239" s="7" t="str">
        <f t="shared" si="4"/>
        <v>Transformative change</v>
      </c>
      <c r="H239" s="7">
        <f t="shared" ref="H239:J239" si="248">ROUND(RAND(),2)</f>
        <v>0.59</v>
      </c>
      <c r="I239" s="7">
        <f t="shared" si="248"/>
        <v>0.86</v>
      </c>
      <c r="J239" s="7">
        <f t="shared" si="248"/>
        <v>0.16</v>
      </c>
      <c r="K239" s="7" t="str">
        <f t="shared" si="6"/>
        <v>High</v>
      </c>
      <c r="L239" s="7">
        <f t="shared" si="7"/>
        <v>309759</v>
      </c>
      <c r="M239" s="7">
        <f t="shared" si="8"/>
        <v>40025.6434</v>
      </c>
      <c r="N239" s="7">
        <f t="shared" si="9"/>
        <v>116940</v>
      </c>
      <c r="O239" s="7">
        <f t="shared" si="13"/>
        <v>177310</v>
      </c>
      <c r="P239" s="7">
        <f t="shared" si="10"/>
        <v>384.67</v>
      </c>
      <c r="Q239" s="7">
        <f t="shared" si="11"/>
        <v>0.01</v>
      </c>
    </row>
    <row r="240">
      <c r="A240" s="4" t="s">
        <v>172</v>
      </c>
      <c r="B240" s="4" t="s">
        <v>695</v>
      </c>
      <c r="C240" s="4" t="s">
        <v>696</v>
      </c>
      <c r="D240" s="5">
        <v>12505.0</v>
      </c>
      <c r="E240" s="7" t="str">
        <f t="shared" si="2"/>
        <v>C</v>
      </c>
      <c r="F240" s="7" t="str">
        <f t="shared" si="3"/>
        <v>B</v>
      </c>
      <c r="G240" s="7" t="str">
        <f t="shared" si="4"/>
        <v>High ambition</v>
      </c>
      <c r="H240" s="7">
        <f t="shared" ref="H240:J240" si="249">ROUND(RAND(),2)</f>
        <v>0.55</v>
      </c>
      <c r="I240" s="7">
        <f t="shared" si="249"/>
        <v>0.99</v>
      </c>
      <c r="J240" s="7">
        <f t="shared" si="249"/>
        <v>0.72</v>
      </c>
      <c r="K240" s="7" t="str">
        <f t="shared" si="6"/>
        <v>Low</v>
      </c>
      <c r="L240" s="7">
        <f t="shared" si="7"/>
        <v>3603229</v>
      </c>
      <c r="M240" s="7">
        <f t="shared" si="8"/>
        <v>1322233.416</v>
      </c>
      <c r="N240" s="7">
        <f t="shared" si="9"/>
        <v>125050</v>
      </c>
      <c r="O240" s="7">
        <f t="shared" si="13"/>
        <v>223442</v>
      </c>
      <c r="P240" s="7">
        <f t="shared" si="10"/>
        <v>818</v>
      </c>
      <c r="Q240" s="7">
        <f t="shared" si="11"/>
        <v>0.16</v>
      </c>
    </row>
    <row r="241">
      <c r="A241" s="4" t="s">
        <v>697</v>
      </c>
      <c r="B241" s="4" t="s">
        <v>698</v>
      </c>
      <c r="C241" s="4" t="s">
        <v>699</v>
      </c>
      <c r="D241" s="5">
        <v>25098.0</v>
      </c>
      <c r="E241" s="7" t="str">
        <f t="shared" si="2"/>
        <v>E</v>
      </c>
      <c r="F241" s="7" t="str">
        <f t="shared" si="3"/>
        <v>C</v>
      </c>
      <c r="G241" s="7" t="str">
        <f t="shared" si="4"/>
        <v>Transformative change</v>
      </c>
      <c r="H241" s="7">
        <f t="shared" ref="H241:J241" si="250">ROUND(RAND(),2)</f>
        <v>0.69</v>
      </c>
      <c r="I241" s="7">
        <f t="shared" si="250"/>
        <v>0.46</v>
      </c>
      <c r="J241" s="7">
        <f t="shared" si="250"/>
        <v>0.52</v>
      </c>
      <c r="K241" s="7" t="str">
        <f t="shared" si="6"/>
        <v>Medium</v>
      </c>
      <c r="L241" s="7">
        <f t="shared" si="7"/>
        <v>2663943</v>
      </c>
      <c r="M241" s="7">
        <f t="shared" si="8"/>
        <v>2344316.817</v>
      </c>
      <c r="N241" s="7">
        <f t="shared" si="9"/>
        <v>276078</v>
      </c>
      <c r="O241" s="7">
        <f t="shared" si="13"/>
        <v>355481</v>
      </c>
      <c r="P241" s="7">
        <f t="shared" si="10"/>
        <v>908</v>
      </c>
      <c r="Q241" s="7">
        <f t="shared" si="11"/>
        <v>0.23</v>
      </c>
    </row>
    <row r="242">
      <c r="A242" s="4" t="s">
        <v>700</v>
      </c>
      <c r="B242" s="4" t="s">
        <v>701</v>
      </c>
      <c r="C242" s="4" t="s">
        <v>702</v>
      </c>
      <c r="D242" s="5">
        <v>16234.0</v>
      </c>
      <c r="E242" s="7" t="str">
        <f t="shared" si="2"/>
        <v>A</v>
      </c>
      <c r="F242" s="7" t="str">
        <f t="shared" si="3"/>
        <v>C</v>
      </c>
      <c r="G242" s="7" t="str">
        <f t="shared" si="4"/>
        <v>Transformative change</v>
      </c>
      <c r="H242" s="7">
        <f t="shared" ref="H242:J242" si="251">ROUND(RAND(),2)</f>
        <v>0.32</v>
      </c>
      <c r="I242" s="7">
        <f t="shared" si="251"/>
        <v>0.02</v>
      </c>
      <c r="J242" s="7">
        <f t="shared" si="251"/>
        <v>0.43</v>
      </c>
      <c r="K242" s="7" t="str">
        <f t="shared" si="6"/>
        <v>Medium</v>
      </c>
      <c r="L242" s="7">
        <f t="shared" si="7"/>
        <v>2555767</v>
      </c>
      <c r="M242" s="7">
        <f t="shared" si="8"/>
        <v>590235.9216</v>
      </c>
      <c r="N242" s="7">
        <f t="shared" si="9"/>
        <v>64936</v>
      </c>
      <c r="O242" s="7">
        <f t="shared" si="13"/>
        <v>129179</v>
      </c>
      <c r="P242" s="7">
        <f t="shared" si="10"/>
        <v>1030</v>
      </c>
      <c r="Q242" s="7">
        <f t="shared" si="11"/>
        <v>0.3</v>
      </c>
    </row>
    <row r="243">
      <c r="A243" s="4" t="s">
        <v>703</v>
      </c>
      <c r="B243" s="4" t="s">
        <v>704</v>
      </c>
      <c r="C243" s="4" t="s">
        <v>705</v>
      </c>
      <c r="D243" s="5">
        <v>13532.0</v>
      </c>
      <c r="E243" s="7" t="str">
        <f t="shared" si="2"/>
        <v>G</v>
      </c>
      <c r="F243" s="7" t="str">
        <f t="shared" si="3"/>
        <v>B</v>
      </c>
      <c r="G243" s="7" t="str">
        <f t="shared" si="4"/>
        <v>Transformative change</v>
      </c>
      <c r="H243" s="7">
        <f t="shared" ref="H243:J243" si="252">ROUND(RAND(),2)</f>
        <v>0.46</v>
      </c>
      <c r="I243" s="7">
        <f t="shared" si="252"/>
        <v>0.31</v>
      </c>
      <c r="J243" s="7">
        <f t="shared" si="252"/>
        <v>0.88</v>
      </c>
      <c r="K243" s="7" t="str">
        <f t="shared" si="6"/>
        <v>High</v>
      </c>
      <c r="L243" s="7">
        <f t="shared" si="7"/>
        <v>812363</v>
      </c>
      <c r="M243" s="7">
        <f t="shared" si="8"/>
        <v>24127.24629</v>
      </c>
      <c r="N243" s="7">
        <f t="shared" si="9"/>
        <v>121788</v>
      </c>
      <c r="O243" s="7">
        <f t="shared" si="13"/>
        <v>213678</v>
      </c>
      <c r="P243" s="7">
        <f t="shared" si="10"/>
        <v>438.09</v>
      </c>
      <c r="Q243" s="7">
        <f t="shared" si="11"/>
        <v>0.09</v>
      </c>
    </row>
    <row r="244">
      <c r="A244" s="4" t="s">
        <v>706</v>
      </c>
      <c r="B244" s="4" t="s">
        <v>707</v>
      </c>
      <c r="C244" s="4" t="s">
        <v>708</v>
      </c>
      <c r="D244" s="5">
        <v>15731.0</v>
      </c>
      <c r="E244" s="7" t="str">
        <f t="shared" si="2"/>
        <v>E</v>
      </c>
      <c r="F244" s="7" t="str">
        <f t="shared" si="3"/>
        <v>A</v>
      </c>
      <c r="G244" s="7" t="str">
        <f t="shared" si="4"/>
        <v>Transformative change</v>
      </c>
      <c r="H244" s="7">
        <f t="shared" ref="H244:J244" si="253">ROUND(RAND(),2)</f>
        <v>0.97</v>
      </c>
      <c r="I244" s="7">
        <f t="shared" si="253"/>
        <v>0.26</v>
      </c>
      <c r="J244" s="7">
        <f t="shared" si="253"/>
        <v>0.12</v>
      </c>
      <c r="K244" s="7" t="str">
        <f t="shared" si="6"/>
        <v>Low</v>
      </c>
      <c r="L244" s="7">
        <f t="shared" si="7"/>
        <v>501342</v>
      </c>
      <c r="M244" s="7">
        <f t="shared" si="8"/>
        <v>305794.3266</v>
      </c>
      <c r="N244" s="7">
        <f t="shared" si="9"/>
        <v>125848</v>
      </c>
      <c r="O244" s="7">
        <f t="shared" si="13"/>
        <v>134200</v>
      </c>
      <c r="P244" s="7">
        <f t="shared" si="10"/>
        <v>888</v>
      </c>
      <c r="Q244" s="7">
        <f t="shared" si="11"/>
        <v>0.27</v>
      </c>
    </row>
    <row r="245">
      <c r="A245" s="4" t="s">
        <v>709</v>
      </c>
      <c r="B245" s="4" t="s">
        <v>710</v>
      </c>
      <c r="C245" s="4" t="s">
        <v>711</v>
      </c>
      <c r="D245" s="5">
        <v>15013.0</v>
      </c>
      <c r="E245" s="7" t="str">
        <f t="shared" si="2"/>
        <v>A</v>
      </c>
      <c r="F245" s="7" t="str">
        <f t="shared" si="3"/>
        <v>C</v>
      </c>
      <c r="G245" s="7" t="str">
        <f t="shared" si="4"/>
        <v>Transformative change</v>
      </c>
      <c r="H245" s="7">
        <f t="shared" ref="H245:J245" si="254">ROUND(RAND(),2)</f>
        <v>0.45</v>
      </c>
      <c r="I245" s="7">
        <f t="shared" si="254"/>
        <v>0.97</v>
      </c>
      <c r="J245" s="7">
        <f t="shared" si="254"/>
        <v>0.09</v>
      </c>
      <c r="K245" s="7" t="str">
        <f t="shared" si="6"/>
        <v>Low</v>
      </c>
      <c r="L245" s="7">
        <f t="shared" si="7"/>
        <v>2606722</v>
      </c>
      <c r="M245" s="7">
        <f t="shared" si="8"/>
        <v>817989.5049</v>
      </c>
      <c r="N245" s="7">
        <f t="shared" si="9"/>
        <v>210182</v>
      </c>
      <c r="O245" s="7">
        <f t="shared" si="13"/>
        <v>310456</v>
      </c>
      <c r="P245" s="7">
        <f t="shared" si="10"/>
        <v>526.77</v>
      </c>
      <c r="Q245" s="7">
        <f t="shared" si="11"/>
        <v>0.14</v>
      </c>
    </row>
    <row r="246">
      <c r="A246" s="4" t="s">
        <v>712</v>
      </c>
      <c r="B246" s="4" t="s">
        <v>713</v>
      </c>
      <c r="C246" s="4" t="s">
        <v>95</v>
      </c>
      <c r="D246" s="5">
        <v>5535.0</v>
      </c>
      <c r="E246" s="7" t="str">
        <f t="shared" si="2"/>
        <v>C</v>
      </c>
      <c r="F246" s="7" t="str">
        <f t="shared" si="3"/>
        <v>C</v>
      </c>
      <c r="G246" s="7" t="str">
        <f t="shared" si="4"/>
        <v>Transformative change</v>
      </c>
      <c r="H246" s="7">
        <f t="shared" ref="H246:J246" si="255">ROUND(RAND(),2)</f>
        <v>0.91</v>
      </c>
      <c r="I246" s="7">
        <f t="shared" si="255"/>
        <v>0.94</v>
      </c>
      <c r="J246" s="7">
        <f t="shared" si="255"/>
        <v>0</v>
      </c>
      <c r="K246" s="7" t="str">
        <f t="shared" si="6"/>
        <v>High</v>
      </c>
      <c r="L246" s="7">
        <f t="shared" si="7"/>
        <v>3250763</v>
      </c>
      <c r="M246" s="7">
        <f t="shared" si="8"/>
        <v>158095.8265</v>
      </c>
      <c r="N246" s="7">
        <f t="shared" si="9"/>
        <v>38745</v>
      </c>
      <c r="O246" s="7">
        <f t="shared" si="13"/>
        <v>50988</v>
      </c>
      <c r="P246" s="7">
        <f t="shared" si="10"/>
        <v>987</v>
      </c>
      <c r="Q246" s="7">
        <f t="shared" si="11"/>
        <v>0.29</v>
      </c>
    </row>
    <row r="247">
      <c r="A247" s="4" t="s">
        <v>714</v>
      </c>
      <c r="B247" s="4" t="s">
        <v>715</v>
      </c>
      <c r="C247" s="4" t="s">
        <v>95</v>
      </c>
      <c r="D247" s="5">
        <v>9769.0</v>
      </c>
      <c r="E247" s="7" t="str">
        <f t="shared" si="2"/>
        <v>C</v>
      </c>
      <c r="F247" s="7" t="str">
        <f t="shared" si="3"/>
        <v>C</v>
      </c>
      <c r="G247" s="7" t="str">
        <f t="shared" si="4"/>
        <v>High ambition</v>
      </c>
      <c r="H247" s="7">
        <f t="shared" ref="H247:J247" si="256">ROUND(RAND(),2)</f>
        <v>0.96</v>
      </c>
      <c r="I247" s="7">
        <f t="shared" si="256"/>
        <v>0.97</v>
      </c>
      <c r="J247" s="7">
        <f t="shared" si="256"/>
        <v>0.03</v>
      </c>
      <c r="K247" s="7" t="str">
        <f t="shared" si="6"/>
        <v>Low</v>
      </c>
      <c r="L247" s="7">
        <f t="shared" si="7"/>
        <v>1913319</v>
      </c>
      <c r="M247" s="7">
        <f t="shared" si="8"/>
        <v>1755360.318</v>
      </c>
      <c r="N247" s="7">
        <f t="shared" si="9"/>
        <v>97690</v>
      </c>
      <c r="O247" s="7">
        <f t="shared" si="13"/>
        <v>150811</v>
      </c>
      <c r="P247" s="7">
        <f t="shared" si="10"/>
        <v>939</v>
      </c>
      <c r="Q247" s="7">
        <f t="shared" si="11"/>
        <v>0.12</v>
      </c>
    </row>
    <row r="248">
      <c r="A248" s="4" t="s">
        <v>716</v>
      </c>
      <c r="B248" s="4" t="s">
        <v>717</v>
      </c>
      <c r="C248" s="4" t="s">
        <v>718</v>
      </c>
      <c r="D248" s="5">
        <v>13041.0</v>
      </c>
      <c r="E248" s="7" t="str">
        <f t="shared" si="2"/>
        <v>G</v>
      </c>
      <c r="F248" s="7" t="str">
        <f t="shared" si="3"/>
        <v>C</v>
      </c>
      <c r="G248" s="7" t="str">
        <f t="shared" si="4"/>
        <v>Transformative change</v>
      </c>
      <c r="H248" s="7">
        <f t="shared" ref="H248:J248" si="257">ROUND(RAND(),2)</f>
        <v>0.97</v>
      </c>
      <c r="I248" s="7">
        <f t="shared" si="257"/>
        <v>0.92</v>
      </c>
      <c r="J248" s="7">
        <f t="shared" si="257"/>
        <v>0.18</v>
      </c>
      <c r="K248" s="7" t="str">
        <f t="shared" si="6"/>
        <v>High</v>
      </c>
      <c r="L248" s="7">
        <f t="shared" si="7"/>
        <v>1164317</v>
      </c>
      <c r="M248" s="7">
        <f t="shared" si="8"/>
        <v>962042.4606</v>
      </c>
      <c r="N248" s="7">
        <f t="shared" si="9"/>
        <v>182574</v>
      </c>
      <c r="O248" s="7">
        <f t="shared" si="13"/>
        <v>278551</v>
      </c>
      <c r="P248" s="7">
        <f t="shared" si="10"/>
        <v>991</v>
      </c>
      <c r="Q248" s="7">
        <f t="shared" si="11"/>
        <v>0.14</v>
      </c>
    </row>
    <row r="249">
      <c r="A249" s="4" t="s">
        <v>719</v>
      </c>
      <c r="B249" s="4" t="s">
        <v>720</v>
      </c>
      <c r="C249" s="4" t="s">
        <v>95</v>
      </c>
      <c r="D249" s="5">
        <v>9418.0</v>
      </c>
      <c r="E249" s="7" t="str">
        <f t="shared" si="2"/>
        <v>B</v>
      </c>
      <c r="F249" s="7" t="str">
        <f t="shared" si="3"/>
        <v>A</v>
      </c>
      <c r="G249" s="7" t="str">
        <f t="shared" si="4"/>
        <v>Transformative change</v>
      </c>
      <c r="H249" s="7">
        <f t="shared" ref="H249:J249" si="258">ROUND(RAND(),2)</f>
        <v>0.43</v>
      </c>
      <c r="I249" s="7">
        <f t="shared" si="258"/>
        <v>0.14</v>
      </c>
      <c r="J249" s="7">
        <f t="shared" si="258"/>
        <v>0.84</v>
      </c>
      <c r="K249" s="7" t="str">
        <f t="shared" si="6"/>
        <v>Medium</v>
      </c>
      <c r="L249" s="7">
        <f t="shared" si="7"/>
        <v>3137841</v>
      </c>
      <c r="M249" s="7">
        <f t="shared" si="8"/>
        <v>702417.1767</v>
      </c>
      <c r="N249" s="7">
        <f t="shared" si="9"/>
        <v>122434</v>
      </c>
      <c r="O249" s="7">
        <f t="shared" si="13"/>
        <v>181728</v>
      </c>
      <c r="P249" s="7">
        <f t="shared" si="10"/>
        <v>1029</v>
      </c>
      <c r="Q249" s="7">
        <f t="shared" si="11"/>
        <v>0.07</v>
      </c>
    </row>
    <row r="250">
      <c r="A250" s="4" t="s">
        <v>721</v>
      </c>
      <c r="B250" s="4" t="s">
        <v>722</v>
      </c>
      <c r="C250" s="4" t="s">
        <v>723</v>
      </c>
      <c r="D250" s="5">
        <v>11128.0</v>
      </c>
      <c r="E250" s="7" t="str">
        <f t="shared" si="2"/>
        <v>A</v>
      </c>
      <c r="F250" s="7" t="str">
        <f t="shared" si="3"/>
        <v>C</v>
      </c>
      <c r="G250" s="7" t="str">
        <f t="shared" si="4"/>
        <v>High ambition</v>
      </c>
      <c r="H250" s="7">
        <f t="shared" ref="H250:J250" si="259">ROUND(RAND(),2)</f>
        <v>0.26</v>
      </c>
      <c r="I250" s="7">
        <f t="shared" si="259"/>
        <v>0.51</v>
      </c>
      <c r="J250" s="7">
        <f t="shared" si="259"/>
        <v>0.12</v>
      </c>
      <c r="K250" s="7" t="str">
        <f t="shared" si="6"/>
        <v>Low</v>
      </c>
      <c r="L250" s="7">
        <f t="shared" si="7"/>
        <v>2255095</v>
      </c>
      <c r="M250" s="7">
        <f t="shared" si="8"/>
        <v>1996712.362</v>
      </c>
      <c r="N250" s="7">
        <f t="shared" si="9"/>
        <v>144664</v>
      </c>
      <c r="O250" s="7">
        <f t="shared" si="13"/>
        <v>292682</v>
      </c>
      <c r="P250" s="7">
        <f t="shared" si="10"/>
        <v>1057</v>
      </c>
      <c r="Q250" s="7">
        <f t="shared" si="11"/>
        <v>0.27</v>
      </c>
    </row>
    <row r="251">
      <c r="A251" s="4" t="s">
        <v>724</v>
      </c>
      <c r="B251" s="4" t="s">
        <v>725</v>
      </c>
      <c r="C251" s="4" t="s">
        <v>95</v>
      </c>
      <c r="D251" s="5">
        <v>12667.0</v>
      </c>
      <c r="E251" s="7" t="str">
        <f t="shared" si="2"/>
        <v>A</v>
      </c>
      <c r="F251" s="7" t="str">
        <f t="shared" si="3"/>
        <v>B</v>
      </c>
      <c r="G251" s="7" t="str">
        <f t="shared" si="4"/>
        <v>Transformative change</v>
      </c>
      <c r="H251" s="7">
        <f t="shared" ref="H251:J251" si="260">ROUND(RAND(),2)</f>
        <v>0.17</v>
      </c>
      <c r="I251" s="7">
        <f t="shared" si="260"/>
        <v>0.11</v>
      </c>
      <c r="J251" s="7">
        <f t="shared" si="260"/>
        <v>0.76</v>
      </c>
      <c r="K251" s="7" t="str">
        <f t="shared" si="6"/>
        <v>Low</v>
      </c>
      <c r="L251" s="7">
        <f t="shared" si="7"/>
        <v>1484525</v>
      </c>
      <c r="M251" s="7">
        <f t="shared" si="8"/>
        <v>1029565.276</v>
      </c>
      <c r="N251" s="7">
        <f t="shared" si="9"/>
        <v>164671</v>
      </c>
      <c r="O251" s="7">
        <f t="shared" si="13"/>
        <v>284704</v>
      </c>
      <c r="P251" s="7">
        <f t="shared" si="10"/>
        <v>755.37</v>
      </c>
      <c r="Q251" s="7">
        <f t="shared" si="11"/>
        <v>0.2</v>
      </c>
    </row>
    <row r="252">
      <c r="A252" s="4" t="s">
        <v>726</v>
      </c>
      <c r="B252" s="4" t="s">
        <v>727</v>
      </c>
      <c r="C252" s="4" t="s">
        <v>95</v>
      </c>
      <c r="D252" s="5">
        <v>145699.0</v>
      </c>
      <c r="E252" s="7" t="str">
        <f t="shared" si="2"/>
        <v>G</v>
      </c>
      <c r="F252" s="7" t="str">
        <f t="shared" si="3"/>
        <v>B</v>
      </c>
      <c r="G252" s="7" t="str">
        <f t="shared" si="4"/>
        <v>Transformative change</v>
      </c>
      <c r="H252" s="7">
        <f t="shared" ref="H252:J252" si="261">ROUND(RAND(),2)</f>
        <v>0.93</v>
      </c>
      <c r="I252" s="7">
        <f t="shared" si="261"/>
        <v>0.66</v>
      </c>
      <c r="J252" s="7">
        <f t="shared" si="261"/>
        <v>0.5</v>
      </c>
      <c r="K252" s="7" t="str">
        <f t="shared" si="6"/>
        <v>Medium</v>
      </c>
      <c r="L252" s="7">
        <f t="shared" si="7"/>
        <v>1882350</v>
      </c>
      <c r="M252" s="7">
        <f t="shared" si="8"/>
        <v>270258.7709</v>
      </c>
      <c r="N252" s="7">
        <f t="shared" si="9"/>
        <v>1165592</v>
      </c>
      <c r="O252" s="7">
        <f t="shared" si="13"/>
        <v>1296720</v>
      </c>
      <c r="P252" s="7">
        <f t="shared" si="10"/>
        <v>5916.71</v>
      </c>
      <c r="Q252" s="7">
        <f t="shared" si="11"/>
        <v>0.29</v>
      </c>
    </row>
    <row r="253">
      <c r="A253" s="4" t="s">
        <v>728</v>
      </c>
      <c r="B253" s="4" t="s">
        <v>729</v>
      </c>
      <c r="C253" s="4" t="s">
        <v>730</v>
      </c>
      <c r="D253" s="5">
        <v>12684.0</v>
      </c>
      <c r="E253" s="7" t="str">
        <f t="shared" si="2"/>
        <v>C</v>
      </c>
      <c r="F253" s="7" t="str">
        <f t="shared" si="3"/>
        <v>B</v>
      </c>
      <c r="G253" s="7" t="str">
        <f t="shared" si="4"/>
        <v>High ambition</v>
      </c>
      <c r="H253" s="7">
        <f t="shared" ref="H253:J253" si="262">ROUND(RAND(),2)</f>
        <v>0.14</v>
      </c>
      <c r="I253" s="7">
        <f t="shared" si="262"/>
        <v>0.55</v>
      </c>
      <c r="J253" s="7">
        <f t="shared" si="262"/>
        <v>0.76</v>
      </c>
      <c r="K253" s="7" t="str">
        <f t="shared" si="6"/>
        <v>Low</v>
      </c>
      <c r="L253" s="7">
        <f t="shared" si="7"/>
        <v>1523217</v>
      </c>
      <c r="M253" s="7">
        <f t="shared" si="8"/>
        <v>278387.5601</v>
      </c>
      <c r="N253" s="7">
        <f t="shared" si="9"/>
        <v>190260</v>
      </c>
      <c r="O253" s="7">
        <f t="shared" si="13"/>
        <v>260558</v>
      </c>
      <c r="P253" s="7">
        <f t="shared" si="10"/>
        <v>1398.97</v>
      </c>
      <c r="Q253" s="7">
        <f t="shared" si="11"/>
        <v>0.2</v>
      </c>
    </row>
    <row r="254">
      <c r="A254" s="4" t="s">
        <v>731</v>
      </c>
      <c r="B254" s="4" t="s">
        <v>732</v>
      </c>
      <c r="C254" s="4" t="s">
        <v>733</v>
      </c>
      <c r="D254" s="5">
        <v>11734.0</v>
      </c>
      <c r="E254" s="7" t="str">
        <f t="shared" si="2"/>
        <v>C</v>
      </c>
      <c r="F254" s="7" t="str">
        <f t="shared" si="3"/>
        <v>C</v>
      </c>
      <c r="G254" s="7" t="str">
        <f t="shared" si="4"/>
        <v>Transformative change</v>
      </c>
      <c r="H254" s="7">
        <f t="shared" ref="H254:J254" si="263">ROUND(RAND(),2)</f>
        <v>0.83</v>
      </c>
      <c r="I254" s="7">
        <f t="shared" si="263"/>
        <v>0.19</v>
      </c>
      <c r="J254" s="7">
        <f t="shared" si="263"/>
        <v>0.47</v>
      </c>
      <c r="K254" s="7" t="str">
        <f t="shared" si="6"/>
        <v>Low</v>
      </c>
      <c r="L254" s="7">
        <f t="shared" si="7"/>
        <v>2261705</v>
      </c>
      <c r="M254" s="7">
        <f t="shared" si="8"/>
        <v>1181517.243</v>
      </c>
      <c r="N254" s="7">
        <f t="shared" si="9"/>
        <v>70404</v>
      </c>
      <c r="O254" s="7">
        <f t="shared" si="13"/>
        <v>95252</v>
      </c>
      <c r="P254" s="7">
        <f t="shared" si="10"/>
        <v>1022</v>
      </c>
      <c r="Q254" s="7">
        <f t="shared" si="11"/>
        <v>0.14</v>
      </c>
    </row>
    <row r="255">
      <c r="A255" s="4" t="s">
        <v>734</v>
      </c>
      <c r="B255" s="4" t="s">
        <v>735</v>
      </c>
      <c r="C255" s="4" t="s">
        <v>736</v>
      </c>
      <c r="D255" s="5">
        <v>18553.0</v>
      </c>
      <c r="E255" s="7" t="str">
        <f t="shared" si="2"/>
        <v>A</v>
      </c>
      <c r="F255" s="7" t="str">
        <f t="shared" si="3"/>
        <v>A</v>
      </c>
      <c r="G255" s="7" t="str">
        <f t="shared" si="4"/>
        <v>Transformative change</v>
      </c>
      <c r="H255" s="7">
        <f t="shared" ref="H255:J255" si="264">ROUND(RAND(),2)</f>
        <v>0.72</v>
      </c>
      <c r="I255" s="7">
        <f t="shared" si="264"/>
        <v>0.74</v>
      </c>
      <c r="J255" s="7">
        <f t="shared" si="264"/>
        <v>0.5</v>
      </c>
      <c r="K255" s="7" t="str">
        <f t="shared" si="6"/>
        <v>Medium</v>
      </c>
      <c r="L255" s="7">
        <f t="shared" si="7"/>
        <v>2959684</v>
      </c>
      <c r="M255" s="7">
        <f t="shared" si="8"/>
        <v>2102439.011</v>
      </c>
      <c r="N255" s="7">
        <f t="shared" si="9"/>
        <v>111318</v>
      </c>
      <c r="O255" s="7">
        <f t="shared" si="13"/>
        <v>264085</v>
      </c>
      <c r="P255" s="7">
        <f t="shared" si="10"/>
        <v>1095</v>
      </c>
      <c r="Q255" s="7">
        <f t="shared" si="11"/>
        <v>0.18</v>
      </c>
    </row>
    <row r="256">
      <c r="A256" s="4" t="s">
        <v>737</v>
      </c>
      <c r="B256" s="4" t="s">
        <v>738</v>
      </c>
      <c r="C256" s="4" t="s">
        <v>739</v>
      </c>
      <c r="D256" s="5">
        <v>13627.0</v>
      </c>
      <c r="E256" s="7" t="str">
        <f t="shared" si="2"/>
        <v>G</v>
      </c>
      <c r="F256" s="7" t="str">
        <f t="shared" si="3"/>
        <v>A</v>
      </c>
      <c r="G256" s="7" t="str">
        <f t="shared" si="4"/>
        <v>Transformative change</v>
      </c>
      <c r="H256" s="7">
        <f t="shared" ref="H256:J256" si="265">ROUND(RAND(),2)</f>
        <v>0.8</v>
      </c>
      <c r="I256" s="7">
        <f t="shared" si="265"/>
        <v>0.68</v>
      </c>
      <c r="J256" s="7">
        <f t="shared" si="265"/>
        <v>0.44</v>
      </c>
      <c r="K256" s="7" t="str">
        <f t="shared" si="6"/>
        <v>High</v>
      </c>
      <c r="L256" s="7">
        <f t="shared" si="7"/>
        <v>1926400</v>
      </c>
      <c r="M256" s="7">
        <f t="shared" si="8"/>
        <v>1254520.857</v>
      </c>
      <c r="N256" s="7">
        <f t="shared" si="9"/>
        <v>149897</v>
      </c>
      <c r="O256" s="7">
        <f t="shared" si="13"/>
        <v>174711</v>
      </c>
      <c r="P256" s="7">
        <f t="shared" si="10"/>
        <v>912</v>
      </c>
      <c r="Q256" s="7">
        <f t="shared" si="11"/>
        <v>0.06</v>
      </c>
    </row>
    <row r="257">
      <c r="A257" s="4" t="s">
        <v>740</v>
      </c>
      <c r="B257" s="4" t="s">
        <v>741</v>
      </c>
      <c r="C257" s="4" t="s">
        <v>95</v>
      </c>
      <c r="D257" s="5">
        <v>976075.0</v>
      </c>
      <c r="E257" s="7" t="str">
        <f t="shared" si="2"/>
        <v>B</v>
      </c>
      <c r="F257" s="7" t="str">
        <f t="shared" si="3"/>
        <v>A</v>
      </c>
      <c r="G257" s="7" t="str">
        <f t="shared" si="4"/>
        <v>Transformative change</v>
      </c>
      <c r="H257" s="7">
        <f t="shared" ref="H257:J257" si="266">ROUND(RAND(),2)</f>
        <v>0.39</v>
      </c>
      <c r="I257" s="7">
        <f t="shared" si="266"/>
        <v>0.26</v>
      </c>
      <c r="J257" s="7">
        <f t="shared" si="266"/>
        <v>0.74</v>
      </c>
      <c r="K257" s="7" t="str">
        <f t="shared" si="6"/>
        <v>High</v>
      </c>
      <c r="L257" s="7">
        <f t="shared" si="7"/>
        <v>3427599</v>
      </c>
      <c r="M257" s="7">
        <f t="shared" si="8"/>
        <v>1629647.042</v>
      </c>
      <c r="N257" s="7">
        <f t="shared" si="9"/>
        <v>8784675</v>
      </c>
      <c r="O257" s="7">
        <f t="shared" si="13"/>
        <v>8894698</v>
      </c>
      <c r="P257" s="7">
        <f t="shared" si="10"/>
        <v>92470.26</v>
      </c>
      <c r="Q257" s="7">
        <f t="shared" si="11"/>
        <v>0.26</v>
      </c>
    </row>
    <row r="258">
      <c r="A258" s="4" t="s">
        <v>742</v>
      </c>
      <c r="B258" s="4" t="s">
        <v>743</v>
      </c>
      <c r="C258" s="4" t="s">
        <v>744</v>
      </c>
      <c r="D258" s="5">
        <v>17107.0</v>
      </c>
      <c r="E258" s="7" t="str">
        <f t="shared" si="2"/>
        <v>E</v>
      </c>
      <c r="F258" s="7" t="str">
        <f t="shared" si="3"/>
        <v>A</v>
      </c>
      <c r="G258" s="7" t="str">
        <f t="shared" si="4"/>
        <v>Transformative change</v>
      </c>
      <c r="H258" s="7">
        <f t="shared" ref="H258:J258" si="267">ROUND(RAND(),2)</f>
        <v>0.06</v>
      </c>
      <c r="I258" s="7">
        <f t="shared" si="267"/>
        <v>0.06</v>
      </c>
      <c r="J258" s="7">
        <f t="shared" si="267"/>
        <v>0.8</v>
      </c>
      <c r="K258" s="7" t="str">
        <f t="shared" si="6"/>
        <v>Low</v>
      </c>
      <c r="L258" s="7">
        <f t="shared" si="7"/>
        <v>2322577</v>
      </c>
      <c r="M258" s="7">
        <f t="shared" si="8"/>
        <v>968919.2746</v>
      </c>
      <c r="N258" s="7">
        <f t="shared" si="9"/>
        <v>68428</v>
      </c>
      <c r="O258" s="7">
        <f t="shared" si="13"/>
        <v>78959</v>
      </c>
      <c r="P258" s="7">
        <f t="shared" si="10"/>
        <v>1057</v>
      </c>
      <c r="Q258" s="7">
        <f t="shared" si="11"/>
        <v>0.29</v>
      </c>
    </row>
    <row r="259">
      <c r="A259" s="4" t="s">
        <v>745</v>
      </c>
      <c r="B259" s="4" t="s">
        <v>746</v>
      </c>
      <c r="C259" s="4" t="s">
        <v>747</v>
      </c>
      <c r="D259" s="5">
        <v>72609.0</v>
      </c>
      <c r="E259" s="7" t="str">
        <f t="shared" si="2"/>
        <v>G</v>
      </c>
      <c r="F259" s="7" t="str">
        <f t="shared" si="3"/>
        <v>B</v>
      </c>
      <c r="G259" s="7" t="str">
        <f t="shared" si="4"/>
        <v>High ambition</v>
      </c>
      <c r="H259" s="7">
        <f t="shared" ref="H259:J259" si="268">ROUND(RAND(),2)</f>
        <v>0.73</v>
      </c>
      <c r="I259" s="7">
        <f t="shared" si="268"/>
        <v>0.64</v>
      </c>
      <c r="J259" s="7">
        <f t="shared" si="268"/>
        <v>0.57</v>
      </c>
      <c r="K259" s="7" t="str">
        <f t="shared" si="6"/>
        <v>Low</v>
      </c>
      <c r="L259" s="7">
        <f t="shared" si="7"/>
        <v>325004</v>
      </c>
      <c r="M259" s="7">
        <f t="shared" si="8"/>
        <v>265474.3108</v>
      </c>
      <c r="N259" s="7">
        <f t="shared" si="9"/>
        <v>508263</v>
      </c>
      <c r="O259" s="7">
        <f t="shared" si="13"/>
        <v>530068</v>
      </c>
      <c r="P259" s="7">
        <f t="shared" si="10"/>
        <v>2016.92</v>
      </c>
      <c r="Q259" s="7">
        <f t="shared" si="11"/>
        <v>0.21</v>
      </c>
    </row>
    <row r="260">
      <c r="A260" s="4" t="s">
        <v>748</v>
      </c>
      <c r="B260" s="4" t="s">
        <v>749</v>
      </c>
      <c r="C260" s="4" t="s">
        <v>95</v>
      </c>
      <c r="D260" s="5">
        <v>8075.0</v>
      </c>
      <c r="E260" s="7" t="str">
        <f t="shared" si="2"/>
        <v>A</v>
      </c>
      <c r="F260" s="7" t="str">
        <f t="shared" si="3"/>
        <v>B</v>
      </c>
      <c r="G260" s="7" t="str">
        <f t="shared" si="4"/>
        <v>Transformative change</v>
      </c>
      <c r="H260" s="7">
        <f t="shared" ref="H260:J260" si="269">ROUND(RAND(),2)</f>
        <v>0.61</v>
      </c>
      <c r="I260" s="7">
        <f t="shared" si="269"/>
        <v>0.24</v>
      </c>
      <c r="J260" s="7">
        <f t="shared" si="269"/>
        <v>0.34</v>
      </c>
      <c r="K260" s="7" t="str">
        <f t="shared" si="6"/>
        <v>High</v>
      </c>
      <c r="L260" s="7">
        <f t="shared" si="7"/>
        <v>3191481</v>
      </c>
      <c r="M260" s="7">
        <f t="shared" si="8"/>
        <v>1097944.54</v>
      </c>
      <c r="N260" s="7">
        <f t="shared" si="9"/>
        <v>72675</v>
      </c>
      <c r="O260" s="7">
        <f t="shared" si="13"/>
        <v>253941</v>
      </c>
      <c r="P260" s="7">
        <f t="shared" si="10"/>
        <v>1048</v>
      </c>
      <c r="Q260" s="7">
        <f t="shared" si="11"/>
        <v>0.17</v>
      </c>
    </row>
    <row r="261">
      <c r="A261" s="4" t="s">
        <v>509</v>
      </c>
      <c r="B261" s="4" t="s">
        <v>750</v>
      </c>
      <c r="C261" s="4" t="s">
        <v>751</v>
      </c>
      <c r="D261" s="5">
        <v>11759.0</v>
      </c>
      <c r="E261" s="7" t="str">
        <f t="shared" si="2"/>
        <v>B</v>
      </c>
      <c r="F261" s="7" t="str">
        <f t="shared" si="3"/>
        <v>B</v>
      </c>
      <c r="G261" s="7" t="str">
        <f t="shared" si="4"/>
        <v>Transformative change</v>
      </c>
      <c r="H261" s="7">
        <f t="shared" ref="H261:J261" si="270">ROUND(RAND(),2)</f>
        <v>0.94</v>
      </c>
      <c r="I261" s="7">
        <f t="shared" si="270"/>
        <v>0.39</v>
      </c>
      <c r="J261" s="7">
        <f t="shared" si="270"/>
        <v>0.04</v>
      </c>
      <c r="K261" s="7" t="str">
        <f t="shared" si="6"/>
        <v>Medium</v>
      </c>
      <c r="L261" s="7">
        <f t="shared" si="7"/>
        <v>2323585</v>
      </c>
      <c r="M261" s="7">
        <f t="shared" si="8"/>
        <v>1826087.6</v>
      </c>
      <c r="N261" s="7">
        <f t="shared" si="9"/>
        <v>47036</v>
      </c>
      <c r="O261" s="7">
        <f t="shared" si="13"/>
        <v>78707</v>
      </c>
      <c r="P261" s="7">
        <f t="shared" si="10"/>
        <v>801</v>
      </c>
      <c r="Q261" s="7">
        <f t="shared" si="11"/>
        <v>0.09</v>
      </c>
    </row>
    <row r="262">
      <c r="A262" s="4" t="s">
        <v>752</v>
      </c>
      <c r="B262" s="4" t="s">
        <v>753</v>
      </c>
      <c r="C262" s="4" t="s">
        <v>754</v>
      </c>
      <c r="D262" s="5">
        <v>11928.0</v>
      </c>
      <c r="E262" s="7" t="str">
        <f t="shared" si="2"/>
        <v>G</v>
      </c>
      <c r="F262" s="7" t="str">
        <f t="shared" si="3"/>
        <v>A</v>
      </c>
      <c r="G262" s="7" t="str">
        <f t="shared" si="4"/>
        <v>Transformative change</v>
      </c>
      <c r="H262" s="7">
        <f t="shared" ref="H262:J262" si="271">ROUND(RAND(),2)</f>
        <v>0.08</v>
      </c>
      <c r="I262" s="7">
        <f t="shared" si="271"/>
        <v>0.93</v>
      </c>
      <c r="J262" s="7">
        <f t="shared" si="271"/>
        <v>0.3</v>
      </c>
      <c r="K262" s="7" t="str">
        <f t="shared" si="6"/>
        <v>Low</v>
      </c>
      <c r="L262" s="7">
        <f t="shared" si="7"/>
        <v>1042711</v>
      </c>
      <c r="M262" s="7">
        <f t="shared" si="8"/>
        <v>193002.8527</v>
      </c>
      <c r="N262" s="7">
        <f t="shared" si="9"/>
        <v>155064</v>
      </c>
      <c r="O262" s="7">
        <f t="shared" si="13"/>
        <v>259443</v>
      </c>
      <c r="P262" s="7">
        <f t="shared" si="10"/>
        <v>823</v>
      </c>
      <c r="Q262" s="7">
        <f t="shared" si="11"/>
        <v>0.26</v>
      </c>
    </row>
    <row r="263">
      <c r="A263" s="4" t="s">
        <v>755</v>
      </c>
      <c r="B263" s="4" t="s">
        <v>756</v>
      </c>
      <c r="C263" s="4" t="s">
        <v>757</v>
      </c>
      <c r="D263" s="5">
        <v>19877.0</v>
      </c>
      <c r="E263" s="7" t="str">
        <f t="shared" si="2"/>
        <v>A</v>
      </c>
      <c r="F263" s="7" t="str">
        <f t="shared" si="3"/>
        <v>C</v>
      </c>
      <c r="G263" s="7" t="str">
        <f t="shared" si="4"/>
        <v>Transformative change</v>
      </c>
      <c r="H263" s="7">
        <f t="shared" ref="H263:J263" si="272">ROUND(RAND(),2)</f>
        <v>0.35</v>
      </c>
      <c r="I263" s="7">
        <f t="shared" si="272"/>
        <v>0.01</v>
      </c>
      <c r="J263" s="7">
        <f t="shared" si="272"/>
        <v>0.71</v>
      </c>
      <c r="K263" s="7" t="str">
        <f t="shared" si="6"/>
        <v>Medium</v>
      </c>
      <c r="L263" s="7">
        <f t="shared" si="7"/>
        <v>65958</v>
      </c>
      <c r="M263" s="7">
        <f t="shared" si="8"/>
        <v>5287.957901</v>
      </c>
      <c r="N263" s="7">
        <f t="shared" si="9"/>
        <v>198770</v>
      </c>
      <c r="O263" s="7">
        <f t="shared" si="13"/>
        <v>291831</v>
      </c>
      <c r="P263" s="7">
        <f t="shared" si="10"/>
        <v>862</v>
      </c>
      <c r="Q263" s="7">
        <f t="shared" si="11"/>
        <v>0.23</v>
      </c>
    </row>
    <row r="264">
      <c r="A264" s="4" t="s">
        <v>758</v>
      </c>
      <c r="B264" s="4" t="s">
        <v>759</v>
      </c>
      <c r="C264" s="4" t="s">
        <v>760</v>
      </c>
      <c r="D264" s="5">
        <v>14485.0</v>
      </c>
      <c r="E264" s="7" t="str">
        <f t="shared" si="2"/>
        <v>B</v>
      </c>
      <c r="F264" s="7" t="str">
        <f t="shared" si="3"/>
        <v>C</v>
      </c>
      <c r="G264" s="7" t="str">
        <f t="shared" si="4"/>
        <v>Transformative change</v>
      </c>
      <c r="H264" s="7">
        <f t="shared" ref="H264:J264" si="273">ROUND(RAND(),2)</f>
        <v>0.37</v>
      </c>
      <c r="I264" s="7">
        <f t="shared" si="273"/>
        <v>0.86</v>
      </c>
      <c r="J264" s="7">
        <f t="shared" si="273"/>
        <v>0.3</v>
      </c>
      <c r="K264" s="7" t="str">
        <f t="shared" si="6"/>
        <v>Medium</v>
      </c>
      <c r="L264" s="7">
        <f t="shared" si="7"/>
        <v>3495112</v>
      </c>
      <c r="M264" s="7">
        <f t="shared" si="8"/>
        <v>393642.7121</v>
      </c>
      <c r="N264" s="7">
        <f t="shared" si="9"/>
        <v>144850</v>
      </c>
      <c r="O264" s="7">
        <f t="shared" si="13"/>
        <v>271641</v>
      </c>
      <c r="P264" s="7">
        <f t="shared" si="10"/>
        <v>1042</v>
      </c>
      <c r="Q264" s="7">
        <f t="shared" si="11"/>
        <v>0.15</v>
      </c>
    </row>
    <row r="265">
      <c r="A265" s="4" t="s">
        <v>761</v>
      </c>
      <c r="B265" s="4" t="s">
        <v>762</v>
      </c>
      <c r="C265" s="4" t="s">
        <v>763</v>
      </c>
      <c r="D265" s="5">
        <v>27341.0</v>
      </c>
      <c r="E265" s="7" t="str">
        <f t="shared" si="2"/>
        <v>D</v>
      </c>
      <c r="F265" s="7" t="str">
        <f t="shared" si="3"/>
        <v>C</v>
      </c>
      <c r="G265" s="7" t="str">
        <f t="shared" si="4"/>
        <v>Transformative change</v>
      </c>
      <c r="H265" s="7">
        <f t="shared" ref="H265:J265" si="274">ROUND(RAND(),2)</f>
        <v>0.62</v>
      </c>
      <c r="I265" s="7">
        <f t="shared" si="274"/>
        <v>0.25</v>
      </c>
      <c r="J265" s="7">
        <f t="shared" si="274"/>
        <v>0.35</v>
      </c>
      <c r="K265" s="7" t="str">
        <f t="shared" si="6"/>
        <v>Medium</v>
      </c>
      <c r="L265" s="7">
        <f t="shared" si="7"/>
        <v>3614278</v>
      </c>
      <c r="M265" s="7">
        <f t="shared" si="8"/>
        <v>917287.5099</v>
      </c>
      <c r="N265" s="7">
        <f t="shared" si="9"/>
        <v>191387</v>
      </c>
      <c r="O265" s="7">
        <f t="shared" si="13"/>
        <v>383912</v>
      </c>
      <c r="P265" s="7">
        <f t="shared" si="10"/>
        <v>903</v>
      </c>
      <c r="Q265" s="7">
        <f t="shared" si="11"/>
        <v>0.06</v>
      </c>
    </row>
    <row r="266">
      <c r="A266" s="4" t="s">
        <v>764</v>
      </c>
      <c r="B266" s="4" t="s">
        <v>765</v>
      </c>
      <c r="C266" s="4" t="s">
        <v>766</v>
      </c>
      <c r="D266" s="5">
        <v>8393.0</v>
      </c>
      <c r="E266" s="7" t="str">
        <f t="shared" si="2"/>
        <v>C</v>
      </c>
      <c r="F266" s="7" t="str">
        <f t="shared" si="3"/>
        <v>C</v>
      </c>
      <c r="G266" s="7" t="str">
        <f t="shared" si="4"/>
        <v>High ambition</v>
      </c>
      <c r="H266" s="7">
        <f t="shared" ref="H266:J266" si="275">ROUND(RAND(),2)</f>
        <v>0.91</v>
      </c>
      <c r="I266" s="7">
        <f t="shared" si="275"/>
        <v>0.86</v>
      </c>
      <c r="J266" s="7">
        <f t="shared" si="275"/>
        <v>0.76</v>
      </c>
      <c r="K266" s="7" t="str">
        <f t="shared" si="6"/>
        <v>Low</v>
      </c>
      <c r="L266" s="7">
        <f t="shared" si="7"/>
        <v>2795582</v>
      </c>
      <c r="M266" s="7">
        <f t="shared" si="8"/>
        <v>1332963.087</v>
      </c>
      <c r="N266" s="7">
        <f t="shared" si="9"/>
        <v>100716</v>
      </c>
      <c r="O266" s="7">
        <f t="shared" si="13"/>
        <v>204942</v>
      </c>
      <c r="P266" s="7">
        <f t="shared" si="10"/>
        <v>1007</v>
      </c>
      <c r="Q266" s="7">
        <f t="shared" si="11"/>
        <v>0.09</v>
      </c>
    </row>
    <row r="267">
      <c r="A267" s="4" t="s">
        <v>767</v>
      </c>
      <c r="B267" s="4" t="s">
        <v>768</v>
      </c>
      <c r="C267" s="4" t="s">
        <v>769</v>
      </c>
      <c r="D267" s="5">
        <v>65528.0</v>
      </c>
      <c r="E267" s="7" t="str">
        <f t="shared" si="2"/>
        <v>F</v>
      </c>
      <c r="F267" s="7" t="str">
        <f t="shared" si="3"/>
        <v>C</v>
      </c>
      <c r="G267" s="7" t="str">
        <f t="shared" si="4"/>
        <v>Transformative change</v>
      </c>
      <c r="H267" s="7">
        <f t="shared" ref="H267:J267" si="276">ROUND(RAND(),2)</f>
        <v>0.72</v>
      </c>
      <c r="I267" s="7">
        <f t="shared" si="276"/>
        <v>0.47</v>
      </c>
      <c r="J267" s="7">
        <f t="shared" si="276"/>
        <v>0.12</v>
      </c>
      <c r="K267" s="7" t="str">
        <f t="shared" si="6"/>
        <v>Low</v>
      </c>
      <c r="L267" s="7">
        <f t="shared" si="7"/>
        <v>1782737</v>
      </c>
      <c r="M267" s="7">
        <f t="shared" si="8"/>
        <v>683639.225</v>
      </c>
      <c r="N267" s="7">
        <f t="shared" si="9"/>
        <v>982920</v>
      </c>
      <c r="O267" s="7">
        <f t="shared" si="13"/>
        <v>1140780</v>
      </c>
      <c r="P267" s="7">
        <f t="shared" si="10"/>
        <v>6382.6</v>
      </c>
      <c r="Q267" s="7">
        <f t="shared" si="11"/>
        <v>0.3</v>
      </c>
    </row>
    <row r="268">
      <c r="A268" s="4" t="s">
        <v>770</v>
      </c>
      <c r="B268" s="4" t="s">
        <v>771</v>
      </c>
      <c r="C268" s="4" t="s">
        <v>772</v>
      </c>
      <c r="D268" s="5">
        <v>6183.0</v>
      </c>
      <c r="E268" s="7" t="str">
        <f t="shared" si="2"/>
        <v>F</v>
      </c>
      <c r="F268" s="7" t="str">
        <f t="shared" si="3"/>
        <v>C</v>
      </c>
      <c r="G268" s="7" t="str">
        <f t="shared" si="4"/>
        <v>Transformative change</v>
      </c>
      <c r="H268" s="7">
        <f t="shared" ref="H268:J268" si="277">ROUND(RAND(),2)</f>
        <v>0.85</v>
      </c>
      <c r="I268" s="7">
        <f t="shared" si="277"/>
        <v>0.59</v>
      </c>
      <c r="J268" s="7">
        <f t="shared" si="277"/>
        <v>0.67</v>
      </c>
      <c r="K268" s="7" t="str">
        <f t="shared" si="6"/>
        <v>Medium</v>
      </c>
      <c r="L268" s="7">
        <f t="shared" si="7"/>
        <v>3501072</v>
      </c>
      <c r="M268" s="7">
        <f t="shared" si="8"/>
        <v>1023643.808</v>
      </c>
      <c r="N268" s="7">
        <f t="shared" si="9"/>
        <v>61830</v>
      </c>
      <c r="O268" s="7">
        <f t="shared" si="13"/>
        <v>193402</v>
      </c>
      <c r="P268" s="7">
        <f t="shared" si="10"/>
        <v>951</v>
      </c>
      <c r="Q268" s="7">
        <f t="shared" si="11"/>
        <v>0.22</v>
      </c>
    </row>
    <row r="269">
      <c r="A269" s="4" t="s">
        <v>773</v>
      </c>
      <c r="B269" s="4" t="s">
        <v>774</v>
      </c>
      <c r="C269" s="4" t="s">
        <v>775</v>
      </c>
      <c r="D269" s="5">
        <v>10830.0</v>
      </c>
      <c r="E269" s="7" t="str">
        <f t="shared" si="2"/>
        <v>B</v>
      </c>
      <c r="F269" s="7" t="str">
        <f t="shared" si="3"/>
        <v>C</v>
      </c>
      <c r="G269" s="7" t="str">
        <f t="shared" si="4"/>
        <v>Transformative change</v>
      </c>
      <c r="H269" s="7">
        <f t="shared" ref="H269:J269" si="278">ROUND(RAND(),2)</f>
        <v>0.17</v>
      </c>
      <c r="I269" s="7">
        <f t="shared" si="278"/>
        <v>0.5</v>
      </c>
      <c r="J269" s="7">
        <f t="shared" si="278"/>
        <v>0.42</v>
      </c>
      <c r="K269" s="7" t="str">
        <f t="shared" si="6"/>
        <v>High</v>
      </c>
      <c r="L269" s="7">
        <f t="shared" si="7"/>
        <v>1817217</v>
      </c>
      <c r="M269" s="7">
        <f t="shared" si="8"/>
        <v>1318192.338</v>
      </c>
      <c r="N269" s="7">
        <f t="shared" si="9"/>
        <v>140790</v>
      </c>
      <c r="O269" s="7">
        <f t="shared" si="13"/>
        <v>251754</v>
      </c>
      <c r="P269" s="7">
        <f t="shared" si="10"/>
        <v>821</v>
      </c>
      <c r="Q269" s="7">
        <f t="shared" si="11"/>
        <v>0.08</v>
      </c>
    </row>
    <row r="270">
      <c r="A270" s="4" t="s">
        <v>42</v>
      </c>
      <c r="B270" s="4" t="s">
        <v>776</v>
      </c>
      <c r="C270" s="4" t="s">
        <v>777</v>
      </c>
      <c r="D270" s="5">
        <v>15751.0</v>
      </c>
      <c r="E270" s="7" t="str">
        <f t="shared" si="2"/>
        <v>F</v>
      </c>
      <c r="F270" s="7" t="str">
        <f t="shared" si="3"/>
        <v>B</v>
      </c>
      <c r="G270" s="7" t="str">
        <f t="shared" si="4"/>
        <v>Transformative change</v>
      </c>
      <c r="H270" s="7">
        <f t="shared" ref="H270:J270" si="279">ROUND(RAND(),2)</f>
        <v>0.42</v>
      </c>
      <c r="I270" s="7">
        <f t="shared" si="279"/>
        <v>0.9</v>
      </c>
      <c r="J270" s="7">
        <f t="shared" si="279"/>
        <v>0.8</v>
      </c>
      <c r="K270" s="7" t="str">
        <f t="shared" si="6"/>
        <v>High</v>
      </c>
      <c r="L270" s="7">
        <f t="shared" si="7"/>
        <v>1885231</v>
      </c>
      <c r="M270" s="7">
        <f t="shared" si="8"/>
        <v>732970.8633</v>
      </c>
      <c r="N270" s="7">
        <f t="shared" si="9"/>
        <v>236265</v>
      </c>
      <c r="O270" s="7">
        <f t="shared" si="13"/>
        <v>429243</v>
      </c>
      <c r="P270" s="7">
        <f t="shared" si="10"/>
        <v>839</v>
      </c>
      <c r="Q270" s="7">
        <f t="shared" si="11"/>
        <v>0.22</v>
      </c>
    </row>
    <row r="271">
      <c r="A271" s="4" t="s">
        <v>778</v>
      </c>
      <c r="B271" s="4" t="s">
        <v>779</v>
      </c>
      <c r="C271" s="4" t="s">
        <v>780</v>
      </c>
      <c r="D271" s="5">
        <v>58382.0</v>
      </c>
      <c r="E271" s="7" t="str">
        <f t="shared" si="2"/>
        <v>F</v>
      </c>
      <c r="F271" s="7" t="str">
        <f t="shared" si="3"/>
        <v>C</v>
      </c>
      <c r="G271" s="7" t="str">
        <f t="shared" si="4"/>
        <v>Transformative change</v>
      </c>
      <c r="H271" s="7">
        <f t="shared" ref="H271:J271" si="280">ROUND(RAND(),2)</f>
        <v>0.48</v>
      </c>
      <c r="I271" s="7">
        <f t="shared" si="280"/>
        <v>0.51</v>
      </c>
      <c r="J271" s="7">
        <f t="shared" si="280"/>
        <v>0.69</v>
      </c>
      <c r="K271" s="7" t="str">
        <f t="shared" si="6"/>
        <v>High</v>
      </c>
      <c r="L271" s="7">
        <f t="shared" si="7"/>
        <v>2737081</v>
      </c>
      <c r="M271" s="7">
        <f t="shared" si="8"/>
        <v>953437.4957</v>
      </c>
      <c r="N271" s="7">
        <f t="shared" si="9"/>
        <v>875730</v>
      </c>
      <c r="O271" s="7">
        <f t="shared" si="13"/>
        <v>994245</v>
      </c>
      <c r="P271" s="7">
        <f t="shared" si="10"/>
        <v>36488.75</v>
      </c>
      <c r="Q271" s="7">
        <f t="shared" si="11"/>
        <v>0.18</v>
      </c>
    </row>
    <row r="272">
      <c r="A272" s="4" t="s">
        <v>781</v>
      </c>
      <c r="B272" s="4" t="s">
        <v>782</v>
      </c>
      <c r="C272" s="4" t="s">
        <v>95</v>
      </c>
      <c r="D272" s="5">
        <v>7716.0</v>
      </c>
      <c r="E272" s="7" t="str">
        <f t="shared" si="2"/>
        <v>D</v>
      </c>
      <c r="F272" s="7" t="str">
        <f t="shared" si="3"/>
        <v>C</v>
      </c>
      <c r="G272" s="7" t="str">
        <f t="shared" si="4"/>
        <v>Transformative change</v>
      </c>
      <c r="H272" s="7">
        <f t="shared" ref="H272:J272" si="281">ROUND(RAND(),2)</f>
        <v>0.38</v>
      </c>
      <c r="I272" s="7">
        <f t="shared" si="281"/>
        <v>0.56</v>
      </c>
      <c r="J272" s="7">
        <f t="shared" si="281"/>
        <v>0.96</v>
      </c>
      <c r="K272" s="7" t="str">
        <f t="shared" si="6"/>
        <v>High</v>
      </c>
      <c r="L272" s="7">
        <f t="shared" si="7"/>
        <v>708623</v>
      </c>
      <c r="M272" s="7">
        <f t="shared" si="8"/>
        <v>377183.9604</v>
      </c>
      <c r="N272" s="7">
        <f t="shared" si="9"/>
        <v>84876</v>
      </c>
      <c r="O272" s="7">
        <f t="shared" si="13"/>
        <v>128153</v>
      </c>
      <c r="P272" s="7">
        <f t="shared" si="10"/>
        <v>825</v>
      </c>
      <c r="Q272" s="7">
        <f t="shared" si="11"/>
        <v>0.19</v>
      </c>
    </row>
    <row r="273">
      <c r="A273" s="4" t="s">
        <v>783</v>
      </c>
      <c r="B273" s="4" t="s">
        <v>784</v>
      </c>
      <c r="C273" s="4" t="s">
        <v>785</v>
      </c>
      <c r="D273" s="5">
        <v>18591.0</v>
      </c>
      <c r="E273" s="7" t="str">
        <f t="shared" si="2"/>
        <v>D</v>
      </c>
      <c r="F273" s="7" t="str">
        <f t="shared" si="3"/>
        <v>A</v>
      </c>
      <c r="G273" s="7" t="str">
        <f t="shared" si="4"/>
        <v>Transformative change</v>
      </c>
      <c r="H273" s="7">
        <f t="shared" ref="H273:J273" si="282">ROUND(RAND(),2)</f>
        <v>0.73</v>
      </c>
      <c r="I273" s="7">
        <f t="shared" si="282"/>
        <v>0.92</v>
      </c>
      <c r="J273" s="7">
        <f t="shared" si="282"/>
        <v>0.95</v>
      </c>
      <c r="K273" s="7" t="str">
        <f t="shared" si="6"/>
        <v>Medium</v>
      </c>
      <c r="L273" s="7">
        <f t="shared" si="7"/>
        <v>2307266</v>
      </c>
      <c r="M273" s="7">
        <f t="shared" si="8"/>
        <v>629018.1586</v>
      </c>
      <c r="N273" s="7">
        <f t="shared" si="9"/>
        <v>241683</v>
      </c>
      <c r="O273" s="7">
        <f t="shared" si="13"/>
        <v>421650</v>
      </c>
      <c r="P273" s="7">
        <f t="shared" si="10"/>
        <v>2048.16</v>
      </c>
      <c r="Q273" s="7">
        <f t="shared" si="11"/>
        <v>0.05</v>
      </c>
    </row>
    <row r="274">
      <c r="A274" s="4" t="s">
        <v>786</v>
      </c>
      <c r="B274" s="4" t="s">
        <v>787</v>
      </c>
      <c r="C274" s="4" t="s">
        <v>788</v>
      </c>
      <c r="D274" s="5">
        <v>11990.0</v>
      </c>
      <c r="E274" s="7" t="str">
        <f t="shared" si="2"/>
        <v>C</v>
      </c>
      <c r="F274" s="7" t="str">
        <f t="shared" si="3"/>
        <v>B</v>
      </c>
      <c r="G274" s="7" t="str">
        <f t="shared" si="4"/>
        <v>Transformative change</v>
      </c>
      <c r="H274" s="7">
        <f t="shared" ref="H274:J274" si="283">ROUND(RAND(),2)</f>
        <v>0.61</v>
      </c>
      <c r="I274" s="7">
        <f t="shared" si="283"/>
        <v>0.19</v>
      </c>
      <c r="J274" s="7">
        <f t="shared" si="283"/>
        <v>0.24</v>
      </c>
      <c r="K274" s="7" t="str">
        <f t="shared" si="6"/>
        <v>Low</v>
      </c>
      <c r="L274" s="7">
        <f t="shared" si="7"/>
        <v>3730165</v>
      </c>
      <c r="M274" s="7">
        <f t="shared" si="8"/>
        <v>2960527.946</v>
      </c>
      <c r="N274" s="7">
        <f t="shared" si="9"/>
        <v>155870</v>
      </c>
      <c r="O274" s="7">
        <f t="shared" si="13"/>
        <v>224829</v>
      </c>
      <c r="P274" s="7">
        <f t="shared" si="10"/>
        <v>844</v>
      </c>
      <c r="Q274" s="7">
        <f t="shared" si="11"/>
        <v>0.29</v>
      </c>
    </row>
    <row r="275">
      <c r="A275" s="4" t="s">
        <v>789</v>
      </c>
      <c r="B275" s="4" t="s">
        <v>790</v>
      </c>
      <c r="C275" s="4" t="s">
        <v>791</v>
      </c>
      <c r="D275" s="5">
        <v>16921.0</v>
      </c>
      <c r="E275" s="7" t="str">
        <f t="shared" si="2"/>
        <v>A</v>
      </c>
      <c r="F275" s="7" t="str">
        <f t="shared" si="3"/>
        <v>B</v>
      </c>
      <c r="G275" s="7" t="str">
        <f t="shared" si="4"/>
        <v>Transformative change</v>
      </c>
      <c r="H275" s="7">
        <f t="shared" ref="H275:J275" si="284">ROUND(RAND(),2)</f>
        <v>0.2</v>
      </c>
      <c r="I275" s="7">
        <f t="shared" si="284"/>
        <v>0.67</v>
      </c>
      <c r="J275" s="7">
        <f t="shared" si="284"/>
        <v>0.58</v>
      </c>
      <c r="K275" s="7" t="str">
        <f t="shared" si="6"/>
        <v>High</v>
      </c>
      <c r="L275" s="7">
        <f t="shared" si="7"/>
        <v>1503128</v>
      </c>
      <c r="M275" s="7">
        <f t="shared" si="8"/>
        <v>423375.4401</v>
      </c>
      <c r="N275" s="7">
        <f t="shared" si="9"/>
        <v>101526</v>
      </c>
      <c r="O275" s="7">
        <f t="shared" si="13"/>
        <v>120481</v>
      </c>
      <c r="P275" s="7">
        <f t="shared" si="10"/>
        <v>912</v>
      </c>
      <c r="Q275" s="7">
        <f t="shared" si="11"/>
        <v>0.1</v>
      </c>
    </row>
    <row r="276">
      <c r="A276" s="4" t="s">
        <v>792</v>
      </c>
      <c r="B276" s="4" t="s">
        <v>793</v>
      </c>
      <c r="C276" s="4" t="s">
        <v>794</v>
      </c>
      <c r="D276" s="5">
        <v>15639.0</v>
      </c>
      <c r="E276" s="7" t="str">
        <f t="shared" si="2"/>
        <v>C</v>
      </c>
      <c r="F276" s="7" t="str">
        <f t="shared" si="3"/>
        <v>A</v>
      </c>
      <c r="G276" s="7" t="str">
        <f t="shared" si="4"/>
        <v>High ambition</v>
      </c>
      <c r="H276" s="7">
        <f t="shared" ref="H276:J276" si="285">ROUND(RAND(),2)</f>
        <v>0.57</v>
      </c>
      <c r="I276" s="7">
        <f t="shared" si="285"/>
        <v>0.56</v>
      </c>
      <c r="J276" s="7">
        <f t="shared" si="285"/>
        <v>0.06</v>
      </c>
      <c r="K276" s="7" t="str">
        <f t="shared" si="6"/>
        <v>Medium</v>
      </c>
      <c r="L276" s="7">
        <f t="shared" si="7"/>
        <v>377361</v>
      </c>
      <c r="M276" s="7">
        <f t="shared" si="8"/>
        <v>375764.1893</v>
      </c>
      <c r="N276" s="7">
        <f t="shared" si="9"/>
        <v>203307</v>
      </c>
      <c r="O276" s="7">
        <f t="shared" si="13"/>
        <v>351463</v>
      </c>
      <c r="P276" s="7">
        <f t="shared" si="10"/>
        <v>1092</v>
      </c>
      <c r="Q276" s="7">
        <f t="shared" si="11"/>
        <v>0.17</v>
      </c>
    </row>
    <row r="277">
      <c r="A277" s="4" t="s">
        <v>795</v>
      </c>
      <c r="B277" s="4" t="s">
        <v>796</v>
      </c>
      <c r="C277" s="4" t="s">
        <v>95</v>
      </c>
      <c r="D277" s="5">
        <v>16162.0</v>
      </c>
      <c r="E277" s="7" t="str">
        <f t="shared" si="2"/>
        <v>G</v>
      </c>
      <c r="F277" s="7" t="str">
        <f t="shared" si="3"/>
        <v>C</v>
      </c>
      <c r="G277" s="7" t="str">
        <f t="shared" si="4"/>
        <v>Transformative change</v>
      </c>
      <c r="H277" s="7">
        <f t="shared" ref="H277:J277" si="286">ROUND(RAND(),2)</f>
        <v>0.9</v>
      </c>
      <c r="I277" s="7">
        <f t="shared" si="286"/>
        <v>0.95</v>
      </c>
      <c r="J277" s="7">
        <f t="shared" si="286"/>
        <v>0.17</v>
      </c>
      <c r="K277" s="7" t="str">
        <f t="shared" si="6"/>
        <v>High</v>
      </c>
      <c r="L277" s="7">
        <f t="shared" si="7"/>
        <v>1906085</v>
      </c>
      <c r="M277" s="7">
        <f t="shared" si="8"/>
        <v>581228.1343</v>
      </c>
      <c r="N277" s="7">
        <f t="shared" si="9"/>
        <v>161620</v>
      </c>
      <c r="O277" s="7">
        <f t="shared" si="13"/>
        <v>332537</v>
      </c>
      <c r="P277" s="7">
        <f t="shared" si="10"/>
        <v>907</v>
      </c>
      <c r="Q277" s="7">
        <f t="shared" si="11"/>
        <v>0.28</v>
      </c>
    </row>
    <row r="278">
      <c r="A278" s="4" t="s">
        <v>797</v>
      </c>
      <c r="B278" s="4" t="s">
        <v>798</v>
      </c>
      <c r="C278" s="4" t="s">
        <v>799</v>
      </c>
      <c r="D278" s="5">
        <v>18228.0</v>
      </c>
      <c r="E278" s="7" t="str">
        <f t="shared" si="2"/>
        <v>D</v>
      </c>
      <c r="F278" s="7" t="str">
        <f t="shared" si="3"/>
        <v>B</v>
      </c>
      <c r="G278" s="7" t="str">
        <f t="shared" si="4"/>
        <v>Transformative change</v>
      </c>
      <c r="H278" s="7">
        <f t="shared" ref="H278:J278" si="287">ROUND(RAND(),2)</f>
        <v>0.01</v>
      </c>
      <c r="I278" s="7">
        <f t="shared" si="287"/>
        <v>0.43</v>
      </c>
      <c r="J278" s="7">
        <f t="shared" si="287"/>
        <v>0.1</v>
      </c>
      <c r="K278" s="7" t="str">
        <f t="shared" si="6"/>
        <v>Medium</v>
      </c>
      <c r="L278" s="7">
        <f t="shared" si="7"/>
        <v>574187</v>
      </c>
      <c r="M278" s="7">
        <f t="shared" si="8"/>
        <v>130308.1471</v>
      </c>
      <c r="N278" s="7">
        <f t="shared" si="9"/>
        <v>255192</v>
      </c>
      <c r="O278" s="7">
        <f t="shared" si="13"/>
        <v>422284</v>
      </c>
      <c r="P278" s="7">
        <f t="shared" si="10"/>
        <v>907</v>
      </c>
      <c r="Q278" s="7">
        <f t="shared" si="11"/>
        <v>0.25</v>
      </c>
    </row>
    <row r="279">
      <c r="A279" s="4" t="s">
        <v>800</v>
      </c>
      <c r="B279" s="4" t="s">
        <v>801</v>
      </c>
      <c r="C279" s="4" t="s">
        <v>802</v>
      </c>
      <c r="D279" s="5">
        <v>19517.0</v>
      </c>
      <c r="E279" s="7" t="str">
        <f t="shared" si="2"/>
        <v>D</v>
      </c>
      <c r="F279" s="7" t="str">
        <f t="shared" si="3"/>
        <v>B</v>
      </c>
      <c r="G279" s="7" t="str">
        <f t="shared" si="4"/>
        <v>Transformative change</v>
      </c>
      <c r="H279" s="7">
        <f t="shared" ref="H279:J279" si="288">ROUND(RAND(),2)</f>
        <v>0.32</v>
      </c>
      <c r="I279" s="7">
        <f t="shared" si="288"/>
        <v>0.08</v>
      </c>
      <c r="J279" s="7">
        <f t="shared" si="288"/>
        <v>0.37</v>
      </c>
      <c r="K279" s="7" t="str">
        <f t="shared" si="6"/>
        <v>High</v>
      </c>
      <c r="L279" s="7">
        <f t="shared" si="7"/>
        <v>644939</v>
      </c>
      <c r="M279" s="7">
        <f t="shared" si="8"/>
        <v>61868.87478</v>
      </c>
      <c r="N279" s="7">
        <f t="shared" si="9"/>
        <v>292755</v>
      </c>
      <c r="O279" s="7">
        <f t="shared" si="13"/>
        <v>337365</v>
      </c>
      <c r="P279" s="7">
        <f t="shared" si="10"/>
        <v>5136.05</v>
      </c>
      <c r="Q279" s="7">
        <f t="shared" si="11"/>
        <v>0.13</v>
      </c>
    </row>
    <row r="280">
      <c r="A280" s="4" t="s">
        <v>803</v>
      </c>
      <c r="B280" s="4" t="s">
        <v>804</v>
      </c>
      <c r="C280" s="4" t="s">
        <v>805</v>
      </c>
      <c r="D280" s="5">
        <v>11738.0</v>
      </c>
      <c r="E280" s="7" t="str">
        <f t="shared" si="2"/>
        <v>A</v>
      </c>
      <c r="F280" s="7" t="str">
        <f t="shared" si="3"/>
        <v>C</v>
      </c>
      <c r="G280" s="7" t="str">
        <f t="shared" si="4"/>
        <v>Transformative change</v>
      </c>
      <c r="H280" s="7">
        <f t="shared" ref="H280:J280" si="289">ROUND(RAND(),2)</f>
        <v>0.66</v>
      </c>
      <c r="I280" s="7">
        <f t="shared" si="289"/>
        <v>0.46</v>
      </c>
      <c r="J280" s="7">
        <f t="shared" si="289"/>
        <v>0.69</v>
      </c>
      <c r="K280" s="7" t="str">
        <f t="shared" si="6"/>
        <v>High</v>
      </c>
      <c r="L280" s="7">
        <f t="shared" si="7"/>
        <v>2967836</v>
      </c>
      <c r="M280" s="7">
        <f t="shared" si="8"/>
        <v>460417.5079</v>
      </c>
      <c r="N280" s="7">
        <f t="shared" si="9"/>
        <v>152594</v>
      </c>
      <c r="O280" s="7">
        <f t="shared" si="13"/>
        <v>321578</v>
      </c>
      <c r="P280" s="7">
        <f t="shared" si="10"/>
        <v>1350.39</v>
      </c>
      <c r="Q280" s="7">
        <f t="shared" si="11"/>
        <v>0.2</v>
      </c>
    </row>
    <row r="281">
      <c r="A281" s="4" t="s">
        <v>806</v>
      </c>
      <c r="B281" s="4" t="s">
        <v>807</v>
      </c>
      <c r="C281" s="4" t="s">
        <v>259</v>
      </c>
      <c r="D281" s="5">
        <v>11866.0</v>
      </c>
      <c r="E281" s="7" t="str">
        <f t="shared" si="2"/>
        <v>G</v>
      </c>
      <c r="F281" s="7" t="str">
        <f t="shared" si="3"/>
        <v>A</v>
      </c>
      <c r="G281" s="7" t="str">
        <f t="shared" si="4"/>
        <v>Transformative change</v>
      </c>
      <c r="H281" s="7">
        <f t="shared" ref="H281:J281" si="290">ROUND(RAND(),2)</f>
        <v>0.49</v>
      </c>
      <c r="I281" s="7">
        <f t="shared" si="290"/>
        <v>0.94</v>
      </c>
      <c r="J281" s="7">
        <f t="shared" si="290"/>
        <v>0.18</v>
      </c>
      <c r="K281" s="7" t="str">
        <f t="shared" si="6"/>
        <v>High</v>
      </c>
      <c r="L281" s="7">
        <f t="shared" si="7"/>
        <v>1995867</v>
      </c>
      <c r="M281" s="7">
        <f t="shared" si="8"/>
        <v>1692136.441</v>
      </c>
      <c r="N281" s="7">
        <f t="shared" si="9"/>
        <v>166124</v>
      </c>
      <c r="O281" s="7">
        <f t="shared" si="13"/>
        <v>218424</v>
      </c>
      <c r="P281" s="7">
        <f t="shared" si="10"/>
        <v>1060</v>
      </c>
      <c r="Q281" s="7">
        <f t="shared" si="11"/>
        <v>0.03</v>
      </c>
    </row>
    <row r="282">
      <c r="A282" s="4" t="s">
        <v>808</v>
      </c>
      <c r="B282" s="4" t="s">
        <v>809</v>
      </c>
      <c r="C282" s="4" t="s">
        <v>810</v>
      </c>
      <c r="D282" s="5">
        <v>8573.0</v>
      </c>
      <c r="E282" s="7" t="str">
        <f t="shared" si="2"/>
        <v>F</v>
      </c>
      <c r="F282" s="7" t="str">
        <f t="shared" si="3"/>
        <v>B</v>
      </c>
      <c r="G282" s="7" t="str">
        <f t="shared" si="4"/>
        <v>Transformative change</v>
      </c>
      <c r="H282" s="7">
        <f t="shared" ref="H282:J282" si="291">ROUND(RAND(),2)</f>
        <v>0.26</v>
      </c>
      <c r="I282" s="7">
        <f t="shared" si="291"/>
        <v>0.5</v>
      </c>
      <c r="J282" s="7">
        <f t="shared" si="291"/>
        <v>0.99</v>
      </c>
      <c r="K282" s="7" t="str">
        <f t="shared" si="6"/>
        <v>Low</v>
      </c>
      <c r="L282" s="7">
        <f t="shared" si="7"/>
        <v>2379357</v>
      </c>
      <c r="M282" s="7">
        <f t="shared" si="8"/>
        <v>516161.8869</v>
      </c>
      <c r="N282" s="7">
        <f t="shared" si="9"/>
        <v>60011</v>
      </c>
      <c r="O282" s="7">
        <f t="shared" si="13"/>
        <v>70668</v>
      </c>
      <c r="P282" s="7">
        <f t="shared" si="10"/>
        <v>941</v>
      </c>
      <c r="Q282" s="7">
        <f t="shared" si="11"/>
        <v>0.26</v>
      </c>
    </row>
    <row r="283">
      <c r="A283" s="4" t="s">
        <v>811</v>
      </c>
      <c r="B283" s="4" t="s">
        <v>812</v>
      </c>
      <c r="C283" s="4" t="s">
        <v>813</v>
      </c>
      <c r="D283" s="5">
        <v>16760.0</v>
      </c>
      <c r="E283" s="7" t="str">
        <f t="shared" si="2"/>
        <v>E</v>
      </c>
      <c r="F283" s="7" t="str">
        <f t="shared" si="3"/>
        <v>A</v>
      </c>
      <c r="G283" s="7" t="str">
        <f t="shared" si="4"/>
        <v>Transformative change</v>
      </c>
      <c r="H283" s="7">
        <f t="shared" ref="H283:J283" si="292">ROUND(RAND(),2)</f>
        <v>0.43</v>
      </c>
      <c r="I283" s="7">
        <f t="shared" si="292"/>
        <v>0.2</v>
      </c>
      <c r="J283" s="7">
        <f t="shared" si="292"/>
        <v>0.36</v>
      </c>
      <c r="K283" s="7" t="str">
        <f t="shared" si="6"/>
        <v>Low</v>
      </c>
      <c r="L283" s="7">
        <f t="shared" si="7"/>
        <v>1413353</v>
      </c>
      <c r="M283" s="7">
        <f t="shared" si="8"/>
        <v>568392.0379</v>
      </c>
      <c r="N283" s="7">
        <f t="shared" si="9"/>
        <v>217880</v>
      </c>
      <c r="O283" s="7">
        <f t="shared" si="13"/>
        <v>388388</v>
      </c>
      <c r="P283" s="7">
        <f t="shared" si="10"/>
        <v>919</v>
      </c>
      <c r="Q283" s="7">
        <f t="shared" si="11"/>
        <v>0.02</v>
      </c>
    </row>
    <row r="284">
      <c r="A284" s="4" t="s">
        <v>814</v>
      </c>
      <c r="B284" s="4" t="s">
        <v>815</v>
      </c>
      <c r="C284" s="4" t="s">
        <v>816</v>
      </c>
      <c r="D284" s="5">
        <v>252534.0</v>
      </c>
      <c r="E284" s="7" t="str">
        <f t="shared" si="2"/>
        <v>A</v>
      </c>
      <c r="F284" s="7" t="str">
        <f t="shared" si="3"/>
        <v>B</v>
      </c>
      <c r="G284" s="7" t="str">
        <f t="shared" si="4"/>
        <v>Transformative change</v>
      </c>
      <c r="H284" s="7">
        <f t="shared" ref="H284:J284" si="293">ROUND(RAND(),2)</f>
        <v>0.89</v>
      </c>
      <c r="I284" s="7">
        <f t="shared" si="293"/>
        <v>0.57</v>
      </c>
      <c r="J284" s="7">
        <f t="shared" si="293"/>
        <v>0.76</v>
      </c>
      <c r="K284" s="7" t="str">
        <f t="shared" si="6"/>
        <v>Medium</v>
      </c>
      <c r="L284" s="7">
        <f t="shared" si="7"/>
        <v>3908111</v>
      </c>
      <c r="M284" s="7">
        <f t="shared" si="8"/>
        <v>2701109.005</v>
      </c>
      <c r="N284" s="7">
        <f t="shared" si="9"/>
        <v>3030408</v>
      </c>
      <c r="O284" s="7">
        <f t="shared" si="13"/>
        <v>3151439</v>
      </c>
      <c r="P284" s="7">
        <f t="shared" si="10"/>
        <v>65878.43</v>
      </c>
      <c r="Q284" s="7">
        <f t="shared" si="11"/>
        <v>0.18</v>
      </c>
    </row>
    <row r="285">
      <c r="A285" s="4" t="s">
        <v>817</v>
      </c>
      <c r="B285" s="4" t="s">
        <v>818</v>
      </c>
      <c r="C285" s="4" t="s">
        <v>819</v>
      </c>
      <c r="D285" s="5">
        <v>322262.0</v>
      </c>
      <c r="E285" s="7" t="str">
        <f t="shared" si="2"/>
        <v>A</v>
      </c>
      <c r="F285" s="7" t="str">
        <f t="shared" si="3"/>
        <v>C</v>
      </c>
      <c r="G285" s="7" t="str">
        <f t="shared" si="4"/>
        <v>High ambition</v>
      </c>
      <c r="H285" s="7">
        <f t="shared" ref="H285:J285" si="294">ROUND(RAND(),2)</f>
        <v>0.64</v>
      </c>
      <c r="I285" s="7">
        <f t="shared" si="294"/>
        <v>0.81</v>
      </c>
      <c r="J285" s="7">
        <f t="shared" si="294"/>
        <v>0.19</v>
      </c>
      <c r="K285" s="7" t="str">
        <f t="shared" si="6"/>
        <v>Medium</v>
      </c>
      <c r="L285" s="7">
        <f t="shared" si="7"/>
        <v>2104989</v>
      </c>
      <c r="M285" s="7">
        <f t="shared" si="8"/>
        <v>1710246.596</v>
      </c>
      <c r="N285" s="7">
        <f t="shared" si="9"/>
        <v>3222620</v>
      </c>
      <c r="O285" s="7">
        <f t="shared" si="13"/>
        <v>3363261</v>
      </c>
      <c r="P285" s="7">
        <f t="shared" si="10"/>
        <v>23871.26</v>
      </c>
      <c r="Q285" s="7">
        <f t="shared" si="11"/>
        <v>0.16</v>
      </c>
    </row>
    <row r="286">
      <c r="A286" s="4" t="s">
        <v>820</v>
      </c>
      <c r="B286" s="4" t="s">
        <v>821</v>
      </c>
      <c r="C286" s="4" t="s">
        <v>822</v>
      </c>
      <c r="D286" s="5">
        <v>9680.0</v>
      </c>
      <c r="E286" s="7" t="str">
        <f t="shared" si="2"/>
        <v>G</v>
      </c>
      <c r="F286" s="7" t="str">
        <f t="shared" si="3"/>
        <v>B</v>
      </c>
      <c r="G286" s="7" t="str">
        <f t="shared" si="4"/>
        <v>Transformative change</v>
      </c>
      <c r="H286" s="7">
        <f t="shared" ref="H286:J286" si="295">ROUND(RAND(),2)</f>
        <v>0.14</v>
      </c>
      <c r="I286" s="7">
        <f t="shared" si="295"/>
        <v>0.83</v>
      </c>
      <c r="J286" s="7">
        <f t="shared" si="295"/>
        <v>0.88</v>
      </c>
      <c r="K286" s="7" t="str">
        <f t="shared" si="6"/>
        <v>High</v>
      </c>
      <c r="L286" s="7">
        <f t="shared" si="7"/>
        <v>2786189</v>
      </c>
      <c r="M286" s="7">
        <f t="shared" si="8"/>
        <v>542200.4318</v>
      </c>
      <c r="N286" s="7">
        <f t="shared" si="9"/>
        <v>96800</v>
      </c>
      <c r="O286" s="7">
        <f t="shared" si="13"/>
        <v>222982</v>
      </c>
      <c r="P286" s="7">
        <f t="shared" si="10"/>
        <v>1013</v>
      </c>
      <c r="Q286" s="7">
        <f t="shared" si="11"/>
        <v>0.24</v>
      </c>
    </row>
    <row r="287">
      <c r="A287" s="4" t="s">
        <v>823</v>
      </c>
      <c r="B287" s="4" t="s">
        <v>824</v>
      </c>
      <c r="C287" s="4" t="s">
        <v>825</v>
      </c>
      <c r="D287" s="5">
        <v>15052.0</v>
      </c>
      <c r="E287" s="7" t="str">
        <f t="shared" si="2"/>
        <v>C</v>
      </c>
      <c r="F287" s="7" t="str">
        <f t="shared" si="3"/>
        <v>A</v>
      </c>
      <c r="G287" s="7" t="str">
        <f t="shared" si="4"/>
        <v>Transformative change</v>
      </c>
      <c r="H287" s="7">
        <f t="shared" ref="H287:J287" si="296">ROUND(RAND(),2)</f>
        <v>0.05</v>
      </c>
      <c r="I287" s="7">
        <f t="shared" si="296"/>
        <v>0.73</v>
      </c>
      <c r="J287" s="7">
        <f t="shared" si="296"/>
        <v>0.77</v>
      </c>
      <c r="K287" s="7" t="str">
        <f t="shared" si="6"/>
        <v>High</v>
      </c>
      <c r="L287" s="7">
        <f t="shared" si="7"/>
        <v>284840</v>
      </c>
      <c r="M287" s="7">
        <f t="shared" si="8"/>
        <v>64011.52118</v>
      </c>
      <c r="N287" s="7">
        <f t="shared" si="9"/>
        <v>135468</v>
      </c>
      <c r="O287" s="7">
        <f t="shared" si="13"/>
        <v>316768</v>
      </c>
      <c r="P287" s="7">
        <f t="shared" si="10"/>
        <v>859</v>
      </c>
      <c r="Q287" s="7">
        <f t="shared" si="11"/>
        <v>0.18</v>
      </c>
    </row>
    <row r="288">
      <c r="A288" s="4" t="s">
        <v>826</v>
      </c>
      <c r="B288" s="4" t="s">
        <v>827</v>
      </c>
      <c r="C288" s="4" t="s">
        <v>828</v>
      </c>
      <c r="D288" s="5">
        <v>10573.0</v>
      </c>
      <c r="E288" s="7" t="str">
        <f t="shared" si="2"/>
        <v>C</v>
      </c>
      <c r="F288" s="7" t="str">
        <f t="shared" si="3"/>
        <v>A</v>
      </c>
      <c r="G288" s="7" t="str">
        <f t="shared" si="4"/>
        <v>Transformative change</v>
      </c>
      <c r="H288" s="7">
        <f t="shared" ref="H288:J288" si="297">ROUND(RAND(),2)</f>
        <v>0.02</v>
      </c>
      <c r="I288" s="7">
        <f t="shared" si="297"/>
        <v>0.53</v>
      </c>
      <c r="J288" s="7">
        <f t="shared" si="297"/>
        <v>0.85</v>
      </c>
      <c r="K288" s="7" t="str">
        <f t="shared" si="6"/>
        <v>Low</v>
      </c>
      <c r="L288" s="7">
        <f t="shared" si="7"/>
        <v>2886419</v>
      </c>
      <c r="M288" s="7">
        <f t="shared" si="8"/>
        <v>749773.6953</v>
      </c>
      <c r="N288" s="7">
        <f t="shared" si="9"/>
        <v>42292</v>
      </c>
      <c r="O288" s="7">
        <f t="shared" si="13"/>
        <v>73218</v>
      </c>
      <c r="P288" s="7">
        <f t="shared" si="10"/>
        <v>884</v>
      </c>
      <c r="Q288" s="7">
        <f t="shared" si="11"/>
        <v>0.11</v>
      </c>
    </row>
    <row r="289">
      <c r="A289" s="4" t="s">
        <v>829</v>
      </c>
      <c r="B289" s="4" t="s">
        <v>830</v>
      </c>
      <c r="C289" s="4" t="s">
        <v>95</v>
      </c>
      <c r="D289" s="5">
        <v>58999.0</v>
      </c>
      <c r="E289" s="7" t="str">
        <f t="shared" si="2"/>
        <v>F</v>
      </c>
      <c r="F289" s="7" t="str">
        <f t="shared" si="3"/>
        <v>A</v>
      </c>
      <c r="G289" s="7" t="str">
        <f t="shared" si="4"/>
        <v>Transformative change</v>
      </c>
      <c r="H289" s="7">
        <f t="shared" ref="H289:J289" si="298">ROUND(RAND(),2)</f>
        <v>0.83</v>
      </c>
      <c r="I289" s="7">
        <f t="shared" si="298"/>
        <v>0.65</v>
      </c>
      <c r="J289" s="7">
        <f t="shared" si="298"/>
        <v>0.96</v>
      </c>
      <c r="K289" s="7" t="str">
        <f t="shared" si="6"/>
        <v>Low</v>
      </c>
      <c r="L289" s="7">
        <f t="shared" si="7"/>
        <v>2103220</v>
      </c>
      <c r="M289" s="7">
        <f t="shared" si="8"/>
        <v>695356.3158</v>
      </c>
      <c r="N289" s="7">
        <f t="shared" si="9"/>
        <v>884985</v>
      </c>
      <c r="O289" s="7">
        <f t="shared" si="13"/>
        <v>923708</v>
      </c>
      <c r="P289" s="7">
        <f t="shared" si="10"/>
        <v>8428.43</v>
      </c>
      <c r="Q289" s="7">
        <f t="shared" si="11"/>
        <v>0.25</v>
      </c>
    </row>
    <row r="290">
      <c r="A290" s="4" t="s">
        <v>561</v>
      </c>
      <c r="B290" s="4" t="s">
        <v>831</v>
      </c>
      <c r="C290" s="4" t="s">
        <v>95</v>
      </c>
      <c r="D290" s="5">
        <v>42796.0</v>
      </c>
      <c r="E290" s="7" t="str">
        <f t="shared" si="2"/>
        <v>E</v>
      </c>
      <c r="F290" s="7" t="str">
        <f t="shared" si="3"/>
        <v>A</v>
      </c>
      <c r="G290" s="7" t="str">
        <f t="shared" si="4"/>
        <v>Transformative change</v>
      </c>
      <c r="H290" s="7">
        <f t="shared" ref="H290:J290" si="299">ROUND(RAND(),2)</f>
        <v>0.54</v>
      </c>
      <c r="I290" s="7">
        <f t="shared" si="299"/>
        <v>0.52</v>
      </c>
      <c r="J290" s="7">
        <f t="shared" si="299"/>
        <v>0.47</v>
      </c>
      <c r="K290" s="7" t="str">
        <f t="shared" si="6"/>
        <v>Medium</v>
      </c>
      <c r="L290" s="7">
        <f t="shared" si="7"/>
        <v>2576290</v>
      </c>
      <c r="M290" s="7">
        <f t="shared" si="8"/>
        <v>953205.0529</v>
      </c>
      <c r="N290" s="7">
        <f t="shared" si="9"/>
        <v>641940</v>
      </c>
      <c r="O290" s="7">
        <f t="shared" si="13"/>
        <v>715638</v>
      </c>
      <c r="P290" s="7">
        <f t="shared" si="10"/>
        <v>7294.77</v>
      </c>
      <c r="Q290" s="7">
        <f t="shared" si="11"/>
        <v>0.25</v>
      </c>
    </row>
    <row r="291">
      <c r="A291" s="4" t="s">
        <v>832</v>
      </c>
      <c r="B291" s="4" t="s">
        <v>833</v>
      </c>
      <c r="C291" s="4" t="s">
        <v>95</v>
      </c>
      <c r="D291" s="5">
        <v>10548.0</v>
      </c>
      <c r="E291" s="7" t="str">
        <f t="shared" si="2"/>
        <v>B</v>
      </c>
      <c r="F291" s="7" t="str">
        <f t="shared" si="3"/>
        <v>B</v>
      </c>
      <c r="G291" s="7" t="str">
        <f t="shared" si="4"/>
        <v>Transformative change</v>
      </c>
      <c r="H291" s="7">
        <f t="shared" ref="H291:J291" si="300">ROUND(RAND(),2)</f>
        <v>0.21</v>
      </c>
      <c r="I291" s="7">
        <f t="shared" si="300"/>
        <v>0.11</v>
      </c>
      <c r="J291" s="7">
        <f t="shared" si="300"/>
        <v>0.97</v>
      </c>
      <c r="K291" s="7" t="str">
        <f t="shared" si="6"/>
        <v>Medium</v>
      </c>
      <c r="L291" s="7">
        <f t="shared" si="7"/>
        <v>2114992</v>
      </c>
      <c r="M291" s="7">
        <f t="shared" si="8"/>
        <v>78922.75364</v>
      </c>
      <c r="N291" s="7">
        <f t="shared" si="9"/>
        <v>42192</v>
      </c>
      <c r="O291" s="7">
        <f t="shared" si="13"/>
        <v>82857</v>
      </c>
      <c r="P291" s="7">
        <f t="shared" si="10"/>
        <v>1087</v>
      </c>
      <c r="Q291" s="7">
        <f t="shared" si="11"/>
        <v>0.3</v>
      </c>
    </row>
    <row r="292">
      <c r="A292" s="4" t="s">
        <v>834</v>
      </c>
      <c r="B292" s="4" t="s">
        <v>835</v>
      </c>
      <c r="C292" s="4" t="s">
        <v>836</v>
      </c>
      <c r="D292" s="5">
        <v>12565.0</v>
      </c>
      <c r="E292" s="7" t="str">
        <f t="shared" si="2"/>
        <v>E</v>
      </c>
      <c r="F292" s="7" t="str">
        <f t="shared" si="3"/>
        <v>A</v>
      </c>
      <c r="G292" s="7" t="str">
        <f t="shared" si="4"/>
        <v>Transformative change</v>
      </c>
      <c r="H292" s="7">
        <f t="shared" ref="H292:J292" si="301">ROUND(RAND(),2)</f>
        <v>0.07</v>
      </c>
      <c r="I292" s="7">
        <f t="shared" si="301"/>
        <v>0.07</v>
      </c>
      <c r="J292" s="7">
        <f t="shared" si="301"/>
        <v>0.03</v>
      </c>
      <c r="K292" s="7" t="str">
        <f t="shared" si="6"/>
        <v>High</v>
      </c>
      <c r="L292" s="7">
        <f t="shared" si="7"/>
        <v>1060059</v>
      </c>
      <c r="M292" s="7">
        <f t="shared" si="8"/>
        <v>145684.5906</v>
      </c>
      <c r="N292" s="7">
        <f t="shared" si="9"/>
        <v>175910</v>
      </c>
      <c r="O292" s="7">
        <f t="shared" si="13"/>
        <v>325981</v>
      </c>
      <c r="P292" s="7">
        <f t="shared" si="10"/>
        <v>971</v>
      </c>
      <c r="Q292" s="7">
        <f t="shared" si="11"/>
        <v>0.23</v>
      </c>
    </row>
    <row r="293">
      <c r="A293" s="4" t="s">
        <v>837</v>
      </c>
      <c r="B293" s="4" t="s">
        <v>838</v>
      </c>
      <c r="C293" s="4" t="s">
        <v>839</v>
      </c>
      <c r="D293" s="5">
        <v>16137.0</v>
      </c>
      <c r="E293" s="7" t="str">
        <f t="shared" si="2"/>
        <v>E</v>
      </c>
      <c r="F293" s="7" t="str">
        <f t="shared" si="3"/>
        <v>B</v>
      </c>
      <c r="G293" s="7" t="str">
        <f t="shared" si="4"/>
        <v>High ambition</v>
      </c>
      <c r="H293" s="7">
        <f t="shared" ref="H293:J293" si="302">ROUND(RAND(),2)</f>
        <v>0.94</v>
      </c>
      <c r="I293" s="7">
        <f t="shared" si="302"/>
        <v>0.22</v>
      </c>
      <c r="J293" s="7">
        <f t="shared" si="302"/>
        <v>0.28</v>
      </c>
      <c r="K293" s="7" t="str">
        <f t="shared" si="6"/>
        <v>High</v>
      </c>
      <c r="L293" s="7">
        <f t="shared" si="7"/>
        <v>2534163</v>
      </c>
      <c r="M293" s="7">
        <f t="shared" si="8"/>
        <v>1213435.818</v>
      </c>
      <c r="N293" s="7">
        <f t="shared" si="9"/>
        <v>64548</v>
      </c>
      <c r="O293" s="7">
        <f t="shared" si="13"/>
        <v>109525</v>
      </c>
      <c r="P293" s="7">
        <f t="shared" si="10"/>
        <v>1072</v>
      </c>
      <c r="Q293" s="7">
        <f t="shared" si="11"/>
        <v>0.05</v>
      </c>
    </row>
    <row r="294">
      <c r="A294" s="4" t="s">
        <v>840</v>
      </c>
      <c r="B294" s="4" t="s">
        <v>841</v>
      </c>
      <c r="C294" s="4" t="s">
        <v>842</v>
      </c>
      <c r="D294" s="5">
        <v>149925.0</v>
      </c>
      <c r="E294" s="7" t="str">
        <f t="shared" si="2"/>
        <v>D</v>
      </c>
      <c r="F294" s="7" t="str">
        <f t="shared" si="3"/>
        <v>A</v>
      </c>
      <c r="G294" s="7" t="str">
        <f t="shared" si="4"/>
        <v>Transformative change</v>
      </c>
      <c r="H294" s="7">
        <f t="shared" ref="H294:J294" si="303">ROUND(RAND(),2)</f>
        <v>0.32</v>
      </c>
      <c r="I294" s="7">
        <f t="shared" si="303"/>
        <v>0.58</v>
      </c>
      <c r="J294" s="7">
        <f t="shared" si="303"/>
        <v>0.58</v>
      </c>
      <c r="K294" s="7" t="str">
        <f t="shared" si="6"/>
        <v>High</v>
      </c>
      <c r="L294" s="7">
        <f t="shared" si="7"/>
        <v>222567</v>
      </c>
      <c r="M294" s="7">
        <f t="shared" si="8"/>
        <v>47180.75036</v>
      </c>
      <c r="N294" s="7">
        <f t="shared" si="9"/>
        <v>1349325</v>
      </c>
      <c r="O294" s="7">
        <f t="shared" si="13"/>
        <v>1468732</v>
      </c>
      <c r="P294" s="7">
        <f t="shared" si="10"/>
        <v>18234.12</v>
      </c>
      <c r="Q294" s="7">
        <f t="shared" si="11"/>
        <v>0.24</v>
      </c>
    </row>
    <row r="295">
      <c r="A295" s="4" t="s">
        <v>843</v>
      </c>
      <c r="B295" s="4" t="s">
        <v>844</v>
      </c>
      <c r="C295" s="4" t="s">
        <v>845</v>
      </c>
      <c r="D295" s="5">
        <v>16405.0</v>
      </c>
      <c r="E295" s="7" t="str">
        <f t="shared" si="2"/>
        <v>A</v>
      </c>
      <c r="F295" s="7" t="str">
        <f t="shared" si="3"/>
        <v>C</v>
      </c>
      <c r="G295" s="7" t="str">
        <f t="shared" si="4"/>
        <v>Transformative change</v>
      </c>
      <c r="H295" s="7">
        <f t="shared" ref="H295:J295" si="304">ROUND(RAND(),2)</f>
        <v>0.5</v>
      </c>
      <c r="I295" s="7">
        <f t="shared" si="304"/>
        <v>0.18</v>
      </c>
      <c r="J295" s="7">
        <f t="shared" si="304"/>
        <v>0.88</v>
      </c>
      <c r="K295" s="7" t="str">
        <f t="shared" si="6"/>
        <v>Low</v>
      </c>
      <c r="L295" s="7">
        <f t="shared" si="7"/>
        <v>2309319</v>
      </c>
      <c r="M295" s="7">
        <f t="shared" si="8"/>
        <v>159714.973</v>
      </c>
      <c r="N295" s="7">
        <f t="shared" si="9"/>
        <v>213265</v>
      </c>
      <c r="O295" s="7">
        <f t="shared" si="13"/>
        <v>253565</v>
      </c>
      <c r="P295" s="7">
        <f t="shared" si="10"/>
        <v>1051</v>
      </c>
      <c r="Q295" s="7">
        <f t="shared" si="11"/>
        <v>0.27</v>
      </c>
    </row>
    <row r="296">
      <c r="A296" s="4" t="s">
        <v>846</v>
      </c>
      <c r="B296" s="4" t="s">
        <v>847</v>
      </c>
      <c r="C296" s="4" t="s">
        <v>848</v>
      </c>
      <c r="D296" s="5">
        <v>5506.0</v>
      </c>
      <c r="E296" s="7" t="str">
        <f t="shared" si="2"/>
        <v>C</v>
      </c>
      <c r="F296" s="7" t="str">
        <f t="shared" si="3"/>
        <v>B</v>
      </c>
      <c r="G296" s="7" t="str">
        <f t="shared" si="4"/>
        <v>Transformative change</v>
      </c>
      <c r="H296" s="7">
        <f t="shared" ref="H296:J296" si="305">ROUND(RAND(),2)</f>
        <v>0.67</v>
      </c>
      <c r="I296" s="7">
        <f t="shared" si="305"/>
        <v>0.82</v>
      </c>
      <c r="J296" s="7">
        <f t="shared" si="305"/>
        <v>0.85</v>
      </c>
      <c r="K296" s="7" t="str">
        <f t="shared" si="6"/>
        <v>Low</v>
      </c>
      <c r="L296" s="7">
        <f t="shared" si="7"/>
        <v>1200699</v>
      </c>
      <c r="M296" s="7">
        <f t="shared" si="8"/>
        <v>8438.790914</v>
      </c>
      <c r="N296" s="7">
        <f t="shared" si="9"/>
        <v>82590</v>
      </c>
      <c r="O296" s="7">
        <f t="shared" si="13"/>
        <v>242588</v>
      </c>
      <c r="P296" s="7">
        <f t="shared" si="10"/>
        <v>1014</v>
      </c>
      <c r="Q296" s="7">
        <f t="shared" si="11"/>
        <v>0.14</v>
      </c>
    </row>
    <row r="297">
      <c r="A297" s="4" t="s">
        <v>849</v>
      </c>
      <c r="B297" s="4" t="s">
        <v>850</v>
      </c>
      <c r="C297" s="4" t="s">
        <v>95</v>
      </c>
      <c r="D297" s="5">
        <v>19985.0</v>
      </c>
      <c r="E297" s="7" t="str">
        <f t="shared" si="2"/>
        <v>A</v>
      </c>
      <c r="F297" s="7" t="str">
        <f t="shared" si="3"/>
        <v>C</v>
      </c>
      <c r="G297" s="7" t="str">
        <f t="shared" si="4"/>
        <v>Transformative change</v>
      </c>
      <c r="H297" s="7">
        <f t="shared" ref="H297:J297" si="306">ROUND(RAND(),2)</f>
        <v>0.48</v>
      </c>
      <c r="I297" s="7">
        <f t="shared" si="306"/>
        <v>0.7</v>
      </c>
      <c r="J297" s="7">
        <f t="shared" si="306"/>
        <v>0.35</v>
      </c>
      <c r="K297" s="7" t="str">
        <f t="shared" si="6"/>
        <v>High</v>
      </c>
      <c r="L297" s="7">
        <f t="shared" si="7"/>
        <v>1522573</v>
      </c>
      <c r="M297" s="7">
        <f t="shared" si="8"/>
        <v>1471675.55</v>
      </c>
      <c r="N297" s="7">
        <f t="shared" si="9"/>
        <v>179865</v>
      </c>
      <c r="O297" s="7">
        <f t="shared" si="13"/>
        <v>191430</v>
      </c>
      <c r="P297" s="7">
        <f t="shared" si="10"/>
        <v>722.35</v>
      </c>
      <c r="Q297" s="7">
        <f t="shared" si="11"/>
        <v>0.24</v>
      </c>
    </row>
    <row r="298">
      <c r="A298" s="4" t="s">
        <v>851</v>
      </c>
      <c r="B298" s="4" t="s">
        <v>852</v>
      </c>
      <c r="C298" s="4" t="s">
        <v>853</v>
      </c>
      <c r="D298" s="5">
        <v>52856.0</v>
      </c>
      <c r="E298" s="7" t="str">
        <f t="shared" si="2"/>
        <v>A</v>
      </c>
      <c r="F298" s="7" t="str">
        <f t="shared" si="3"/>
        <v>C</v>
      </c>
      <c r="G298" s="7" t="str">
        <f t="shared" si="4"/>
        <v>Transformative change</v>
      </c>
      <c r="H298" s="7">
        <f t="shared" ref="H298:J298" si="307">ROUND(RAND(),2)</f>
        <v>0.88</v>
      </c>
      <c r="I298" s="7">
        <f t="shared" si="307"/>
        <v>0.76</v>
      </c>
      <c r="J298" s="7">
        <f t="shared" si="307"/>
        <v>0.41</v>
      </c>
      <c r="K298" s="7" t="str">
        <f t="shared" si="6"/>
        <v>High</v>
      </c>
      <c r="L298" s="7">
        <f t="shared" si="7"/>
        <v>2662164</v>
      </c>
      <c r="M298" s="7">
        <f t="shared" si="8"/>
        <v>1113145.591</v>
      </c>
      <c r="N298" s="7">
        <f t="shared" si="9"/>
        <v>264280</v>
      </c>
      <c r="O298" s="7">
        <f t="shared" si="13"/>
        <v>461800</v>
      </c>
      <c r="P298" s="7">
        <f t="shared" si="10"/>
        <v>1061.37</v>
      </c>
      <c r="Q298" s="7">
        <f t="shared" si="11"/>
        <v>0.01</v>
      </c>
    </row>
    <row r="299">
      <c r="A299" s="4" t="s">
        <v>854</v>
      </c>
      <c r="B299" s="4" t="s">
        <v>855</v>
      </c>
      <c r="C299" s="4" t="s">
        <v>259</v>
      </c>
      <c r="D299" s="5">
        <v>5433.0</v>
      </c>
      <c r="E299" s="7" t="str">
        <f t="shared" si="2"/>
        <v>C</v>
      </c>
      <c r="F299" s="7" t="str">
        <f t="shared" si="3"/>
        <v>A</v>
      </c>
      <c r="G299" s="7" t="str">
        <f t="shared" si="4"/>
        <v>High ambition</v>
      </c>
      <c r="H299" s="7">
        <f t="shared" ref="H299:J299" si="308">ROUND(RAND(),2)</f>
        <v>0.38</v>
      </c>
      <c r="I299" s="7">
        <f t="shared" si="308"/>
        <v>0.77</v>
      </c>
      <c r="J299" s="7">
        <f t="shared" si="308"/>
        <v>0.32</v>
      </c>
      <c r="K299" s="7" t="str">
        <f t="shared" si="6"/>
        <v>Low</v>
      </c>
      <c r="L299" s="7">
        <f t="shared" si="7"/>
        <v>2284009</v>
      </c>
      <c r="M299" s="7">
        <f t="shared" si="8"/>
        <v>184705.4351</v>
      </c>
      <c r="N299" s="7">
        <f t="shared" si="9"/>
        <v>70629</v>
      </c>
      <c r="O299" s="7">
        <f t="shared" si="13"/>
        <v>80077</v>
      </c>
      <c r="P299" s="7">
        <f t="shared" si="10"/>
        <v>989</v>
      </c>
      <c r="Q299" s="7">
        <f t="shared" si="11"/>
        <v>0.25</v>
      </c>
    </row>
    <row r="300">
      <c r="A300" s="4" t="s">
        <v>856</v>
      </c>
      <c r="B300" s="4" t="s">
        <v>857</v>
      </c>
      <c r="C300" s="4" t="s">
        <v>858</v>
      </c>
      <c r="D300" s="5">
        <v>7539.0</v>
      </c>
      <c r="E300" s="7" t="str">
        <f t="shared" si="2"/>
        <v>D</v>
      </c>
      <c r="F300" s="7" t="str">
        <f t="shared" si="3"/>
        <v>C</v>
      </c>
      <c r="G300" s="7" t="str">
        <f t="shared" si="4"/>
        <v>High ambition</v>
      </c>
      <c r="H300" s="7">
        <f t="shared" ref="H300:J300" si="309">ROUND(RAND(),2)</f>
        <v>0.81</v>
      </c>
      <c r="I300" s="7">
        <f t="shared" si="309"/>
        <v>0.04</v>
      </c>
      <c r="J300" s="7">
        <f t="shared" si="309"/>
        <v>0.06</v>
      </c>
      <c r="K300" s="7" t="str">
        <f t="shared" si="6"/>
        <v>Medium</v>
      </c>
      <c r="L300" s="7">
        <f t="shared" si="7"/>
        <v>3026237</v>
      </c>
      <c r="M300" s="7">
        <f t="shared" si="8"/>
        <v>1197723.605</v>
      </c>
      <c r="N300" s="7">
        <f t="shared" si="9"/>
        <v>37695</v>
      </c>
      <c r="O300" s="7">
        <f t="shared" si="13"/>
        <v>133511</v>
      </c>
      <c r="P300" s="7">
        <f t="shared" si="10"/>
        <v>802</v>
      </c>
      <c r="Q300" s="7">
        <f t="shared" si="11"/>
        <v>0.29</v>
      </c>
    </row>
    <row r="301">
      <c r="A301" s="4" t="s">
        <v>859</v>
      </c>
      <c r="B301" s="4" t="s">
        <v>860</v>
      </c>
      <c r="C301" s="4" t="s">
        <v>861</v>
      </c>
      <c r="D301" s="5">
        <v>335638.0</v>
      </c>
      <c r="E301" s="7" t="str">
        <f t="shared" si="2"/>
        <v>D</v>
      </c>
      <c r="F301" s="7" t="str">
        <f t="shared" si="3"/>
        <v>A</v>
      </c>
      <c r="G301" s="7" t="str">
        <f t="shared" si="4"/>
        <v>Transformative change</v>
      </c>
      <c r="H301" s="7">
        <f t="shared" ref="H301:J301" si="310">ROUND(RAND(),2)</f>
        <v>0.5</v>
      </c>
      <c r="I301" s="7">
        <f t="shared" si="310"/>
        <v>0.93</v>
      </c>
      <c r="J301" s="7">
        <f t="shared" si="310"/>
        <v>0.11</v>
      </c>
      <c r="K301" s="7" t="str">
        <f t="shared" si="6"/>
        <v>Low</v>
      </c>
      <c r="L301" s="7">
        <f t="shared" si="7"/>
        <v>3524214</v>
      </c>
      <c r="M301" s="7">
        <f t="shared" si="8"/>
        <v>2157041.096</v>
      </c>
      <c r="N301" s="7">
        <f t="shared" si="9"/>
        <v>4698932</v>
      </c>
      <c r="O301" s="7">
        <f t="shared" si="13"/>
        <v>4730464</v>
      </c>
      <c r="P301" s="7">
        <f t="shared" si="10"/>
        <v>20341.7</v>
      </c>
      <c r="Q301" s="7">
        <f t="shared" si="11"/>
        <v>0.17</v>
      </c>
    </row>
    <row r="302">
      <c r="A302" s="4" t="s">
        <v>862</v>
      </c>
      <c r="B302" s="4" t="s">
        <v>863</v>
      </c>
      <c r="C302" s="4" t="s">
        <v>864</v>
      </c>
      <c r="D302" s="5">
        <v>8074.0</v>
      </c>
      <c r="E302" s="7" t="str">
        <f t="shared" si="2"/>
        <v>B</v>
      </c>
      <c r="F302" s="7" t="str">
        <f t="shared" si="3"/>
        <v>C</v>
      </c>
      <c r="G302" s="7" t="str">
        <f t="shared" si="4"/>
        <v>Transformative change</v>
      </c>
      <c r="H302" s="7">
        <f t="shared" ref="H302:J302" si="311">ROUND(RAND(),2)</f>
        <v>0.97</v>
      </c>
      <c r="I302" s="7">
        <f t="shared" si="311"/>
        <v>0.65</v>
      </c>
      <c r="J302" s="7">
        <f t="shared" si="311"/>
        <v>0.56</v>
      </c>
      <c r="K302" s="7" t="str">
        <f t="shared" si="6"/>
        <v>Low</v>
      </c>
      <c r="L302" s="7">
        <f t="shared" si="7"/>
        <v>3497283</v>
      </c>
      <c r="M302" s="7">
        <f t="shared" si="8"/>
        <v>1788009.828</v>
      </c>
      <c r="N302" s="7">
        <f t="shared" si="9"/>
        <v>40370</v>
      </c>
      <c r="O302" s="7">
        <f t="shared" si="13"/>
        <v>47153</v>
      </c>
      <c r="P302" s="7">
        <f t="shared" si="10"/>
        <v>966</v>
      </c>
      <c r="Q302" s="7">
        <f t="shared" si="11"/>
        <v>0.07</v>
      </c>
    </row>
    <row r="303">
      <c r="A303" s="4" t="s">
        <v>865</v>
      </c>
      <c r="B303" s="4" t="s">
        <v>866</v>
      </c>
      <c r="C303" s="4" t="s">
        <v>95</v>
      </c>
      <c r="D303" s="5">
        <v>11487.0</v>
      </c>
      <c r="E303" s="7" t="str">
        <f t="shared" si="2"/>
        <v>D</v>
      </c>
      <c r="F303" s="7" t="str">
        <f t="shared" si="3"/>
        <v>C</v>
      </c>
      <c r="G303" s="7" t="str">
        <f t="shared" si="4"/>
        <v>Transformative change</v>
      </c>
      <c r="H303" s="7">
        <f t="shared" ref="H303:J303" si="312">ROUND(RAND(),2)</f>
        <v>0.85</v>
      </c>
      <c r="I303" s="7">
        <f t="shared" si="312"/>
        <v>0.31</v>
      </c>
      <c r="J303" s="7">
        <f t="shared" si="312"/>
        <v>0.8</v>
      </c>
      <c r="K303" s="7" t="str">
        <f t="shared" si="6"/>
        <v>High</v>
      </c>
      <c r="L303" s="7">
        <f t="shared" si="7"/>
        <v>719293</v>
      </c>
      <c r="M303" s="7">
        <f t="shared" si="8"/>
        <v>42423.33517</v>
      </c>
      <c r="N303" s="7">
        <f t="shared" si="9"/>
        <v>149331</v>
      </c>
      <c r="O303" s="7">
        <f t="shared" si="13"/>
        <v>249017</v>
      </c>
      <c r="P303" s="7">
        <f t="shared" si="10"/>
        <v>1148.7</v>
      </c>
      <c r="Q303" s="7">
        <f t="shared" si="11"/>
        <v>0.13</v>
      </c>
    </row>
    <row r="304">
      <c r="A304" s="4" t="s">
        <v>867</v>
      </c>
      <c r="B304" s="4" t="s">
        <v>868</v>
      </c>
      <c r="C304" s="4" t="s">
        <v>869</v>
      </c>
      <c r="D304" s="5">
        <v>16900.0</v>
      </c>
      <c r="E304" s="7" t="str">
        <f t="shared" si="2"/>
        <v>A</v>
      </c>
      <c r="F304" s="7" t="str">
        <f t="shared" si="3"/>
        <v>A</v>
      </c>
      <c r="G304" s="7" t="str">
        <f t="shared" si="4"/>
        <v>Transformative change</v>
      </c>
      <c r="H304" s="7">
        <f t="shared" ref="H304:J304" si="313">ROUND(RAND(),2)</f>
        <v>0.75</v>
      </c>
      <c r="I304" s="7">
        <f t="shared" si="313"/>
        <v>0.89</v>
      </c>
      <c r="J304" s="7">
        <f t="shared" si="313"/>
        <v>0.49</v>
      </c>
      <c r="K304" s="7" t="str">
        <f t="shared" si="6"/>
        <v>Medium</v>
      </c>
      <c r="L304" s="7">
        <f t="shared" si="7"/>
        <v>2799382</v>
      </c>
      <c r="M304" s="7">
        <f t="shared" si="8"/>
        <v>1475702.295</v>
      </c>
      <c r="N304" s="7">
        <f t="shared" si="9"/>
        <v>101400</v>
      </c>
      <c r="O304" s="7">
        <f t="shared" si="13"/>
        <v>293043</v>
      </c>
      <c r="P304" s="7">
        <f t="shared" si="10"/>
        <v>1056</v>
      </c>
      <c r="Q304" s="7">
        <f t="shared" si="11"/>
        <v>0.08</v>
      </c>
    </row>
    <row r="305">
      <c r="A305" s="4" t="s">
        <v>870</v>
      </c>
      <c r="B305" s="4" t="s">
        <v>871</v>
      </c>
      <c r="C305" s="4" t="s">
        <v>872</v>
      </c>
      <c r="D305" s="5">
        <v>15728.0</v>
      </c>
      <c r="E305" s="7" t="str">
        <f t="shared" si="2"/>
        <v>F</v>
      </c>
      <c r="F305" s="7" t="str">
        <f t="shared" si="3"/>
        <v>C</v>
      </c>
      <c r="G305" s="7" t="str">
        <f t="shared" si="4"/>
        <v>Transformative change</v>
      </c>
      <c r="H305" s="7">
        <f t="shared" ref="H305:J305" si="314">ROUND(RAND(),2)</f>
        <v>0.97</v>
      </c>
      <c r="I305" s="7">
        <f t="shared" si="314"/>
        <v>0.98</v>
      </c>
      <c r="J305" s="7">
        <f t="shared" si="314"/>
        <v>0.15</v>
      </c>
      <c r="K305" s="7" t="str">
        <f t="shared" si="6"/>
        <v>Medium</v>
      </c>
      <c r="L305" s="7">
        <f t="shared" si="7"/>
        <v>735901</v>
      </c>
      <c r="M305" s="7">
        <f t="shared" si="8"/>
        <v>500662.1724</v>
      </c>
      <c r="N305" s="7">
        <f t="shared" si="9"/>
        <v>62912</v>
      </c>
      <c r="O305" s="7">
        <f t="shared" si="13"/>
        <v>85002</v>
      </c>
      <c r="P305" s="7">
        <f t="shared" si="10"/>
        <v>898</v>
      </c>
      <c r="Q305" s="7">
        <f t="shared" si="11"/>
        <v>0.06</v>
      </c>
    </row>
    <row r="306">
      <c r="A306" s="4" t="s">
        <v>873</v>
      </c>
      <c r="B306" s="4" t="s">
        <v>874</v>
      </c>
      <c r="C306" s="4" t="s">
        <v>875</v>
      </c>
      <c r="D306" s="5">
        <v>5691.0</v>
      </c>
      <c r="E306" s="7" t="str">
        <f t="shared" si="2"/>
        <v>G</v>
      </c>
      <c r="F306" s="7" t="str">
        <f t="shared" si="3"/>
        <v>A</v>
      </c>
      <c r="G306" s="7" t="str">
        <f t="shared" si="4"/>
        <v>Transformative change</v>
      </c>
      <c r="H306" s="7">
        <f t="shared" ref="H306:J306" si="315">ROUND(RAND(),2)</f>
        <v>0.09</v>
      </c>
      <c r="I306" s="7">
        <f t="shared" si="315"/>
        <v>0.15</v>
      </c>
      <c r="J306" s="7">
        <f t="shared" si="315"/>
        <v>0.06</v>
      </c>
      <c r="K306" s="7" t="str">
        <f t="shared" si="6"/>
        <v>Medium</v>
      </c>
      <c r="L306" s="7">
        <f t="shared" si="7"/>
        <v>3539063</v>
      </c>
      <c r="M306" s="7">
        <f t="shared" si="8"/>
        <v>1590804.205</v>
      </c>
      <c r="N306" s="7">
        <f t="shared" si="9"/>
        <v>39837</v>
      </c>
      <c r="O306" s="7">
        <f t="shared" si="13"/>
        <v>196806</v>
      </c>
      <c r="P306" s="7">
        <f t="shared" si="10"/>
        <v>1018</v>
      </c>
      <c r="Q306" s="7">
        <f t="shared" si="11"/>
        <v>0.17</v>
      </c>
    </row>
    <row r="307">
      <c r="A307" s="4" t="s">
        <v>876</v>
      </c>
      <c r="B307" s="4" t="s">
        <v>877</v>
      </c>
      <c r="C307" s="4" t="s">
        <v>878</v>
      </c>
      <c r="D307" s="5">
        <v>10794.0</v>
      </c>
      <c r="E307" s="7" t="str">
        <f t="shared" si="2"/>
        <v>E</v>
      </c>
      <c r="F307" s="7" t="str">
        <f t="shared" si="3"/>
        <v>B</v>
      </c>
      <c r="G307" s="7" t="str">
        <f t="shared" si="4"/>
        <v>High ambition</v>
      </c>
      <c r="H307" s="7">
        <f t="shared" ref="H307:J307" si="316">ROUND(RAND(),2)</f>
        <v>0.97</v>
      </c>
      <c r="I307" s="7">
        <f t="shared" si="316"/>
        <v>0.87</v>
      </c>
      <c r="J307" s="7">
        <f t="shared" si="316"/>
        <v>0.06</v>
      </c>
      <c r="K307" s="7" t="str">
        <f t="shared" si="6"/>
        <v>Low</v>
      </c>
      <c r="L307" s="7">
        <f t="shared" si="7"/>
        <v>3098086</v>
      </c>
      <c r="M307" s="7">
        <f t="shared" si="8"/>
        <v>1637382.763</v>
      </c>
      <c r="N307" s="7">
        <f t="shared" si="9"/>
        <v>140322</v>
      </c>
      <c r="O307" s="7">
        <f t="shared" si="13"/>
        <v>277737</v>
      </c>
      <c r="P307" s="7">
        <f t="shared" si="10"/>
        <v>845</v>
      </c>
      <c r="Q307" s="7">
        <f t="shared" si="11"/>
        <v>0.23</v>
      </c>
    </row>
    <row r="308">
      <c r="A308" s="4" t="s">
        <v>879</v>
      </c>
      <c r="B308" s="4" t="s">
        <v>880</v>
      </c>
      <c r="C308" s="4" t="s">
        <v>881</v>
      </c>
      <c r="D308" s="5">
        <v>19393.0</v>
      </c>
      <c r="E308" s="7" t="str">
        <f t="shared" si="2"/>
        <v>B</v>
      </c>
      <c r="F308" s="7" t="str">
        <f t="shared" si="3"/>
        <v>B</v>
      </c>
      <c r="G308" s="7" t="str">
        <f t="shared" si="4"/>
        <v>Transformative change</v>
      </c>
      <c r="H308" s="7">
        <f t="shared" ref="H308:J308" si="317">ROUND(RAND(),2)</f>
        <v>0.36</v>
      </c>
      <c r="I308" s="7">
        <f t="shared" si="317"/>
        <v>0.72</v>
      </c>
      <c r="J308" s="7">
        <f t="shared" si="317"/>
        <v>0.09</v>
      </c>
      <c r="K308" s="7" t="str">
        <f t="shared" si="6"/>
        <v>Low</v>
      </c>
      <c r="L308" s="7">
        <f t="shared" si="7"/>
        <v>3303109</v>
      </c>
      <c r="M308" s="7">
        <f t="shared" si="8"/>
        <v>1976325.612</v>
      </c>
      <c r="N308" s="7">
        <f t="shared" si="9"/>
        <v>271502</v>
      </c>
      <c r="O308" s="7">
        <f t="shared" si="13"/>
        <v>357149</v>
      </c>
      <c r="P308" s="7">
        <f t="shared" si="10"/>
        <v>733.79</v>
      </c>
      <c r="Q308" s="7">
        <f t="shared" si="11"/>
        <v>0.13</v>
      </c>
    </row>
    <row r="309">
      <c r="A309" s="4" t="s">
        <v>882</v>
      </c>
      <c r="B309" s="4" t="s">
        <v>883</v>
      </c>
      <c r="C309" s="4" t="s">
        <v>884</v>
      </c>
      <c r="D309" s="5">
        <v>8652.0</v>
      </c>
      <c r="E309" s="7" t="str">
        <f t="shared" si="2"/>
        <v>D</v>
      </c>
      <c r="F309" s="7" t="str">
        <f t="shared" si="3"/>
        <v>B</v>
      </c>
      <c r="G309" s="7" t="str">
        <f t="shared" si="4"/>
        <v>Transformative change</v>
      </c>
      <c r="H309" s="7">
        <f t="shared" ref="H309:J309" si="318">ROUND(RAND(),2)</f>
        <v>0.41</v>
      </c>
      <c r="I309" s="7">
        <f t="shared" si="318"/>
        <v>0.96</v>
      </c>
      <c r="J309" s="7">
        <f t="shared" si="318"/>
        <v>0.66</v>
      </c>
      <c r="K309" s="7" t="str">
        <f t="shared" si="6"/>
        <v>High</v>
      </c>
      <c r="L309" s="7">
        <f t="shared" si="7"/>
        <v>3813408</v>
      </c>
      <c r="M309" s="7">
        <f t="shared" si="8"/>
        <v>1554384.955</v>
      </c>
      <c r="N309" s="7">
        <f t="shared" si="9"/>
        <v>34608</v>
      </c>
      <c r="O309" s="7">
        <f t="shared" si="13"/>
        <v>131479</v>
      </c>
      <c r="P309" s="7">
        <f t="shared" si="10"/>
        <v>814</v>
      </c>
      <c r="Q309" s="7">
        <f t="shared" si="11"/>
        <v>0.27</v>
      </c>
    </row>
    <row r="310">
      <c r="A310" s="4" t="s">
        <v>885</v>
      </c>
      <c r="B310" s="4" t="s">
        <v>886</v>
      </c>
      <c r="C310" s="4" t="s">
        <v>887</v>
      </c>
      <c r="D310" s="5">
        <v>14336.0</v>
      </c>
      <c r="E310" s="7" t="str">
        <f t="shared" si="2"/>
        <v>G</v>
      </c>
      <c r="F310" s="7" t="str">
        <f t="shared" si="3"/>
        <v>B</v>
      </c>
      <c r="G310" s="7" t="str">
        <f t="shared" si="4"/>
        <v>Transformative change</v>
      </c>
      <c r="H310" s="7">
        <f t="shared" ref="H310:J310" si="319">ROUND(RAND(),2)</f>
        <v>0.37</v>
      </c>
      <c r="I310" s="7">
        <f t="shared" si="319"/>
        <v>0.63</v>
      </c>
      <c r="J310" s="7">
        <f t="shared" si="319"/>
        <v>0.91</v>
      </c>
      <c r="K310" s="7" t="str">
        <f t="shared" si="6"/>
        <v>Medium</v>
      </c>
      <c r="L310" s="7">
        <f t="shared" si="7"/>
        <v>3079646</v>
      </c>
      <c r="M310" s="7">
        <f t="shared" si="8"/>
        <v>2730529.445</v>
      </c>
      <c r="N310" s="7">
        <f t="shared" si="9"/>
        <v>71680</v>
      </c>
      <c r="O310" s="7">
        <f t="shared" si="13"/>
        <v>223019</v>
      </c>
      <c r="P310" s="7">
        <f t="shared" si="10"/>
        <v>1056</v>
      </c>
      <c r="Q310" s="7">
        <f t="shared" si="11"/>
        <v>0.11</v>
      </c>
    </row>
    <row r="311">
      <c r="A311" s="4" t="s">
        <v>888</v>
      </c>
      <c r="B311" s="4" t="s">
        <v>889</v>
      </c>
      <c r="C311" s="4" t="s">
        <v>890</v>
      </c>
      <c r="D311" s="5">
        <v>17548.0</v>
      </c>
      <c r="E311" s="7" t="str">
        <f t="shared" si="2"/>
        <v>A</v>
      </c>
      <c r="F311" s="7" t="str">
        <f t="shared" si="3"/>
        <v>A</v>
      </c>
      <c r="G311" s="7" t="str">
        <f t="shared" si="4"/>
        <v>Transformative change</v>
      </c>
      <c r="H311" s="7">
        <f t="shared" ref="H311:J311" si="320">ROUND(RAND(),2)</f>
        <v>0.61</v>
      </c>
      <c r="I311" s="7">
        <f t="shared" si="320"/>
        <v>0.03</v>
      </c>
      <c r="J311" s="7">
        <f t="shared" si="320"/>
        <v>0.53</v>
      </c>
      <c r="K311" s="7" t="str">
        <f t="shared" si="6"/>
        <v>Medium</v>
      </c>
      <c r="L311" s="7">
        <f t="shared" si="7"/>
        <v>1932558</v>
      </c>
      <c r="M311" s="7">
        <f t="shared" si="8"/>
        <v>836271.8103</v>
      </c>
      <c r="N311" s="7">
        <f t="shared" si="9"/>
        <v>140384</v>
      </c>
      <c r="O311" s="7">
        <f t="shared" si="13"/>
        <v>298651</v>
      </c>
      <c r="P311" s="7">
        <f t="shared" si="10"/>
        <v>865</v>
      </c>
      <c r="Q311" s="7">
        <f t="shared" si="11"/>
        <v>0.15</v>
      </c>
    </row>
    <row r="312">
      <c r="A312" s="4" t="s">
        <v>891</v>
      </c>
      <c r="B312" s="4" t="s">
        <v>892</v>
      </c>
      <c r="C312" s="4" t="s">
        <v>893</v>
      </c>
      <c r="D312" s="5">
        <v>8946.0</v>
      </c>
      <c r="E312" s="7" t="str">
        <f t="shared" si="2"/>
        <v>G</v>
      </c>
      <c r="F312" s="7" t="str">
        <f t="shared" si="3"/>
        <v>A</v>
      </c>
      <c r="G312" s="7" t="str">
        <f t="shared" si="4"/>
        <v>High ambition</v>
      </c>
      <c r="H312" s="7">
        <f t="shared" ref="H312:J312" si="321">ROUND(RAND(),2)</f>
        <v>0.37</v>
      </c>
      <c r="I312" s="7">
        <f t="shared" si="321"/>
        <v>0.34</v>
      </c>
      <c r="J312" s="7">
        <f t="shared" si="321"/>
        <v>0.17</v>
      </c>
      <c r="K312" s="7" t="str">
        <f t="shared" si="6"/>
        <v>High</v>
      </c>
      <c r="L312" s="7">
        <f t="shared" si="7"/>
        <v>1693130</v>
      </c>
      <c r="M312" s="7">
        <f t="shared" si="8"/>
        <v>1261312.393</v>
      </c>
      <c r="N312" s="7">
        <f t="shared" si="9"/>
        <v>89460</v>
      </c>
      <c r="O312" s="7">
        <f t="shared" si="13"/>
        <v>150599</v>
      </c>
      <c r="P312" s="7">
        <f t="shared" si="10"/>
        <v>969</v>
      </c>
      <c r="Q312" s="7">
        <f t="shared" si="11"/>
        <v>0.17</v>
      </c>
    </row>
    <row r="313">
      <c r="A313" s="4" t="s">
        <v>894</v>
      </c>
      <c r="B313" s="4" t="s">
        <v>895</v>
      </c>
      <c r="C313" s="4" t="s">
        <v>896</v>
      </c>
      <c r="D313" s="5">
        <v>48467.0</v>
      </c>
      <c r="E313" s="7" t="str">
        <f t="shared" si="2"/>
        <v>C</v>
      </c>
      <c r="F313" s="7" t="str">
        <f t="shared" si="3"/>
        <v>B</v>
      </c>
      <c r="G313" s="7" t="str">
        <f t="shared" si="4"/>
        <v>Transformative change</v>
      </c>
      <c r="H313" s="7">
        <f t="shared" ref="H313:J313" si="322">ROUND(RAND(),2)</f>
        <v>0.37</v>
      </c>
      <c r="I313" s="7">
        <f t="shared" si="322"/>
        <v>0.27</v>
      </c>
      <c r="J313" s="7">
        <f t="shared" si="322"/>
        <v>0.48</v>
      </c>
      <c r="K313" s="7" t="str">
        <f t="shared" si="6"/>
        <v>Low</v>
      </c>
      <c r="L313" s="7">
        <f t="shared" si="7"/>
        <v>1534858</v>
      </c>
      <c r="M313" s="7">
        <f t="shared" si="8"/>
        <v>439270.7439</v>
      </c>
      <c r="N313" s="7">
        <f t="shared" si="9"/>
        <v>581604</v>
      </c>
      <c r="O313" s="7">
        <f t="shared" si="13"/>
        <v>669324</v>
      </c>
      <c r="P313" s="7">
        <f t="shared" si="10"/>
        <v>2596.45</v>
      </c>
      <c r="Q313" s="7">
        <f t="shared" si="11"/>
        <v>0.12</v>
      </c>
    </row>
    <row r="314">
      <c r="A314" s="4" t="s">
        <v>897</v>
      </c>
      <c r="B314" s="4" t="s">
        <v>898</v>
      </c>
      <c r="C314" s="4" t="s">
        <v>899</v>
      </c>
      <c r="D314" s="5">
        <v>7293.0</v>
      </c>
      <c r="E314" s="7" t="str">
        <f t="shared" si="2"/>
        <v>A</v>
      </c>
      <c r="F314" s="7" t="str">
        <f t="shared" si="3"/>
        <v>A</v>
      </c>
      <c r="G314" s="7" t="str">
        <f t="shared" si="4"/>
        <v>Transformative change</v>
      </c>
      <c r="H314" s="7">
        <f t="shared" ref="H314:J314" si="323">ROUND(RAND(),2)</f>
        <v>0.97</v>
      </c>
      <c r="I314" s="7">
        <f t="shared" si="323"/>
        <v>0.05</v>
      </c>
      <c r="J314" s="7">
        <f t="shared" si="323"/>
        <v>0.81</v>
      </c>
      <c r="K314" s="7" t="str">
        <f t="shared" si="6"/>
        <v>High</v>
      </c>
      <c r="L314" s="7">
        <f t="shared" si="7"/>
        <v>3187610</v>
      </c>
      <c r="M314" s="7">
        <f t="shared" si="8"/>
        <v>3089714.142</v>
      </c>
      <c r="N314" s="7">
        <f t="shared" si="9"/>
        <v>65637</v>
      </c>
      <c r="O314" s="7">
        <f t="shared" si="13"/>
        <v>250506</v>
      </c>
      <c r="P314" s="7">
        <f t="shared" si="10"/>
        <v>1008</v>
      </c>
      <c r="Q314" s="7">
        <f t="shared" si="11"/>
        <v>0.13</v>
      </c>
    </row>
    <row r="315">
      <c r="A315" s="4" t="s">
        <v>900</v>
      </c>
      <c r="B315" s="4" t="s">
        <v>901</v>
      </c>
      <c r="C315" s="4" t="s">
        <v>902</v>
      </c>
      <c r="D315" s="5">
        <v>13356.0</v>
      </c>
      <c r="E315" s="7" t="str">
        <f t="shared" si="2"/>
        <v>G</v>
      </c>
      <c r="F315" s="7" t="str">
        <f t="shared" si="3"/>
        <v>C</v>
      </c>
      <c r="G315" s="7" t="str">
        <f t="shared" si="4"/>
        <v>High ambition</v>
      </c>
      <c r="H315" s="7">
        <f t="shared" ref="H315:J315" si="324">ROUND(RAND(),2)</f>
        <v>0.51</v>
      </c>
      <c r="I315" s="7">
        <f t="shared" si="324"/>
        <v>0.59</v>
      </c>
      <c r="J315" s="7">
        <f t="shared" si="324"/>
        <v>0.24</v>
      </c>
      <c r="K315" s="7" t="str">
        <f t="shared" si="6"/>
        <v>Medium</v>
      </c>
      <c r="L315" s="7">
        <f t="shared" si="7"/>
        <v>3831283</v>
      </c>
      <c r="M315" s="7">
        <f t="shared" si="8"/>
        <v>2985610.626</v>
      </c>
      <c r="N315" s="7">
        <f t="shared" si="9"/>
        <v>93492</v>
      </c>
      <c r="O315" s="7">
        <f t="shared" si="13"/>
        <v>104873</v>
      </c>
      <c r="P315" s="7">
        <f t="shared" si="10"/>
        <v>1087</v>
      </c>
      <c r="Q315" s="7">
        <f t="shared" si="11"/>
        <v>0.25</v>
      </c>
    </row>
    <row r="316">
      <c r="A316" s="4" t="s">
        <v>903</v>
      </c>
      <c r="B316" s="4" t="s">
        <v>904</v>
      </c>
      <c r="C316" s="4" t="s">
        <v>905</v>
      </c>
      <c r="D316" s="5">
        <v>9491.0</v>
      </c>
      <c r="E316" s="7" t="str">
        <f t="shared" si="2"/>
        <v>A</v>
      </c>
      <c r="F316" s="7" t="str">
        <f t="shared" si="3"/>
        <v>B</v>
      </c>
      <c r="G316" s="7" t="str">
        <f t="shared" si="4"/>
        <v>Transformative change</v>
      </c>
      <c r="H316" s="7">
        <f t="shared" ref="H316:J316" si="325">ROUND(RAND(),2)</f>
        <v>0.95</v>
      </c>
      <c r="I316" s="7">
        <f t="shared" si="325"/>
        <v>0.34</v>
      </c>
      <c r="J316" s="7">
        <f t="shared" si="325"/>
        <v>0.15</v>
      </c>
      <c r="K316" s="7" t="str">
        <f t="shared" si="6"/>
        <v>Low</v>
      </c>
      <c r="L316" s="7">
        <f t="shared" si="7"/>
        <v>2917573</v>
      </c>
      <c r="M316" s="7">
        <f t="shared" si="8"/>
        <v>598234.6111</v>
      </c>
      <c r="N316" s="7">
        <f t="shared" si="9"/>
        <v>132874</v>
      </c>
      <c r="O316" s="7">
        <f t="shared" si="13"/>
        <v>217674</v>
      </c>
      <c r="P316" s="7">
        <f t="shared" si="10"/>
        <v>868.46</v>
      </c>
      <c r="Q316" s="7">
        <f t="shared" si="11"/>
        <v>0.15</v>
      </c>
    </row>
    <row r="317">
      <c r="A317" s="4" t="s">
        <v>906</v>
      </c>
      <c r="B317" s="4" t="s">
        <v>907</v>
      </c>
      <c r="C317" s="4" t="s">
        <v>95</v>
      </c>
      <c r="D317" s="5">
        <v>800980.0</v>
      </c>
      <c r="E317" s="7" t="str">
        <f t="shared" si="2"/>
        <v>B</v>
      </c>
      <c r="F317" s="7" t="str">
        <f t="shared" si="3"/>
        <v>C</v>
      </c>
      <c r="G317" s="7" t="str">
        <f t="shared" si="4"/>
        <v>Transformative change</v>
      </c>
      <c r="H317" s="7">
        <f t="shared" ref="H317:J317" si="326">ROUND(RAND(),2)</f>
        <v>0.77</v>
      </c>
      <c r="I317" s="7">
        <f t="shared" si="326"/>
        <v>0.73</v>
      </c>
      <c r="J317" s="7">
        <f t="shared" si="326"/>
        <v>0.38</v>
      </c>
      <c r="K317" s="7" t="str">
        <f t="shared" si="6"/>
        <v>High</v>
      </c>
      <c r="L317" s="7">
        <f t="shared" si="7"/>
        <v>3277302</v>
      </c>
      <c r="M317" s="7">
        <f t="shared" si="8"/>
        <v>3061759.679</v>
      </c>
      <c r="N317" s="7">
        <f t="shared" si="9"/>
        <v>7208820</v>
      </c>
      <c r="O317" s="7">
        <f t="shared" si="13"/>
        <v>7218207</v>
      </c>
      <c r="P317" s="7">
        <f t="shared" si="10"/>
        <v>32039.2</v>
      </c>
      <c r="Q317" s="7">
        <f t="shared" si="11"/>
        <v>0.09</v>
      </c>
    </row>
    <row r="318">
      <c r="A318" s="4" t="s">
        <v>908</v>
      </c>
      <c r="B318" s="4" t="s">
        <v>909</v>
      </c>
      <c r="C318" s="4" t="s">
        <v>95</v>
      </c>
      <c r="D318" s="5">
        <v>8680.0</v>
      </c>
      <c r="E318" s="7" t="str">
        <f t="shared" si="2"/>
        <v>A</v>
      </c>
      <c r="F318" s="7" t="str">
        <f t="shared" si="3"/>
        <v>B</v>
      </c>
      <c r="G318" s="7" t="str">
        <f t="shared" si="4"/>
        <v>Transformative change</v>
      </c>
      <c r="H318" s="7">
        <f t="shared" ref="H318:J318" si="327">ROUND(RAND(),2)</f>
        <v>0.26</v>
      </c>
      <c r="I318" s="7">
        <f t="shared" si="327"/>
        <v>0.12</v>
      </c>
      <c r="J318" s="7">
        <f t="shared" si="327"/>
        <v>0.18</v>
      </c>
      <c r="K318" s="7" t="str">
        <f t="shared" si="6"/>
        <v>High</v>
      </c>
      <c r="L318" s="7">
        <f t="shared" si="7"/>
        <v>2831907</v>
      </c>
      <c r="M318" s="7">
        <f t="shared" si="8"/>
        <v>2287517.357</v>
      </c>
      <c r="N318" s="7">
        <f t="shared" si="9"/>
        <v>121520</v>
      </c>
      <c r="O318" s="7">
        <f t="shared" si="13"/>
        <v>178251</v>
      </c>
      <c r="P318" s="7">
        <f t="shared" si="10"/>
        <v>904</v>
      </c>
      <c r="Q318" s="7">
        <f t="shared" si="11"/>
        <v>0.07</v>
      </c>
    </row>
    <row r="319">
      <c r="A319" s="4" t="s">
        <v>910</v>
      </c>
      <c r="B319" s="4" t="s">
        <v>911</v>
      </c>
      <c r="C319" s="4" t="s">
        <v>912</v>
      </c>
      <c r="D319" s="5">
        <v>6998.0</v>
      </c>
      <c r="E319" s="7" t="str">
        <f t="shared" si="2"/>
        <v>C</v>
      </c>
      <c r="F319" s="7" t="str">
        <f t="shared" si="3"/>
        <v>A</v>
      </c>
      <c r="G319" s="7" t="str">
        <f t="shared" si="4"/>
        <v>Transformative change</v>
      </c>
      <c r="H319" s="7">
        <f t="shared" ref="H319:J319" si="328">ROUND(RAND(),2)</f>
        <v>0.59</v>
      </c>
      <c r="I319" s="7">
        <f t="shared" si="328"/>
        <v>0.07</v>
      </c>
      <c r="J319" s="7">
        <f t="shared" si="328"/>
        <v>0.03</v>
      </c>
      <c r="K319" s="7" t="str">
        <f t="shared" si="6"/>
        <v>Medium</v>
      </c>
      <c r="L319" s="7">
        <f t="shared" si="7"/>
        <v>2349630</v>
      </c>
      <c r="M319" s="7">
        <f t="shared" si="8"/>
        <v>1179513.202</v>
      </c>
      <c r="N319" s="7">
        <f t="shared" si="9"/>
        <v>69980</v>
      </c>
      <c r="O319" s="7">
        <f t="shared" si="13"/>
        <v>220244</v>
      </c>
      <c r="P319" s="7">
        <f t="shared" si="10"/>
        <v>966</v>
      </c>
      <c r="Q319" s="7">
        <f t="shared" si="11"/>
        <v>0.22</v>
      </c>
    </row>
    <row r="320">
      <c r="A320" s="4" t="s">
        <v>913</v>
      </c>
      <c r="B320" s="4" t="s">
        <v>914</v>
      </c>
      <c r="C320" s="4" t="s">
        <v>415</v>
      </c>
      <c r="D320" s="5">
        <v>14338.0</v>
      </c>
      <c r="E320" s="7" t="str">
        <f t="shared" si="2"/>
        <v>D</v>
      </c>
      <c r="F320" s="7" t="str">
        <f t="shared" si="3"/>
        <v>C</v>
      </c>
      <c r="G320" s="7" t="str">
        <f t="shared" si="4"/>
        <v>Transformative change</v>
      </c>
      <c r="H320" s="7">
        <f t="shared" ref="H320:J320" si="329">ROUND(RAND(),2)</f>
        <v>0.86</v>
      </c>
      <c r="I320" s="7">
        <f t="shared" si="329"/>
        <v>0.95</v>
      </c>
      <c r="J320" s="7">
        <f t="shared" si="329"/>
        <v>0.55</v>
      </c>
      <c r="K320" s="7" t="str">
        <f t="shared" si="6"/>
        <v>Medium</v>
      </c>
      <c r="L320" s="7">
        <f t="shared" si="7"/>
        <v>463973</v>
      </c>
      <c r="M320" s="7">
        <f t="shared" si="8"/>
        <v>205751.8094</v>
      </c>
      <c r="N320" s="7">
        <f t="shared" si="9"/>
        <v>57352</v>
      </c>
      <c r="O320" s="7">
        <f t="shared" si="13"/>
        <v>72339</v>
      </c>
      <c r="P320" s="7">
        <f t="shared" si="10"/>
        <v>1043</v>
      </c>
      <c r="Q320" s="7">
        <f t="shared" si="11"/>
        <v>0.07</v>
      </c>
    </row>
    <row r="321">
      <c r="A321" s="4" t="s">
        <v>915</v>
      </c>
      <c r="B321" s="4" t="s">
        <v>916</v>
      </c>
      <c r="C321" s="4" t="s">
        <v>95</v>
      </c>
      <c r="D321" s="5">
        <v>19596.0</v>
      </c>
      <c r="E321" s="7" t="str">
        <f t="shared" si="2"/>
        <v>B</v>
      </c>
      <c r="F321" s="7" t="str">
        <f t="shared" si="3"/>
        <v>A</v>
      </c>
      <c r="G321" s="7" t="str">
        <f t="shared" si="4"/>
        <v>Transformative change</v>
      </c>
      <c r="H321" s="7">
        <f t="shared" ref="H321:J321" si="330">ROUND(RAND(),2)</f>
        <v>0.29</v>
      </c>
      <c r="I321" s="7">
        <f t="shared" si="330"/>
        <v>0.31</v>
      </c>
      <c r="J321" s="7">
        <f t="shared" si="330"/>
        <v>0.93</v>
      </c>
      <c r="K321" s="7" t="str">
        <f t="shared" si="6"/>
        <v>Low</v>
      </c>
      <c r="L321" s="7">
        <f t="shared" si="7"/>
        <v>2364085</v>
      </c>
      <c r="M321" s="7">
        <f t="shared" si="8"/>
        <v>1476069.74</v>
      </c>
      <c r="N321" s="7">
        <f t="shared" si="9"/>
        <v>97980</v>
      </c>
      <c r="O321" s="7">
        <f t="shared" si="13"/>
        <v>224147</v>
      </c>
      <c r="P321" s="7">
        <f t="shared" si="10"/>
        <v>955</v>
      </c>
      <c r="Q321" s="7">
        <f t="shared" si="11"/>
        <v>0.06</v>
      </c>
    </row>
    <row r="322">
      <c r="A322" s="4" t="s">
        <v>917</v>
      </c>
      <c r="B322" s="4" t="s">
        <v>918</v>
      </c>
      <c r="C322" s="4" t="s">
        <v>919</v>
      </c>
      <c r="D322" s="5">
        <v>19349.0</v>
      </c>
      <c r="E322" s="7" t="str">
        <f t="shared" si="2"/>
        <v>F</v>
      </c>
      <c r="F322" s="7" t="str">
        <f t="shared" si="3"/>
        <v>C</v>
      </c>
      <c r="G322" s="7" t="str">
        <f t="shared" si="4"/>
        <v>High ambition</v>
      </c>
      <c r="H322" s="7">
        <f t="shared" ref="H322:J322" si="331">ROUND(RAND(),2)</f>
        <v>0.34</v>
      </c>
      <c r="I322" s="7">
        <f t="shared" si="331"/>
        <v>0.25</v>
      </c>
      <c r="J322" s="7">
        <f t="shared" si="331"/>
        <v>0.49</v>
      </c>
      <c r="K322" s="7" t="str">
        <f t="shared" si="6"/>
        <v>High</v>
      </c>
      <c r="L322" s="7">
        <f t="shared" si="7"/>
        <v>3389475</v>
      </c>
      <c r="M322" s="7">
        <f t="shared" si="8"/>
        <v>24750.87447</v>
      </c>
      <c r="N322" s="7">
        <f t="shared" si="9"/>
        <v>232188</v>
      </c>
      <c r="O322" s="7">
        <f t="shared" si="13"/>
        <v>319514</v>
      </c>
      <c r="P322" s="7">
        <f t="shared" si="10"/>
        <v>951.59</v>
      </c>
      <c r="Q322" s="7">
        <f t="shared" si="11"/>
        <v>0.18</v>
      </c>
    </row>
    <row r="323">
      <c r="A323" s="4" t="s">
        <v>920</v>
      </c>
      <c r="B323" s="4" t="s">
        <v>921</v>
      </c>
      <c r="C323" s="4" t="s">
        <v>922</v>
      </c>
      <c r="D323" s="5">
        <v>215865.0</v>
      </c>
      <c r="E323" s="7" t="str">
        <f t="shared" si="2"/>
        <v>C</v>
      </c>
      <c r="F323" s="7" t="str">
        <f t="shared" si="3"/>
        <v>A</v>
      </c>
      <c r="G323" s="7" t="str">
        <f t="shared" si="4"/>
        <v>Transformative change</v>
      </c>
      <c r="H323" s="7">
        <f t="shared" ref="H323:J323" si="332">ROUND(RAND(),2)</f>
        <v>0.94</v>
      </c>
      <c r="I323" s="7">
        <f t="shared" si="332"/>
        <v>0.39</v>
      </c>
      <c r="J323" s="7">
        <f t="shared" si="332"/>
        <v>0.05</v>
      </c>
      <c r="K323" s="7" t="str">
        <f t="shared" si="6"/>
        <v>Medium</v>
      </c>
      <c r="L323" s="7">
        <f t="shared" si="7"/>
        <v>2476055</v>
      </c>
      <c r="M323" s="7">
        <f t="shared" si="8"/>
        <v>588377.4645</v>
      </c>
      <c r="N323" s="7">
        <f t="shared" si="9"/>
        <v>2374515</v>
      </c>
      <c r="O323" s="7">
        <f t="shared" si="13"/>
        <v>2380191</v>
      </c>
      <c r="P323" s="7">
        <f t="shared" si="10"/>
        <v>8794.5</v>
      </c>
      <c r="Q323" s="7">
        <f t="shared" si="11"/>
        <v>0.17</v>
      </c>
    </row>
    <row r="324">
      <c r="A324" s="4" t="s">
        <v>923</v>
      </c>
      <c r="B324" s="4" t="s">
        <v>924</v>
      </c>
      <c r="C324" s="4" t="s">
        <v>925</v>
      </c>
      <c r="D324" s="5">
        <v>7756.0</v>
      </c>
      <c r="E324" s="7" t="str">
        <f t="shared" si="2"/>
        <v>G</v>
      </c>
      <c r="F324" s="7" t="str">
        <f t="shared" si="3"/>
        <v>C</v>
      </c>
      <c r="G324" s="7" t="str">
        <f t="shared" si="4"/>
        <v>Transformative change</v>
      </c>
      <c r="H324" s="7">
        <f t="shared" ref="H324:J324" si="333">ROUND(RAND(),2)</f>
        <v>0.08</v>
      </c>
      <c r="I324" s="7">
        <f t="shared" si="333"/>
        <v>0.03</v>
      </c>
      <c r="J324" s="7">
        <f t="shared" si="333"/>
        <v>0.93</v>
      </c>
      <c r="K324" s="7" t="str">
        <f t="shared" si="6"/>
        <v>Medium</v>
      </c>
      <c r="L324" s="7">
        <f t="shared" si="7"/>
        <v>1823793</v>
      </c>
      <c r="M324" s="7">
        <f t="shared" si="8"/>
        <v>454135.9717</v>
      </c>
      <c r="N324" s="7">
        <f t="shared" si="9"/>
        <v>54292</v>
      </c>
      <c r="O324" s="7">
        <f t="shared" si="13"/>
        <v>79036</v>
      </c>
      <c r="P324" s="7">
        <f t="shared" si="10"/>
        <v>1068</v>
      </c>
      <c r="Q324" s="7">
        <f t="shared" si="11"/>
        <v>0.06</v>
      </c>
    </row>
    <row r="325">
      <c r="A325" s="4" t="s">
        <v>926</v>
      </c>
      <c r="B325" s="4" t="s">
        <v>927</v>
      </c>
      <c r="C325" s="4" t="s">
        <v>674</v>
      </c>
      <c r="D325" s="5">
        <v>11168.0</v>
      </c>
      <c r="E325" s="7" t="str">
        <f t="shared" si="2"/>
        <v>C</v>
      </c>
      <c r="F325" s="7" t="str">
        <f t="shared" si="3"/>
        <v>A</v>
      </c>
      <c r="G325" s="7" t="str">
        <f t="shared" si="4"/>
        <v>Transformative change</v>
      </c>
      <c r="H325" s="7">
        <f t="shared" ref="H325:J325" si="334">ROUND(RAND(),2)</f>
        <v>0.43</v>
      </c>
      <c r="I325" s="7">
        <f t="shared" si="334"/>
        <v>0.36</v>
      </c>
      <c r="J325" s="7">
        <f t="shared" si="334"/>
        <v>0.74</v>
      </c>
      <c r="K325" s="7" t="str">
        <f t="shared" si="6"/>
        <v>Low</v>
      </c>
      <c r="L325" s="7">
        <f t="shared" si="7"/>
        <v>290716</v>
      </c>
      <c r="M325" s="7">
        <f t="shared" si="8"/>
        <v>231327.1046</v>
      </c>
      <c r="N325" s="7">
        <f t="shared" si="9"/>
        <v>100512</v>
      </c>
      <c r="O325" s="7">
        <f t="shared" si="13"/>
        <v>225851</v>
      </c>
      <c r="P325" s="7">
        <f t="shared" si="10"/>
        <v>1003</v>
      </c>
      <c r="Q325" s="7">
        <f t="shared" si="11"/>
        <v>0.01</v>
      </c>
    </row>
    <row r="326">
      <c r="A326" s="4" t="s">
        <v>928</v>
      </c>
      <c r="B326" s="4" t="s">
        <v>929</v>
      </c>
      <c r="C326" s="4" t="s">
        <v>930</v>
      </c>
      <c r="D326" s="5">
        <v>17413.0</v>
      </c>
      <c r="E326" s="7" t="str">
        <f t="shared" si="2"/>
        <v>A</v>
      </c>
      <c r="F326" s="7" t="str">
        <f t="shared" si="3"/>
        <v>B</v>
      </c>
      <c r="G326" s="7" t="str">
        <f t="shared" si="4"/>
        <v>Transformative change</v>
      </c>
      <c r="H326" s="7">
        <f t="shared" ref="H326:J326" si="335">ROUND(RAND(),2)</f>
        <v>0.72</v>
      </c>
      <c r="I326" s="7">
        <f t="shared" si="335"/>
        <v>0.75</v>
      </c>
      <c r="J326" s="7">
        <f t="shared" si="335"/>
        <v>0.65</v>
      </c>
      <c r="K326" s="7" t="str">
        <f t="shared" si="6"/>
        <v>High</v>
      </c>
      <c r="L326" s="7">
        <f t="shared" si="7"/>
        <v>1401674</v>
      </c>
      <c r="M326" s="7">
        <f t="shared" si="8"/>
        <v>1256400.392</v>
      </c>
      <c r="N326" s="7">
        <f t="shared" si="9"/>
        <v>139304</v>
      </c>
      <c r="O326" s="7">
        <f t="shared" si="13"/>
        <v>164165</v>
      </c>
      <c r="P326" s="7">
        <f t="shared" si="10"/>
        <v>873</v>
      </c>
      <c r="Q326" s="7">
        <f t="shared" si="11"/>
        <v>0.08</v>
      </c>
    </row>
    <row r="327">
      <c r="A327" s="4" t="s">
        <v>931</v>
      </c>
      <c r="B327" s="4" t="s">
        <v>932</v>
      </c>
      <c r="C327" s="4" t="s">
        <v>933</v>
      </c>
      <c r="D327" s="5">
        <v>15262.0</v>
      </c>
      <c r="E327" s="7" t="str">
        <f t="shared" si="2"/>
        <v>A</v>
      </c>
      <c r="F327" s="7" t="str">
        <f t="shared" si="3"/>
        <v>C</v>
      </c>
      <c r="G327" s="7" t="str">
        <f t="shared" si="4"/>
        <v>Transformative change</v>
      </c>
      <c r="H327" s="7">
        <f t="shared" ref="H327:J327" si="336">ROUND(RAND(),2)</f>
        <v>0.16</v>
      </c>
      <c r="I327" s="7">
        <f t="shared" si="336"/>
        <v>0.24</v>
      </c>
      <c r="J327" s="7">
        <f t="shared" si="336"/>
        <v>0.91</v>
      </c>
      <c r="K327" s="7" t="str">
        <f t="shared" si="6"/>
        <v>Low</v>
      </c>
      <c r="L327" s="7">
        <f t="shared" si="7"/>
        <v>1636931</v>
      </c>
      <c r="M327" s="7">
        <f t="shared" si="8"/>
        <v>1582038.767</v>
      </c>
      <c r="N327" s="7">
        <f t="shared" si="9"/>
        <v>213668</v>
      </c>
      <c r="O327" s="7">
        <f t="shared" si="13"/>
        <v>350444</v>
      </c>
      <c r="P327" s="7">
        <f t="shared" si="10"/>
        <v>1075</v>
      </c>
      <c r="Q327" s="7">
        <f t="shared" si="11"/>
        <v>0.17</v>
      </c>
    </row>
    <row r="328">
      <c r="A328" s="4" t="s">
        <v>934</v>
      </c>
      <c r="B328" s="4" t="s">
        <v>935</v>
      </c>
      <c r="C328" s="4" t="s">
        <v>936</v>
      </c>
      <c r="D328" s="5">
        <v>12591.0</v>
      </c>
      <c r="E328" s="7" t="str">
        <f t="shared" si="2"/>
        <v>D</v>
      </c>
      <c r="F328" s="7" t="str">
        <f t="shared" si="3"/>
        <v>C</v>
      </c>
      <c r="G328" s="7" t="str">
        <f t="shared" si="4"/>
        <v>High ambition</v>
      </c>
      <c r="H328" s="7">
        <f t="shared" ref="H328:J328" si="337">ROUND(RAND(),2)</f>
        <v>0.47</v>
      </c>
      <c r="I328" s="7">
        <f t="shared" si="337"/>
        <v>0.97</v>
      </c>
      <c r="J328" s="7">
        <f t="shared" si="337"/>
        <v>0.02</v>
      </c>
      <c r="K328" s="7" t="str">
        <f t="shared" si="6"/>
        <v>High</v>
      </c>
      <c r="L328" s="7">
        <f t="shared" si="7"/>
        <v>2814570</v>
      </c>
      <c r="M328" s="7">
        <f t="shared" si="8"/>
        <v>184885.456</v>
      </c>
      <c r="N328" s="7">
        <f t="shared" si="9"/>
        <v>138501</v>
      </c>
      <c r="O328" s="7">
        <f t="shared" si="13"/>
        <v>273400</v>
      </c>
      <c r="P328" s="7">
        <f t="shared" si="10"/>
        <v>985</v>
      </c>
      <c r="Q328" s="7">
        <f t="shared" si="11"/>
        <v>0.25</v>
      </c>
    </row>
    <row r="329">
      <c r="A329" s="4" t="s">
        <v>937</v>
      </c>
      <c r="B329" s="4" t="s">
        <v>938</v>
      </c>
      <c r="C329" s="4" t="s">
        <v>939</v>
      </c>
      <c r="D329" s="5">
        <v>18699.0</v>
      </c>
      <c r="E329" s="7" t="str">
        <f t="shared" si="2"/>
        <v>A</v>
      </c>
      <c r="F329" s="7" t="str">
        <f t="shared" si="3"/>
        <v>B</v>
      </c>
      <c r="G329" s="7" t="str">
        <f t="shared" si="4"/>
        <v>Transformative change</v>
      </c>
      <c r="H329" s="7">
        <f t="shared" ref="H329:J329" si="338">ROUND(RAND(),2)</f>
        <v>0.67</v>
      </c>
      <c r="I329" s="7">
        <f t="shared" si="338"/>
        <v>0.62</v>
      </c>
      <c r="J329" s="7">
        <f t="shared" si="338"/>
        <v>0.87</v>
      </c>
      <c r="K329" s="7" t="str">
        <f t="shared" si="6"/>
        <v>High</v>
      </c>
      <c r="L329" s="7">
        <f t="shared" si="7"/>
        <v>3146850</v>
      </c>
      <c r="M329" s="7">
        <f t="shared" si="8"/>
        <v>387536.605</v>
      </c>
      <c r="N329" s="7">
        <f t="shared" si="9"/>
        <v>243087</v>
      </c>
      <c r="O329" s="7">
        <f t="shared" si="13"/>
        <v>379080</v>
      </c>
      <c r="P329" s="7">
        <f t="shared" si="10"/>
        <v>845</v>
      </c>
      <c r="Q329" s="7">
        <f t="shared" si="11"/>
        <v>0.14</v>
      </c>
    </row>
    <row r="330">
      <c r="A330" s="4" t="s">
        <v>940</v>
      </c>
      <c r="B330" s="4" t="s">
        <v>941</v>
      </c>
      <c r="C330" s="4" t="s">
        <v>942</v>
      </c>
      <c r="D330" s="5">
        <v>15184.0</v>
      </c>
      <c r="E330" s="7" t="str">
        <f t="shared" si="2"/>
        <v>B</v>
      </c>
      <c r="F330" s="7" t="str">
        <f t="shared" si="3"/>
        <v>C</v>
      </c>
      <c r="G330" s="7" t="str">
        <f t="shared" si="4"/>
        <v>Transformative change</v>
      </c>
      <c r="H330" s="7">
        <f t="shared" ref="H330:J330" si="339">ROUND(RAND(),2)</f>
        <v>0.1</v>
      </c>
      <c r="I330" s="7">
        <f t="shared" si="339"/>
        <v>0.57</v>
      </c>
      <c r="J330" s="7">
        <f t="shared" si="339"/>
        <v>0.94</v>
      </c>
      <c r="K330" s="7" t="str">
        <f t="shared" si="6"/>
        <v>Low</v>
      </c>
      <c r="L330" s="7">
        <f t="shared" si="7"/>
        <v>2914710</v>
      </c>
      <c r="M330" s="7">
        <f t="shared" si="8"/>
        <v>987270.4703</v>
      </c>
      <c r="N330" s="7">
        <f t="shared" si="9"/>
        <v>167024</v>
      </c>
      <c r="O330" s="7">
        <f t="shared" si="13"/>
        <v>302291</v>
      </c>
      <c r="P330" s="7">
        <f t="shared" si="10"/>
        <v>1082</v>
      </c>
      <c r="Q330" s="7">
        <f t="shared" si="11"/>
        <v>0.2</v>
      </c>
    </row>
    <row r="331">
      <c r="A331" s="4" t="s">
        <v>943</v>
      </c>
      <c r="B331" s="4" t="s">
        <v>944</v>
      </c>
      <c r="C331" s="4" t="s">
        <v>945</v>
      </c>
      <c r="D331" s="5">
        <v>14547.0</v>
      </c>
      <c r="E331" s="7" t="str">
        <f t="shared" si="2"/>
        <v>C</v>
      </c>
      <c r="F331" s="7" t="str">
        <f t="shared" si="3"/>
        <v>C</v>
      </c>
      <c r="G331" s="7" t="str">
        <f t="shared" si="4"/>
        <v>Transformative change</v>
      </c>
      <c r="H331" s="7">
        <f t="shared" ref="H331:J331" si="340">ROUND(RAND(),2)</f>
        <v>0.7</v>
      </c>
      <c r="I331" s="7">
        <f t="shared" si="340"/>
        <v>0.05</v>
      </c>
      <c r="J331" s="7">
        <f t="shared" si="340"/>
        <v>0.94</v>
      </c>
      <c r="K331" s="7" t="str">
        <f t="shared" si="6"/>
        <v>Low</v>
      </c>
      <c r="L331" s="7">
        <f t="shared" si="7"/>
        <v>3372609</v>
      </c>
      <c r="M331" s="7">
        <f t="shared" si="8"/>
        <v>2416322.17</v>
      </c>
      <c r="N331" s="7">
        <f t="shared" si="9"/>
        <v>203658</v>
      </c>
      <c r="O331" s="7">
        <f t="shared" si="13"/>
        <v>282104</v>
      </c>
      <c r="P331" s="7">
        <f t="shared" si="10"/>
        <v>1078</v>
      </c>
      <c r="Q331" s="7">
        <f t="shared" si="11"/>
        <v>0.08</v>
      </c>
    </row>
    <row r="332">
      <c r="A332" s="4" t="s">
        <v>946</v>
      </c>
      <c r="B332" s="4" t="s">
        <v>947</v>
      </c>
      <c r="C332" s="4" t="s">
        <v>948</v>
      </c>
      <c r="D332" s="5">
        <v>14353.0</v>
      </c>
      <c r="E332" s="7" t="str">
        <f t="shared" si="2"/>
        <v>F</v>
      </c>
      <c r="F332" s="7" t="str">
        <f t="shared" si="3"/>
        <v>C</v>
      </c>
      <c r="G332" s="7" t="str">
        <f t="shared" si="4"/>
        <v>High ambition</v>
      </c>
      <c r="H332" s="7">
        <f t="shared" ref="H332:J332" si="341">ROUND(RAND(),2)</f>
        <v>0.12</v>
      </c>
      <c r="I332" s="7">
        <f t="shared" si="341"/>
        <v>0.81</v>
      </c>
      <c r="J332" s="7">
        <f t="shared" si="341"/>
        <v>0.29</v>
      </c>
      <c r="K332" s="7" t="str">
        <f t="shared" si="6"/>
        <v>Low</v>
      </c>
      <c r="L332" s="7">
        <f t="shared" si="7"/>
        <v>2009886</v>
      </c>
      <c r="M332" s="7">
        <f t="shared" si="8"/>
        <v>140347.7091</v>
      </c>
      <c r="N332" s="7">
        <f t="shared" si="9"/>
        <v>86118</v>
      </c>
      <c r="O332" s="7">
        <f t="shared" si="13"/>
        <v>276538</v>
      </c>
      <c r="P332" s="7">
        <f t="shared" si="10"/>
        <v>1077</v>
      </c>
      <c r="Q332" s="7">
        <f t="shared" si="11"/>
        <v>0.17</v>
      </c>
    </row>
    <row r="333">
      <c r="A333" s="4" t="s">
        <v>949</v>
      </c>
      <c r="B333" s="4" t="s">
        <v>950</v>
      </c>
      <c r="C333" s="4" t="s">
        <v>951</v>
      </c>
      <c r="D333" s="5">
        <v>15291.0</v>
      </c>
      <c r="E333" s="7" t="str">
        <f t="shared" si="2"/>
        <v>C</v>
      </c>
      <c r="F333" s="7" t="str">
        <f t="shared" si="3"/>
        <v>C</v>
      </c>
      <c r="G333" s="7" t="str">
        <f t="shared" si="4"/>
        <v>Transformative change</v>
      </c>
      <c r="H333" s="7">
        <f t="shared" ref="H333:J333" si="342">ROUND(RAND(),2)</f>
        <v>0.2</v>
      </c>
      <c r="I333" s="7">
        <f t="shared" si="342"/>
        <v>0.38</v>
      </c>
      <c r="J333" s="7">
        <f t="shared" si="342"/>
        <v>0.64</v>
      </c>
      <c r="K333" s="7" t="str">
        <f t="shared" si="6"/>
        <v>Medium</v>
      </c>
      <c r="L333" s="7">
        <f t="shared" si="7"/>
        <v>1542056</v>
      </c>
      <c r="M333" s="7">
        <f t="shared" si="8"/>
        <v>1493283.92</v>
      </c>
      <c r="N333" s="7">
        <f t="shared" si="9"/>
        <v>198783</v>
      </c>
      <c r="O333" s="7">
        <f t="shared" si="13"/>
        <v>212331</v>
      </c>
      <c r="P333" s="7">
        <f t="shared" si="10"/>
        <v>752.97</v>
      </c>
      <c r="Q333" s="7">
        <f t="shared" si="11"/>
        <v>0.29</v>
      </c>
    </row>
    <row r="334">
      <c r="A334" s="4" t="s">
        <v>460</v>
      </c>
      <c r="B334" s="4" t="s">
        <v>952</v>
      </c>
      <c r="C334" s="4" t="s">
        <v>953</v>
      </c>
      <c r="D334" s="5">
        <v>19407.0</v>
      </c>
      <c r="E334" s="7" t="str">
        <f t="shared" si="2"/>
        <v>A</v>
      </c>
      <c r="F334" s="7" t="str">
        <f t="shared" si="3"/>
        <v>C</v>
      </c>
      <c r="G334" s="7" t="str">
        <f t="shared" si="4"/>
        <v>Transformative change</v>
      </c>
      <c r="H334" s="7">
        <f t="shared" ref="H334:J334" si="343">ROUND(RAND(),2)</f>
        <v>0.72</v>
      </c>
      <c r="I334" s="7">
        <f t="shared" si="343"/>
        <v>0.58</v>
      </c>
      <c r="J334" s="7">
        <f t="shared" si="343"/>
        <v>0.65</v>
      </c>
      <c r="K334" s="7" t="str">
        <f t="shared" si="6"/>
        <v>Medium</v>
      </c>
      <c r="L334" s="7">
        <f t="shared" si="7"/>
        <v>2649182</v>
      </c>
      <c r="M334" s="7">
        <f t="shared" si="8"/>
        <v>705048.6833</v>
      </c>
      <c r="N334" s="7">
        <f t="shared" si="9"/>
        <v>116442</v>
      </c>
      <c r="O334" s="7">
        <f t="shared" si="13"/>
        <v>278398</v>
      </c>
      <c r="P334" s="7">
        <f t="shared" si="10"/>
        <v>973</v>
      </c>
      <c r="Q334" s="7">
        <f t="shared" si="11"/>
        <v>0.02</v>
      </c>
    </row>
    <row r="335">
      <c r="A335" s="4" t="s">
        <v>954</v>
      </c>
      <c r="B335" s="4" t="s">
        <v>955</v>
      </c>
      <c r="C335" s="4" t="s">
        <v>956</v>
      </c>
      <c r="D335" s="5">
        <v>16676.0</v>
      </c>
      <c r="E335" s="7" t="str">
        <f t="shared" si="2"/>
        <v>D</v>
      </c>
      <c r="F335" s="7" t="str">
        <f t="shared" si="3"/>
        <v>A</v>
      </c>
      <c r="G335" s="7" t="str">
        <f t="shared" si="4"/>
        <v>Transformative change</v>
      </c>
      <c r="H335" s="7">
        <f t="shared" ref="H335:J335" si="344">ROUND(RAND(),2)</f>
        <v>0.54</v>
      </c>
      <c r="I335" s="7">
        <f t="shared" si="344"/>
        <v>0.54</v>
      </c>
      <c r="J335" s="7">
        <f t="shared" si="344"/>
        <v>0.42</v>
      </c>
      <c r="K335" s="7" t="str">
        <f t="shared" si="6"/>
        <v>Medium</v>
      </c>
      <c r="L335" s="7">
        <f t="shared" si="7"/>
        <v>2227316</v>
      </c>
      <c r="M335" s="7">
        <f t="shared" si="8"/>
        <v>1736626.524</v>
      </c>
      <c r="N335" s="7">
        <f t="shared" si="9"/>
        <v>133408</v>
      </c>
      <c r="O335" s="7">
        <f t="shared" si="13"/>
        <v>303950</v>
      </c>
      <c r="P335" s="7">
        <f t="shared" si="10"/>
        <v>904</v>
      </c>
      <c r="Q335" s="7">
        <f t="shared" si="11"/>
        <v>0.2</v>
      </c>
    </row>
    <row r="336">
      <c r="A336" s="4" t="s">
        <v>957</v>
      </c>
      <c r="B336" s="4" t="s">
        <v>958</v>
      </c>
      <c r="C336" s="4" t="s">
        <v>959</v>
      </c>
      <c r="D336" s="5">
        <v>11589.0</v>
      </c>
      <c r="E336" s="7" t="str">
        <f t="shared" si="2"/>
        <v>B</v>
      </c>
      <c r="F336" s="7" t="str">
        <f t="shared" si="3"/>
        <v>C</v>
      </c>
      <c r="G336" s="7" t="str">
        <f t="shared" si="4"/>
        <v>Transformative change</v>
      </c>
      <c r="H336" s="7">
        <f t="shared" ref="H336:J336" si="345">ROUND(RAND(),2)</f>
        <v>0.23</v>
      </c>
      <c r="I336" s="7">
        <f t="shared" si="345"/>
        <v>0.92</v>
      </c>
      <c r="J336" s="7">
        <f t="shared" si="345"/>
        <v>0.65</v>
      </c>
      <c r="K336" s="7" t="str">
        <f t="shared" si="6"/>
        <v>Medium</v>
      </c>
      <c r="L336" s="7">
        <f t="shared" si="7"/>
        <v>997308</v>
      </c>
      <c r="M336" s="7">
        <f t="shared" si="8"/>
        <v>752831.168</v>
      </c>
      <c r="N336" s="7">
        <f t="shared" si="9"/>
        <v>92712</v>
      </c>
      <c r="O336" s="7">
        <f t="shared" si="13"/>
        <v>163608</v>
      </c>
      <c r="P336" s="7">
        <f t="shared" si="10"/>
        <v>1055</v>
      </c>
      <c r="Q336" s="7">
        <f t="shared" si="11"/>
        <v>0.3</v>
      </c>
    </row>
    <row r="337">
      <c r="A337" s="4" t="s">
        <v>960</v>
      </c>
      <c r="B337" s="4" t="s">
        <v>961</v>
      </c>
      <c r="C337" s="4" t="s">
        <v>747</v>
      </c>
      <c r="D337" s="5">
        <v>80199.0</v>
      </c>
      <c r="E337" s="7" t="str">
        <f t="shared" si="2"/>
        <v>C</v>
      </c>
      <c r="F337" s="7" t="str">
        <f t="shared" si="3"/>
        <v>C</v>
      </c>
      <c r="G337" s="7" t="str">
        <f t="shared" si="4"/>
        <v>High ambition</v>
      </c>
      <c r="H337" s="7">
        <f t="shared" ref="H337:J337" si="346">ROUND(RAND(),2)</f>
        <v>0.8</v>
      </c>
      <c r="I337" s="7">
        <f t="shared" si="346"/>
        <v>0.57</v>
      </c>
      <c r="J337" s="7">
        <f t="shared" si="346"/>
        <v>0.29</v>
      </c>
      <c r="K337" s="7" t="str">
        <f t="shared" si="6"/>
        <v>High</v>
      </c>
      <c r="L337" s="7">
        <f t="shared" si="7"/>
        <v>1773042</v>
      </c>
      <c r="M337" s="7">
        <f t="shared" si="8"/>
        <v>508423.6923</v>
      </c>
      <c r="N337" s="7">
        <f t="shared" si="9"/>
        <v>962388</v>
      </c>
      <c r="O337" s="7">
        <f t="shared" si="13"/>
        <v>1088473</v>
      </c>
      <c r="P337" s="7">
        <f t="shared" si="10"/>
        <v>2872.8</v>
      </c>
      <c r="Q337" s="7">
        <f t="shared" si="11"/>
        <v>0.13</v>
      </c>
    </row>
    <row r="338">
      <c r="A338" s="4" t="s">
        <v>962</v>
      </c>
      <c r="B338" s="4" t="s">
        <v>963</v>
      </c>
      <c r="C338" s="4" t="s">
        <v>964</v>
      </c>
      <c r="D338" s="5">
        <v>13199.0</v>
      </c>
      <c r="E338" s="7" t="str">
        <f t="shared" si="2"/>
        <v>B</v>
      </c>
      <c r="F338" s="7" t="str">
        <f t="shared" si="3"/>
        <v>C</v>
      </c>
      <c r="G338" s="7" t="str">
        <f t="shared" si="4"/>
        <v>Transformative change</v>
      </c>
      <c r="H338" s="7">
        <f t="shared" ref="H338:J338" si="347">ROUND(RAND(),2)</f>
        <v>0.64</v>
      </c>
      <c r="I338" s="7">
        <f t="shared" si="347"/>
        <v>0.28</v>
      </c>
      <c r="J338" s="7">
        <f t="shared" si="347"/>
        <v>0.47</v>
      </c>
      <c r="K338" s="7" t="str">
        <f t="shared" si="6"/>
        <v>Low</v>
      </c>
      <c r="L338" s="7">
        <f t="shared" si="7"/>
        <v>2913945</v>
      </c>
      <c r="M338" s="7">
        <f t="shared" si="8"/>
        <v>927163.3815</v>
      </c>
      <c r="N338" s="7">
        <f t="shared" si="9"/>
        <v>184786</v>
      </c>
      <c r="O338" s="7">
        <f t="shared" si="13"/>
        <v>235483</v>
      </c>
      <c r="P338" s="7">
        <f t="shared" si="10"/>
        <v>946</v>
      </c>
      <c r="Q338" s="7">
        <f t="shared" si="11"/>
        <v>0.1</v>
      </c>
    </row>
    <row r="339">
      <c r="A339" s="4" t="s">
        <v>251</v>
      </c>
      <c r="B339" s="4" t="s">
        <v>965</v>
      </c>
      <c r="C339" s="4" t="s">
        <v>966</v>
      </c>
      <c r="D339" s="5">
        <v>11555.0</v>
      </c>
      <c r="E339" s="7" t="str">
        <f t="shared" si="2"/>
        <v>G</v>
      </c>
      <c r="F339" s="7" t="str">
        <f t="shared" si="3"/>
        <v>C</v>
      </c>
      <c r="G339" s="7" t="str">
        <f t="shared" si="4"/>
        <v>Transformative change</v>
      </c>
      <c r="H339" s="7">
        <f t="shared" ref="H339:J339" si="348">ROUND(RAND(),2)</f>
        <v>0.44</v>
      </c>
      <c r="I339" s="7">
        <f t="shared" si="348"/>
        <v>0.3</v>
      </c>
      <c r="J339" s="7">
        <f t="shared" si="348"/>
        <v>0.75</v>
      </c>
      <c r="K339" s="7" t="str">
        <f t="shared" si="6"/>
        <v>Medium</v>
      </c>
      <c r="L339" s="7">
        <f t="shared" si="7"/>
        <v>2145603</v>
      </c>
      <c r="M339" s="7">
        <f t="shared" si="8"/>
        <v>301939.0762</v>
      </c>
      <c r="N339" s="7">
        <f t="shared" si="9"/>
        <v>127105</v>
      </c>
      <c r="O339" s="7">
        <f t="shared" si="13"/>
        <v>309601</v>
      </c>
      <c r="P339" s="7">
        <f t="shared" si="10"/>
        <v>903</v>
      </c>
      <c r="Q339" s="7">
        <f t="shared" si="11"/>
        <v>0.12</v>
      </c>
    </row>
    <row r="340">
      <c r="A340" s="4" t="s">
        <v>967</v>
      </c>
      <c r="B340" s="4" t="s">
        <v>968</v>
      </c>
      <c r="C340" s="4" t="s">
        <v>969</v>
      </c>
      <c r="D340" s="5">
        <v>16092.0</v>
      </c>
      <c r="E340" s="7" t="str">
        <f t="shared" si="2"/>
        <v>D</v>
      </c>
      <c r="F340" s="7" t="str">
        <f t="shared" si="3"/>
        <v>B</v>
      </c>
      <c r="G340" s="7" t="str">
        <f t="shared" si="4"/>
        <v>Transformative change</v>
      </c>
      <c r="H340" s="7">
        <f t="shared" ref="H340:J340" si="349">ROUND(RAND(),2)</f>
        <v>0.77</v>
      </c>
      <c r="I340" s="7">
        <f t="shared" si="349"/>
        <v>0.75</v>
      </c>
      <c r="J340" s="7">
        <f t="shared" si="349"/>
        <v>0.01</v>
      </c>
      <c r="K340" s="7" t="str">
        <f t="shared" si="6"/>
        <v>Low</v>
      </c>
      <c r="L340" s="7">
        <f t="shared" si="7"/>
        <v>534438</v>
      </c>
      <c r="M340" s="7">
        <f t="shared" si="8"/>
        <v>18956.58857</v>
      </c>
      <c r="N340" s="7">
        <f t="shared" si="9"/>
        <v>144828</v>
      </c>
      <c r="O340" s="7">
        <f t="shared" si="13"/>
        <v>319646</v>
      </c>
      <c r="P340" s="7">
        <f t="shared" si="10"/>
        <v>899</v>
      </c>
      <c r="Q340" s="7">
        <f t="shared" si="11"/>
        <v>0.08</v>
      </c>
    </row>
    <row r="341">
      <c r="A341" s="4" t="s">
        <v>970</v>
      </c>
      <c r="B341" s="4" t="s">
        <v>971</v>
      </c>
      <c r="C341" s="4" t="s">
        <v>95</v>
      </c>
      <c r="D341" s="5">
        <v>346771.0</v>
      </c>
      <c r="E341" s="7" t="str">
        <f t="shared" si="2"/>
        <v>G</v>
      </c>
      <c r="F341" s="7" t="str">
        <f t="shared" si="3"/>
        <v>B</v>
      </c>
      <c r="G341" s="7" t="str">
        <f t="shared" si="4"/>
        <v>Transformative change</v>
      </c>
      <c r="H341" s="7">
        <f t="shared" ref="H341:J341" si="350">ROUND(RAND(),2)</f>
        <v>0.1</v>
      </c>
      <c r="I341" s="7">
        <f t="shared" si="350"/>
        <v>0.61</v>
      </c>
      <c r="J341" s="7">
        <f t="shared" si="350"/>
        <v>0.07</v>
      </c>
      <c r="K341" s="7" t="str">
        <f t="shared" si="6"/>
        <v>Low</v>
      </c>
      <c r="L341" s="7">
        <f t="shared" si="7"/>
        <v>2719966</v>
      </c>
      <c r="M341" s="7">
        <f t="shared" si="8"/>
        <v>854920.6579</v>
      </c>
      <c r="N341" s="7">
        <f t="shared" si="9"/>
        <v>5201565</v>
      </c>
      <c r="O341" s="7">
        <f t="shared" si="13"/>
        <v>5363842</v>
      </c>
      <c r="P341" s="7">
        <f t="shared" si="10"/>
        <v>30597.44</v>
      </c>
      <c r="Q341" s="7">
        <f t="shared" si="11"/>
        <v>0.11</v>
      </c>
    </row>
    <row r="342">
      <c r="A342" s="4" t="s">
        <v>972</v>
      </c>
      <c r="B342" s="4" t="s">
        <v>973</v>
      </c>
      <c r="C342" s="4" t="s">
        <v>974</v>
      </c>
      <c r="D342" s="5">
        <v>9210.0</v>
      </c>
      <c r="E342" s="7" t="str">
        <f t="shared" si="2"/>
        <v>G</v>
      </c>
      <c r="F342" s="7" t="str">
        <f t="shared" si="3"/>
        <v>C</v>
      </c>
      <c r="G342" s="7" t="str">
        <f t="shared" si="4"/>
        <v>Transformative change</v>
      </c>
      <c r="H342" s="7">
        <f t="shared" ref="H342:J342" si="351">ROUND(RAND(),2)</f>
        <v>0.86</v>
      </c>
      <c r="I342" s="7">
        <f t="shared" si="351"/>
        <v>0.13</v>
      </c>
      <c r="J342" s="7">
        <f t="shared" si="351"/>
        <v>0.37</v>
      </c>
      <c r="K342" s="7" t="str">
        <f t="shared" si="6"/>
        <v>Medium</v>
      </c>
      <c r="L342" s="7">
        <f t="shared" si="7"/>
        <v>1649402</v>
      </c>
      <c r="M342" s="7">
        <f t="shared" si="8"/>
        <v>372870.2448</v>
      </c>
      <c r="N342" s="7">
        <f t="shared" si="9"/>
        <v>46050</v>
      </c>
      <c r="O342" s="7">
        <f t="shared" si="13"/>
        <v>62683</v>
      </c>
      <c r="P342" s="7">
        <f t="shared" si="10"/>
        <v>840</v>
      </c>
      <c r="Q342" s="7">
        <f t="shared" si="11"/>
        <v>0.08</v>
      </c>
    </row>
    <row r="343">
      <c r="A343" s="4" t="s">
        <v>975</v>
      </c>
      <c r="B343" s="4" t="s">
        <v>976</v>
      </c>
      <c r="C343" s="4" t="s">
        <v>977</v>
      </c>
      <c r="D343" s="5">
        <v>13783.0</v>
      </c>
      <c r="E343" s="7" t="str">
        <f t="shared" si="2"/>
        <v>E</v>
      </c>
      <c r="F343" s="7" t="str">
        <f t="shared" si="3"/>
        <v>A</v>
      </c>
      <c r="G343" s="7" t="str">
        <f t="shared" si="4"/>
        <v>High ambition</v>
      </c>
      <c r="H343" s="7">
        <f t="shared" ref="H343:J343" si="352">ROUND(RAND(),2)</f>
        <v>0.36</v>
      </c>
      <c r="I343" s="7">
        <f t="shared" si="352"/>
        <v>0.77</v>
      </c>
      <c r="J343" s="7">
        <f t="shared" si="352"/>
        <v>0.03</v>
      </c>
      <c r="K343" s="7" t="str">
        <f t="shared" si="6"/>
        <v>Medium</v>
      </c>
      <c r="L343" s="7">
        <f t="shared" si="7"/>
        <v>977945</v>
      </c>
      <c r="M343" s="7">
        <f t="shared" si="8"/>
        <v>64290.60019</v>
      </c>
      <c r="N343" s="7">
        <f t="shared" si="9"/>
        <v>165396</v>
      </c>
      <c r="O343" s="7">
        <f t="shared" si="13"/>
        <v>298888</v>
      </c>
      <c r="P343" s="7">
        <f t="shared" si="10"/>
        <v>638.59</v>
      </c>
      <c r="Q343" s="7">
        <f t="shared" si="11"/>
        <v>0.22</v>
      </c>
    </row>
    <row r="344">
      <c r="A344" s="4" t="s">
        <v>978</v>
      </c>
      <c r="B344" s="4" t="s">
        <v>979</v>
      </c>
      <c r="C344" s="4" t="s">
        <v>980</v>
      </c>
      <c r="D344" s="5">
        <v>11900.0</v>
      </c>
      <c r="E344" s="7" t="str">
        <f t="shared" si="2"/>
        <v>A</v>
      </c>
      <c r="F344" s="7" t="str">
        <f t="shared" si="3"/>
        <v>A</v>
      </c>
      <c r="G344" s="7" t="str">
        <f t="shared" si="4"/>
        <v>Transformative change</v>
      </c>
      <c r="H344" s="7">
        <f t="shared" ref="H344:J344" si="353">ROUND(RAND(),2)</f>
        <v>0.34</v>
      </c>
      <c r="I344" s="7">
        <f t="shared" si="353"/>
        <v>0.68</v>
      </c>
      <c r="J344" s="7">
        <f t="shared" si="353"/>
        <v>0</v>
      </c>
      <c r="K344" s="7" t="str">
        <f t="shared" si="6"/>
        <v>High</v>
      </c>
      <c r="L344" s="7">
        <f t="shared" si="7"/>
        <v>3663255</v>
      </c>
      <c r="M344" s="7">
        <f t="shared" si="8"/>
        <v>486346.6847</v>
      </c>
      <c r="N344" s="7">
        <f t="shared" si="9"/>
        <v>95200</v>
      </c>
      <c r="O344" s="7">
        <f t="shared" si="13"/>
        <v>173215</v>
      </c>
      <c r="P344" s="7">
        <f t="shared" si="10"/>
        <v>917</v>
      </c>
      <c r="Q344" s="7">
        <f t="shared" si="11"/>
        <v>0.28</v>
      </c>
    </row>
    <row r="345">
      <c r="A345" s="4" t="s">
        <v>981</v>
      </c>
      <c r="B345" s="4" t="s">
        <v>982</v>
      </c>
      <c r="C345" s="4" t="s">
        <v>691</v>
      </c>
      <c r="D345" s="5">
        <v>27144.0</v>
      </c>
      <c r="E345" s="7" t="str">
        <f t="shared" si="2"/>
        <v>E</v>
      </c>
      <c r="F345" s="7" t="str">
        <f t="shared" si="3"/>
        <v>A</v>
      </c>
      <c r="G345" s="7" t="str">
        <f t="shared" si="4"/>
        <v>Transformative change</v>
      </c>
      <c r="H345" s="7">
        <f t="shared" ref="H345:J345" si="354">ROUND(RAND(),2)</f>
        <v>0.17</v>
      </c>
      <c r="I345" s="7">
        <f t="shared" si="354"/>
        <v>0.35</v>
      </c>
      <c r="J345" s="7">
        <f t="shared" si="354"/>
        <v>0.73</v>
      </c>
      <c r="K345" s="7" t="str">
        <f t="shared" si="6"/>
        <v>High</v>
      </c>
      <c r="L345" s="7">
        <f t="shared" si="7"/>
        <v>69504</v>
      </c>
      <c r="M345" s="7">
        <f t="shared" si="8"/>
        <v>42328.14526</v>
      </c>
      <c r="N345" s="7">
        <f t="shared" si="9"/>
        <v>108576</v>
      </c>
      <c r="O345" s="7">
        <f t="shared" si="13"/>
        <v>201123</v>
      </c>
      <c r="P345" s="7">
        <f t="shared" si="10"/>
        <v>936</v>
      </c>
      <c r="Q345" s="7">
        <f t="shared" si="11"/>
        <v>0.17</v>
      </c>
    </row>
    <row r="346">
      <c r="A346" s="4" t="s">
        <v>983</v>
      </c>
      <c r="B346" s="4" t="s">
        <v>984</v>
      </c>
      <c r="C346" s="4" t="s">
        <v>747</v>
      </c>
      <c r="D346" s="5">
        <v>13039.0</v>
      </c>
      <c r="E346" s="7" t="str">
        <f t="shared" si="2"/>
        <v>G</v>
      </c>
      <c r="F346" s="7" t="str">
        <f t="shared" si="3"/>
        <v>A</v>
      </c>
      <c r="G346" s="7" t="str">
        <f t="shared" si="4"/>
        <v>Transformative change</v>
      </c>
      <c r="H346" s="7">
        <f t="shared" ref="H346:J346" si="355">ROUND(RAND(),2)</f>
        <v>0.3</v>
      </c>
      <c r="I346" s="7">
        <f t="shared" si="355"/>
        <v>0.19</v>
      </c>
      <c r="J346" s="7">
        <f t="shared" si="355"/>
        <v>0.41</v>
      </c>
      <c r="K346" s="7" t="str">
        <f t="shared" si="6"/>
        <v>Medium</v>
      </c>
      <c r="L346" s="7">
        <f t="shared" si="7"/>
        <v>2735419</v>
      </c>
      <c r="M346" s="7">
        <f t="shared" si="8"/>
        <v>2262583.205</v>
      </c>
      <c r="N346" s="7">
        <f t="shared" si="9"/>
        <v>91273</v>
      </c>
      <c r="O346" s="7">
        <f t="shared" si="13"/>
        <v>258473</v>
      </c>
      <c r="P346" s="7">
        <f t="shared" si="10"/>
        <v>330.7</v>
      </c>
      <c r="Q346" s="7">
        <f t="shared" si="11"/>
        <v>0.17</v>
      </c>
    </row>
    <row r="347">
      <c r="A347" s="4" t="s">
        <v>985</v>
      </c>
      <c r="B347" s="4" t="s">
        <v>986</v>
      </c>
      <c r="C347" s="4" t="s">
        <v>987</v>
      </c>
      <c r="D347" s="5">
        <v>72325.0</v>
      </c>
      <c r="E347" s="7" t="str">
        <f t="shared" si="2"/>
        <v>C</v>
      </c>
      <c r="F347" s="7" t="str">
        <f t="shared" si="3"/>
        <v>C</v>
      </c>
      <c r="G347" s="7" t="str">
        <f t="shared" si="4"/>
        <v>Transformative change</v>
      </c>
      <c r="H347" s="7">
        <f t="shared" ref="H347:J347" si="356">ROUND(RAND(),2)</f>
        <v>0.93</v>
      </c>
      <c r="I347" s="7">
        <f t="shared" si="356"/>
        <v>0.72</v>
      </c>
      <c r="J347" s="7">
        <f t="shared" si="356"/>
        <v>0.25</v>
      </c>
      <c r="K347" s="7" t="str">
        <f t="shared" si="6"/>
        <v>High</v>
      </c>
      <c r="L347" s="7">
        <f t="shared" si="7"/>
        <v>1408192</v>
      </c>
      <c r="M347" s="7">
        <f t="shared" si="8"/>
        <v>73205.4742</v>
      </c>
      <c r="N347" s="7">
        <f t="shared" si="9"/>
        <v>867900</v>
      </c>
      <c r="O347" s="7">
        <f t="shared" si="13"/>
        <v>870077</v>
      </c>
      <c r="P347" s="7">
        <f t="shared" si="10"/>
        <v>3300</v>
      </c>
      <c r="Q347" s="7">
        <f t="shared" si="11"/>
        <v>0.25</v>
      </c>
    </row>
    <row r="348">
      <c r="A348" s="4" t="s">
        <v>988</v>
      </c>
      <c r="B348" s="4" t="s">
        <v>989</v>
      </c>
      <c r="C348" s="4" t="s">
        <v>990</v>
      </c>
      <c r="D348" s="5">
        <v>18729.0</v>
      </c>
      <c r="E348" s="7" t="str">
        <f t="shared" si="2"/>
        <v>A</v>
      </c>
      <c r="F348" s="7" t="str">
        <f t="shared" si="3"/>
        <v>B</v>
      </c>
      <c r="G348" s="7" t="str">
        <f t="shared" si="4"/>
        <v>Transformative change</v>
      </c>
      <c r="H348" s="7">
        <f t="shared" ref="H348:J348" si="357">ROUND(RAND(),2)</f>
        <v>0.81</v>
      </c>
      <c r="I348" s="7">
        <f t="shared" si="357"/>
        <v>0.11</v>
      </c>
      <c r="J348" s="7">
        <f t="shared" si="357"/>
        <v>0.02</v>
      </c>
      <c r="K348" s="7" t="str">
        <f t="shared" si="6"/>
        <v>Low</v>
      </c>
      <c r="L348" s="7">
        <f t="shared" si="7"/>
        <v>2192880</v>
      </c>
      <c r="M348" s="7">
        <f t="shared" si="8"/>
        <v>1649650.122</v>
      </c>
      <c r="N348" s="7">
        <f t="shared" si="9"/>
        <v>206019</v>
      </c>
      <c r="O348" s="7">
        <f t="shared" si="13"/>
        <v>288452</v>
      </c>
      <c r="P348" s="7">
        <f t="shared" si="10"/>
        <v>941</v>
      </c>
      <c r="Q348" s="7">
        <f t="shared" si="11"/>
        <v>0.08</v>
      </c>
    </row>
    <row r="349">
      <c r="A349" s="4" t="s">
        <v>991</v>
      </c>
      <c r="B349" s="4" t="s">
        <v>992</v>
      </c>
      <c r="C349" s="4" t="s">
        <v>993</v>
      </c>
      <c r="D349" s="5">
        <v>16749.0</v>
      </c>
      <c r="E349" s="7" t="str">
        <f t="shared" si="2"/>
        <v>E</v>
      </c>
      <c r="F349" s="7" t="str">
        <f t="shared" si="3"/>
        <v>A</v>
      </c>
      <c r="G349" s="7" t="str">
        <f t="shared" si="4"/>
        <v>Transformative change</v>
      </c>
      <c r="H349" s="7">
        <f t="shared" ref="H349:J349" si="358">ROUND(RAND(),2)</f>
        <v>0.16</v>
      </c>
      <c r="I349" s="7">
        <f t="shared" si="358"/>
        <v>0.5</v>
      </c>
      <c r="J349" s="7">
        <f t="shared" si="358"/>
        <v>0.63</v>
      </c>
      <c r="K349" s="7" t="str">
        <f t="shared" si="6"/>
        <v>Low</v>
      </c>
      <c r="L349" s="7">
        <f t="shared" si="7"/>
        <v>1452339</v>
      </c>
      <c r="M349" s="7">
        <f t="shared" si="8"/>
        <v>392862.6372</v>
      </c>
      <c r="N349" s="7">
        <f t="shared" si="9"/>
        <v>133992</v>
      </c>
      <c r="O349" s="7">
        <f t="shared" si="13"/>
        <v>235749</v>
      </c>
      <c r="P349" s="7">
        <f t="shared" si="10"/>
        <v>424.03</v>
      </c>
      <c r="Q349" s="7">
        <f t="shared" si="11"/>
        <v>0.27</v>
      </c>
    </row>
    <row r="350">
      <c r="A350" s="4" t="s">
        <v>994</v>
      </c>
      <c r="B350" s="4" t="s">
        <v>995</v>
      </c>
      <c r="C350" s="4" t="s">
        <v>996</v>
      </c>
      <c r="D350" s="5">
        <v>9477.0</v>
      </c>
      <c r="E350" s="7" t="str">
        <f t="shared" si="2"/>
        <v>B</v>
      </c>
      <c r="F350" s="7" t="str">
        <f t="shared" si="3"/>
        <v>A</v>
      </c>
      <c r="G350" s="7" t="str">
        <f t="shared" si="4"/>
        <v>Transformative change</v>
      </c>
      <c r="H350" s="7">
        <f t="shared" ref="H350:J350" si="359">ROUND(RAND(),2)</f>
        <v>0.86</v>
      </c>
      <c r="I350" s="7">
        <f t="shared" si="359"/>
        <v>0.68</v>
      </c>
      <c r="J350" s="7">
        <f t="shared" si="359"/>
        <v>0.71</v>
      </c>
      <c r="K350" s="7" t="str">
        <f t="shared" si="6"/>
        <v>High</v>
      </c>
      <c r="L350" s="7">
        <f t="shared" si="7"/>
        <v>3688996</v>
      </c>
      <c r="M350" s="7">
        <f t="shared" si="8"/>
        <v>3123894.367</v>
      </c>
      <c r="N350" s="7">
        <f t="shared" si="9"/>
        <v>142155</v>
      </c>
      <c r="O350" s="7">
        <f t="shared" si="13"/>
        <v>285616</v>
      </c>
      <c r="P350" s="7">
        <f t="shared" si="10"/>
        <v>1070</v>
      </c>
      <c r="Q350" s="7">
        <f t="shared" si="11"/>
        <v>0.1</v>
      </c>
    </row>
    <row r="351">
      <c r="A351" s="4" t="s">
        <v>997</v>
      </c>
      <c r="B351" s="4" t="s">
        <v>998</v>
      </c>
      <c r="C351" s="4" t="s">
        <v>999</v>
      </c>
      <c r="D351" s="5">
        <v>450093.0</v>
      </c>
      <c r="E351" s="7" t="str">
        <f t="shared" si="2"/>
        <v>E</v>
      </c>
      <c r="F351" s="7" t="str">
        <f t="shared" si="3"/>
        <v>C</v>
      </c>
      <c r="G351" s="7" t="str">
        <f t="shared" si="4"/>
        <v>Transformative change</v>
      </c>
      <c r="H351" s="7">
        <f t="shared" ref="H351:J351" si="360">ROUND(RAND(),2)</f>
        <v>0.15</v>
      </c>
      <c r="I351" s="7">
        <f t="shared" si="360"/>
        <v>0.02</v>
      </c>
      <c r="J351" s="7">
        <f t="shared" si="360"/>
        <v>0.34</v>
      </c>
      <c r="K351" s="7" t="str">
        <f t="shared" si="6"/>
        <v>Low</v>
      </c>
      <c r="L351" s="7">
        <f t="shared" si="7"/>
        <v>2685501</v>
      </c>
      <c r="M351" s="7">
        <f t="shared" si="8"/>
        <v>1575115.809</v>
      </c>
      <c r="N351" s="7">
        <f t="shared" si="9"/>
        <v>6301302</v>
      </c>
      <c r="O351" s="7">
        <f t="shared" si="13"/>
        <v>6345897</v>
      </c>
      <c r="P351" s="7">
        <f t="shared" si="10"/>
        <v>19270.04</v>
      </c>
      <c r="Q351" s="7">
        <f t="shared" si="11"/>
        <v>0.19</v>
      </c>
    </row>
    <row r="352">
      <c r="A352" s="4" t="s">
        <v>1000</v>
      </c>
      <c r="B352" s="4" t="s">
        <v>1001</v>
      </c>
      <c r="C352" s="4" t="s">
        <v>95</v>
      </c>
      <c r="D352" s="5">
        <v>41950.0</v>
      </c>
      <c r="E352" s="7" t="str">
        <f t="shared" si="2"/>
        <v>E</v>
      </c>
      <c r="F352" s="7" t="str">
        <f t="shared" si="3"/>
        <v>A</v>
      </c>
      <c r="G352" s="7" t="str">
        <f t="shared" si="4"/>
        <v>Transformative change</v>
      </c>
      <c r="H352" s="7">
        <f t="shared" ref="H352:J352" si="361">ROUND(RAND(),2)</f>
        <v>0.75</v>
      </c>
      <c r="I352" s="7">
        <f t="shared" si="361"/>
        <v>0.01</v>
      </c>
      <c r="J352" s="7">
        <f t="shared" si="361"/>
        <v>0.3</v>
      </c>
      <c r="K352" s="7" t="str">
        <f t="shared" si="6"/>
        <v>High</v>
      </c>
      <c r="L352" s="7">
        <f t="shared" si="7"/>
        <v>3150944</v>
      </c>
      <c r="M352" s="7">
        <f t="shared" si="8"/>
        <v>997091.2282</v>
      </c>
      <c r="N352" s="7">
        <f t="shared" si="9"/>
        <v>209750</v>
      </c>
      <c r="O352" s="7">
        <f t="shared" si="13"/>
        <v>282866</v>
      </c>
      <c r="P352" s="7">
        <f t="shared" si="10"/>
        <v>850</v>
      </c>
      <c r="Q352" s="7">
        <f t="shared" si="11"/>
        <v>0.12</v>
      </c>
    </row>
    <row r="353">
      <c r="A353" s="4" t="s">
        <v>1002</v>
      </c>
      <c r="B353" s="4" t="s">
        <v>1003</v>
      </c>
      <c r="C353" s="4" t="s">
        <v>1004</v>
      </c>
      <c r="D353" s="5">
        <v>17080.0</v>
      </c>
      <c r="E353" s="7" t="str">
        <f t="shared" si="2"/>
        <v>B</v>
      </c>
      <c r="F353" s="7" t="str">
        <f t="shared" si="3"/>
        <v>A</v>
      </c>
      <c r="G353" s="7" t="str">
        <f t="shared" si="4"/>
        <v>Transformative change</v>
      </c>
      <c r="H353" s="7">
        <f t="shared" ref="H353:J353" si="362">ROUND(RAND(),2)</f>
        <v>0.55</v>
      </c>
      <c r="I353" s="7">
        <f t="shared" si="362"/>
        <v>0.17</v>
      </c>
      <c r="J353" s="7">
        <f t="shared" si="362"/>
        <v>0.77</v>
      </c>
      <c r="K353" s="7" t="str">
        <f t="shared" si="6"/>
        <v>High</v>
      </c>
      <c r="L353" s="7">
        <f t="shared" si="7"/>
        <v>1432706</v>
      </c>
      <c r="M353" s="7">
        <f t="shared" si="8"/>
        <v>591392.4874</v>
      </c>
      <c r="N353" s="7">
        <f t="shared" si="9"/>
        <v>204960</v>
      </c>
      <c r="O353" s="7">
        <f t="shared" si="13"/>
        <v>347469</v>
      </c>
      <c r="P353" s="7">
        <f t="shared" si="10"/>
        <v>6405</v>
      </c>
      <c r="Q353" s="7">
        <f t="shared" si="11"/>
        <v>0.01</v>
      </c>
    </row>
    <row r="354">
      <c r="A354" s="4" t="s">
        <v>1005</v>
      </c>
      <c r="B354" s="4" t="s">
        <v>1006</v>
      </c>
      <c r="C354" s="4" t="s">
        <v>1007</v>
      </c>
      <c r="D354" s="5">
        <v>11031.0</v>
      </c>
      <c r="E354" s="7" t="str">
        <f t="shared" si="2"/>
        <v>G</v>
      </c>
      <c r="F354" s="7" t="str">
        <f t="shared" si="3"/>
        <v>B</v>
      </c>
      <c r="G354" s="7" t="str">
        <f t="shared" si="4"/>
        <v>Transformative change</v>
      </c>
      <c r="H354" s="7">
        <f t="shared" ref="H354:J354" si="363">ROUND(RAND(),2)</f>
        <v>0.25</v>
      </c>
      <c r="I354" s="7">
        <f t="shared" si="363"/>
        <v>0.56</v>
      </c>
      <c r="J354" s="7">
        <f t="shared" si="363"/>
        <v>0.59</v>
      </c>
      <c r="K354" s="7" t="str">
        <f t="shared" si="6"/>
        <v>Low</v>
      </c>
      <c r="L354" s="7">
        <f t="shared" si="7"/>
        <v>3986856</v>
      </c>
      <c r="M354" s="7">
        <f t="shared" si="8"/>
        <v>3327097.291</v>
      </c>
      <c r="N354" s="7">
        <f t="shared" si="9"/>
        <v>110310</v>
      </c>
      <c r="O354" s="7">
        <f t="shared" si="13"/>
        <v>198472</v>
      </c>
      <c r="P354" s="7">
        <f t="shared" si="10"/>
        <v>730.53</v>
      </c>
      <c r="Q354" s="7">
        <f t="shared" si="11"/>
        <v>0.25</v>
      </c>
    </row>
    <row r="355">
      <c r="A355" s="4" t="s">
        <v>1008</v>
      </c>
      <c r="B355" s="4" t="s">
        <v>1009</v>
      </c>
      <c r="C355" s="4" t="s">
        <v>1010</v>
      </c>
      <c r="D355" s="5">
        <v>13023.0</v>
      </c>
      <c r="E355" s="7" t="str">
        <f t="shared" si="2"/>
        <v>D</v>
      </c>
      <c r="F355" s="7" t="str">
        <f t="shared" si="3"/>
        <v>A</v>
      </c>
      <c r="G355" s="7" t="str">
        <f t="shared" si="4"/>
        <v>Transformative change</v>
      </c>
      <c r="H355" s="7">
        <f t="shared" ref="H355:J355" si="364">ROUND(RAND(),2)</f>
        <v>0.52</v>
      </c>
      <c r="I355" s="7">
        <f t="shared" si="364"/>
        <v>0.24</v>
      </c>
      <c r="J355" s="7">
        <f t="shared" si="364"/>
        <v>0.67</v>
      </c>
      <c r="K355" s="7" t="str">
        <f t="shared" si="6"/>
        <v>Medium</v>
      </c>
      <c r="L355" s="7">
        <f t="shared" si="7"/>
        <v>3773415</v>
      </c>
      <c r="M355" s="7">
        <f t="shared" si="8"/>
        <v>1560814.291</v>
      </c>
      <c r="N355" s="7">
        <f t="shared" si="9"/>
        <v>65115</v>
      </c>
      <c r="O355" s="7">
        <f t="shared" si="13"/>
        <v>170938</v>
      </c>
      <c r="P355" s="7">
        <f t="shared" si="10"/>
        <v>1051</v>
      </c>
      <c r="Q355" s="7">
        <f t="shared" si="11"/>
        <v>0.09</v>
      </c>
    </row>
    <row r="356">
      <c r="A356" s="4" t="s">
        <v>1011</v>
      </c>
      <c r="B356" s="4" t="s">
        <v>1012</v>
      </c>
      <c r="C356" s="4" t="s">
        <v>95</v>
      </c>
      <c r="D356" s="5">
        <v>16501.0</v>
      </c>
      <c r="E356" s="7" t="str">
        <f t="shared" si="2"/>
        <v>G</v>
      </c>
      <c r="F356" s="7" t="str">
        <f t="shared" si="3"/>
        <v>A</v>
      </c>
      <c r="G356" s="7" t="str">
        <f t="shared" si="4"/>
        <v>Transformative change</v>
      </c>
      <c r="H356" s="7">
        <f t="shared" ref="H356:J356" si="365">ROUND(RAND(),2)</f>
        <v>0.74</v>
      </c>
      <c r="I356" s="7">
        <f t="shared" si="365"/>
        <v>0.81</v>
      </c>
      <c r="J356" s="7">
        <f t="shared" si="365"/>
        <v>0.9</v>
      </c>
      <c r="K356" s="7" t="str">
        <f t="shared" si="6"/>
        <v>Low</v>
      </c>
      <c r="L356" s="7">
        <f t="shared" si="7"/>
        <v>2313694</v>
      </c>
      <c r="M356" s="7">
        <f t="shared" si="8"/>
        <v>609221.6113</v>
      </c>
      <c r="N356" s="7">
        <f t="shared" si="9"/>
        <v>247515</v>
      </c>
      <c r="O356" s="7">
        <f t="shared" si="13"/>
        <v>348570</v>
      </c>
      <c r="P356" s="7">
        <f t="shared" si="10"/>
        <v>999</v>
      </c>
      <c r="Q356" s="7">
        <f t="shared" si="11"/>
        <v>0.24</v>
      </c>
    </row>
    <row r="357">
      <c r="A357" s="4" t="s">
        <v>1013</v>
      </c>
      <c r="B357" s="4" t="s">
        <v>1014</v>
      </c>
      <c r="C357" s="4" t="s">
        <v>1015</v>
      </c>
      <c r="D357" s="5">
        <v>32388.0</v>
      </c>
      <c r="E357" s="7" t="str">
        <f t="shared" si="2"/>
        <v>A</v>
      </c>
      <c r="F357" s="7" t="str">
        <f t="shared" si="3"/>
        <v>C</v>
      </c>
      <c r="G357" s="7" t="str">
        <f t="shared" si="4"/>
        <v>High ambition</v>
      </c>
      <c r="H357" s="7">
        <f t="shared" ref="H357:J357" si="366">ROUND(RAND(),2)</f>
        <v>0.12</v>
      </c>
      <c r="I357" s="7">
        <f t="shared" si="366"/>
        <v>0.61</v>
      </c>
      <c r="J357" s="7">
        <f t="shared" si="366"/>
        <v>0.47</v>
      </c>
      <c r="K357" s="7" t="str">
        <f t="shared" si="6"/>
        <v>High</v>
      </c>
      <c r="L357" s="7">
        <f t="shared" si="7"/>
        <v>917667</v>
      </c>
      <c r="M357" s="7">
        <f t="shared" si="8"/>
        <v>196014.9667</v>
      </c>
      <c r="N357" s="7">
        <f t="shared" si="9"/>
        <v>485820</v>
      </c>
      <c r="O357" s="7">
        <f t="shared" si="13"/>
        <v>492727</v>
      </c>
      <c r="P357" s="7">
        <f t="shared" si="10"/>
        <v>1295.52</v>
      </c>
      <c r="Q357" s="7">
        <f t="shared" si="11"/>
        <v>0.07</v>
      </c>
    </row>
    <row r="358">
      <c r="A358" s="4" t="s">
        <v>1016</v>
      </c>
      <c r="B358" s="4" t="s">
        <v>1017</v>
      </c>
      <c r="C358" s="4" t="s">
        <v>1018</v>
      </c>
      <c r="D358" s="5">
        <v>16108.0</v>
      </c>
      <c r="E358" s="7" t="str">
        <f t="shared" si="2"/>
        <v>C</v>
      </c>
      <c r="F358" s="7" t="str">
        <f t="shared" si="3"/>
        <v>A</v>
      </c>
      <c r="G358" s="7" t="str">
        <f t="shared" si="4"/>
        <v>Transformative change</v>
      </c>
      <c r="H358" s="7">
        <f t="shared" ref="H358:J358" si="367">ROUND(RAND(),2)</f>
        <v>0.21</v>
      </c>
      <c r="I358" s="7">
        <f t="shared" si="367"/>
        <v>0.33</v>
      </c>
      <c r="J358" s="7">
        <f t="shared" si="367"/>
        <v>0.6</v>
      </c>
      <c r="K358" s="7" t="str">
        <f t="shared" si="6"/>
        <v>High</v>
      </c>
      <c r="L358" s="7">
        <f t="shared" si="7"/>
        <v>2998115</v>
      </c>
      <c r="M358" s="7">
        <f t="shared" si="8"/>
        <v>2670044.127</v>
      </c>
      <c r="N358" s="7">
        <f t="shared" si="9"/>
        <v>96648</v>
      </c>
      <c r="O358" s="7">
        <f t="shared" si="13"/>
        <v>216120</v>
      </c>
      <c r="P358" s="7">
        <f t="shared" si="10"/>
        <v>933</v>
      </c>
      <c r="Q358" s="7">
        <f t="shared" si="11"/>
        <v>0.09</v>
      </c>
    </row>
    <row r="359">
      <c r="A359" s="4" t="s">
        <v>1019</v>
      </c>
      <c r="B359" s="4" t="s">
        <v>1020</v>
      </c>
      <c r="C359" s="4" t="s">
        <v>1021</v>
      </c>
      <c r="D359" s="5">
        <v>16805.0</v>
      </c>
      <c r="E359" s="7" t="str">
        <f t="shared" si="2"/>
        <v>F</v>
      </c>
      <c r="F359" s="7" t="str">
        <f t="shared" si="3"/>
        <v>B</v>
      </c>
      <c r="G359" s="7" t="str">
        <f t="shared" si="4"/>
        <v>Transformative change</v>
      </c>
      <c r="H359" s="7">
        <f t="shared" ref="H359:J359" si="368">ROUND(RAND(),2)</f>
        <v>0.31</v>
      </c>
      <c r="I359" s="7">
        <f t="shared" si="368"/>
        <v>0.57</v>
      </c>
      <c r="J359" s="7">
        <f t="shared" si="368"/>
        <v>0.63</v>
      </c>
      <c r="K359" s="7" t="str">
        <f t="shared" si="6"/>
        <v>High</v>
      </c>
      <c r="L359" s="7">
        <f t="shared" si="7"/>
        <v>1998747</v>
      </c>
      <c r="M359" s="7">
        <f t="shared" si="8"/>
        <v>519668.6179</v>
      </c>
      <c r="N359" s="7">
        <f t="shared" si="9"/>
        <v>151245</v>
      </c>
      <c r="O359" s="7">
        <f t="shared" si="13"/>
        <v>292744</v>
      </c>
      <c r="P359" s="7">
        <f t="shared" si="10"/>
        <v>925</v>
      </c>
      <c r="Q359" s="7">
        <f t="shared" si="11"/>
        <v>0.11</v>
      </c>
    </row>
    <row r="360">
      <c r="A360" s="4" t="s">
        <v>1022</v>
      </c>
      <c r="B360" s="4" t="s">
        <v>1023</v>
      </c>
      <c r="C360" s="4" t="s">
        <v>95</v>
      </c>
      <c r="D360" s="5">
        <v>11595.0</v>
      </c>
      <c r="E360" s="7" t="str">
        <f t="shared" si="2"/>
        <v>A</v>
      </c>
      <c r="F360" s="7" t="str">
        <f t="shared" si="3"/>
        <v>B</v>
      </c>
      <c r="G360" s="7" t="str">
        <f t="shared" si="4"/>
        <v>Transformative change</v>
      </c>
      <c r="H360" s="7">
        <f t="shared" ref="H360:J360" si="369">ROUND(RAND(),2)</f>
        <v>0.13</v>
      </c>
      <c r="I360" s="7">
        <f t="shared" si="369"/>
        <v>0.28</v>
      </c>
      <c r="J360" s="7">
        <f t="shared" si="369"/>
        <v>0.57</v>
      </c>
      <c r="K360" s="7" t="str">
        <f t="shared" si="6"/>
        <v>Low</v>
      </c>
      <c r="L360" s="7">
        <f t="shared" si="7"/>
        <v>2995011</v>
      </c>
      <c r="M360" s="7">
        <f t="shared" si="8"/>
        <v>2016225.667</v>
      </c>
      <c r="N360" s="7">
        <f t="shared" si="9"/>
        <v>115950</v>
      </c>
      <c r="O360" s="7">
        <f t="shared" si="13"/>
        <v>310244</v>
      </c>
      <c r="P360" s="7">
        <f t="shared" si="10"/>
        <v>961</v>
      </c>
      <c r="Q360" s="7">
        <f t="shared" si="11"/>
        <v>0.03</v>
      </c>
    </row>
    <row r="361">
      <c r="A361" s="4" t="s">
        <v>1024</v>
      </c>
      <c r="B361" s="4" t="s">
        <v>1025</v>
      </c>
      <c r="C361" s="4" t="s">
        <v>95</v>
      </c>
      <c r="D361" s="5">
        <v>10888.0</v>
      </c>
      <c r="E361" s="7" t="str">
        <f t="shared" si="2"/>
        <v>C</v>
      </c>
      <c r="F361" s="7" t="str">
        <f t="shared" si="3"/>
        <v>A</v>
      </c>
      <c r="G361" s="7" t="str">
        <f t="shared" si="4"/>
        <v>Transformative change</v>
      </c>
      <c r="H361" s="7">
        <f t="shared" ref="H361:J361" si="370">ROUND(RAND(),2)</f>
        <v>0.8</v>
      </c>
      <c r="I361" s="7">
        <f t="shared" si="370"/>
        <v>0.25</v>
      </c>
      <c r="J361" s="7">
        <f t="shared" si="370"/>
        <v>0.67</v>
      </c>
      <c r="K361" s="7" t="str">
        <f t="shared" si="6"/>
        <v>High</v>
      </c>
      <c r="L361" s="7">
        <f t="shared" si="7"/>
        <v>2103769</v>
      </c>
      <c r="M361" s="7">
        <f t="shared" si="8"/>
        <v>242438.2183</v>
      </c>
      <c r="N361" s="7">
        <f t="shared" si="9"/>
        <v>87104</v>
      </c>
      <c r="O361" s="7">
        <f t="shared" si="13"/>
        <v>155457</v>
      </c>
      <c r="P361" s="7">
        <f t="shared" si="10"/>
        <v>862</v>
      </c>
      <c r="Q361" s="7">
        <f t="shared" si="11"/>
        <v>0.22</v>
      </c>
    </row>
    <row r="362">
      <c r="A362" s="4" t="s">
        <v>1026</v>
      </c>
      <c r="B362" s="4" t="s">
        <v>1027</v>
      </c>
      <c r="C362" s="4" t="s">
        <v>674</v>
      </c>
      <c r="D362" s="5">
        <v>40163.0</v>
      </c>
      <c r="E362" s="7" t="str">
        <f t="shared" si="2"/>
        <v>E</v>
      </c>
      <c r="F362" s="7" t="str">
        <f t="shared" si="3"/>
        <v>A</v>
      </c>
      <c r="G362" s="7" t="str">
        <f t="shared" si="4"/>
        <v>Transformative change</v>
      </c>
      <c r="H362" s="7">
        <f t="shared" ref="H362:J362" si="371">ROUND(RAND(),2)</f>
        <v>0.32</v>
      </c>
      <c r="I362" s="7">
        <f t="shared" si="371"/>
        <v>0.63</v>
      </c>
      <c r="J362" s="7">
        <f t="shared" si="371"/>
        <v>0.96</v>
      </c>
      <c r="K362" s="7" t="str">
        <f t="shared" si="6"/>
        <v>Low</v>
      </c>
      <c r="L362" s="7">
        <f t="shared" si="7"/>
        <v>1062180</v>
      </c>
      <c r="M362" s="7">
        <f t="shared" si="8"/>
        <v>74976.76818</v>
      </c>
      <c r="N362" s="7">
        <f t="shared" si="9"/>
        <v>522119</v>
      </c>
      <c r="O362" s="7">
        <f t="shared" si="13"/>
        <v>638349</v>
      </c>
      <c r="P362" s="7">
        <f t="shared" si="10"/>
        <v>4620.52</v>
      </c>
      <c r="Q362" s="7">
        <f t="shared" si="11"/>
        <v>0.16</v>
      </c>
    </row>
    <row r="363">
      <c r="A363" s="4" t="s">
        <v>1028</v>
      </c>
      <c r="B363" s="4" t="s">
        <v>1029</v>
      </c>
      <c r="C363" s="4" t="s">
        <v>1030</v>
      </c>
      <c r="D363" s="5">
        <v>59726.0</v>
      </c>
      <c r="E363" s="7" t="str">
        <f t="shared" si="2"/>
        <v>B</v>
      </c>
      <c r="F363" s="7" t="str">
        <f t="shared" si="3"/>
        <v>C</v>
      </c>
      <c r="G363" s="7" t="str">
        <f t="shared" si="4"/>
        <v>Transformative change</v>
      </c>
      <c r="H363" s="7">
        <f t="shared" ref="H363:J363" si="372">ROUND(RAND(),2)</f>
        <v>0.84</v>
      </c>
      <c r="I363" s="7">
        <f t="shared" si="372"/>
        <v>0.85</v>
      </c>
      <c r="J363" s="7">
        <f t="shared" si="372"/>
        <v>0.66</v>
      </c>
      <c r="K363" s="7" t="str">
        <f t="shared" si="6"/>
        <v>Medium</v>
      </c>
      <c r="L363" s="7">
        <f t="shared" si="7"/>
        <v>3952925</v>
      </c>
      <c r="M363" s="7">
        <f t="shared" si="8"/>
        <v>857644.7678</v>
      </c>
      <c r="N363" s="7">
        <f t="shared" si="9"/>
        <v>477808</v>
      </c>
      <c r="O363" s="7">
        <f t="shared" si="13"/>
        <v>514022</v>
      </c>
      <c r="P363" s="7">
        <f t="shared" si="10"/>
        <v>1301.93</v>
      </c>
      <c r="Q363" s="7">
        <f t="shared" si="11"/>
        <v>0.14</v>
      </c>
    </row>
    <row r="364">
      <c r="A364" s="4" t="s">
        <v>1031</v>
      </c>
      <c r="B364" s="4" t="s">
        <v>1032</v>
      </c>
      <c r="C364" s="4" t="s">
        <v>1033</v>
      </c>
      <c r="D364" s="5">
        <v>19009.0</v>
      </c>
      <c r="E364" s="7" t="str">
        <f t="shared" si="2"/>
        <v>B</v>
      </c>
      <c r="F364" s="7" t="str">
        <f t="shared" si="3"/>
        <v>A</v>
      </c>
      <c r="G364" s="7" t="str">
        <f t="shared" si="4"/>
        <v>Transformative change</v>
      </c>
      <c r="H364" s="7">
        <f t="shared" ref="H364:J364" si="373">ROUND(RAND(),2)</f>
        <v>0.67</v>
      </c>
      <c r="I364" s="7">
        <f t="shared" si="373"/>
        <v>0.74</v>
      </c>
      <c r="J364" s="7">
        <f t="shared" si="373"/>
        <v>0.01</v>
      </c>
      <c r="K364" s="7" t="str">
        <f t="shared" si="6"/>
        <v>High</v>
      </c>
      <c r="L364" s="7">
        <f t="shared" si="7"/>
        <v>1064476</v>
      </c>
      <c r="M364" s="7">
        <f t="shared" si="8"/>
        <v>782367.6674</v>
      </c>
      <c r="N364" s="7">
        <f t="shared" si="9"/>
        <v>190090</v>
      </c>
      <c r="O364" s="7">
        <f t="shared" si="13"/>
        <v>323517</v>
      </c>
      <c r="P364" s="7">
        <f t="shared" si="10"/>
        <v>562.4</v>
      </c>
      <c r="Q364" s="7">
        <f t="shared" si="11"/>
        <v>0.09</v>
      </c>
    </row>
    <row r="365">
      <c r="A365" s="4" t="s">
        <v>1034</v>
      </c>
      <c r="B365" s="4" t="s">
        <v>1035</v>
      </c>
      <c r="C365" s="4" t="s">
        <v>95</v>
      </c>
      <c r="D365" s="5">
        <v>19681.0</v>
      </c>
      <c r="E365" s="7" t="str">
        <f t="shared" si="2"/>
        <v>A</v>
      </c>
      <c r="F365" s="7" t="str">
        <f t="shared" si="3"/>
        <v>C</v>
      </c>
      <c r="G365" s="7" t="str">
        <f t="shared" si="4"/>
        <v>Transformative change</v>
      </c>
      <c r="H365" s="7">
        <f t="shared" ref="H365:J365" si="374">ROUND(RAND(),2)</f>
        <v>0.83</v>
      </c>
      <c r="I365" s="7">
        <f t="shared" si="374"/>
        <v>0.54</v>
      </c>
      <c r="J365" s="7">
        <f t="shared" si="374"/>
        <v>0.92</v>
      </c>
      <c r="K365" s="7" t="str">
        <f t="shared" si="6"/>
        <v>High</v>
      </c>
      <c r="L365" s="7">
        <f t="shared" si="7"/>
        <v>2148731</v>
      </c>
      <c r="M365" s="7">
        <f t="shared" si="8"/>
        <v>1239.515725</v>
      </c>
      <c r="N365" s="7">
        <f t="shared" si="9"/>
        <v>157448</v>
      </c>
      <c r="O365" s="7">
        <f t="shared" si="13"/>
        <v>266149</v>
      </c>
      <c r="P365" s="7">
        <f t="shared" si="10"/>
        <v>938</v>
      </c>
      <c r="Q365" s="7">
        <f t="shared" si="11"/>
        <v>0.17</v>
      </c>
    </row>
    <row r="366">
      <c r="A366" s="4" t="s">
        <v>1036</v>
      </c>
      <c r="B366" s="4" t="s">
        <v>1037</v>
      </c>
      <c r="C366" s="4" t="s">
        <v>1038</v>
      </c>
      <c r="D366" s="5">
        <v>304271.0</v>
      </c>
      <c r="E366" s="7" t="str">
        <f t="shared" si="2"/>
        <v>C</v>
      </c>
      <c r="F366" s="7" t="str">
        <f t="shared" si="3"/>
        <v>C</v>
      </c>
      <c r="G366" s="7" t="str">
        <f t="shared" si="4"/>
        <v>Transformative change</v>
      </c>
      <c r="H366" s="7">
        <f t="shared" ref="H366:J366" si="375">ROUND(RAND(),2)</f>
        <v>0.57</v>
      </c>
      <c r="I366" s="7">
        <f t="shared" si="375"/>
        <v>0.3</v>
      </c>
      <c r="J366" s="7">
        <f t="shared" si="375"/>
        <v>0.44</v>
      </c>
      <c r="K366" s="7" t="str">
        <f t="shared" si="6"/>
        <v>Medium</v>
      </c>
      <c r="L366" s="7">
        <f t="shared" si="7"/>
        <v>2397040</v>
      </c>
      <c r="M366" s="7">
        <f t="shared" si="8"/>
        <v>1448037.494</v>
      </c>
      <c r="N366" s="7">
        <f t="shared" si="9"/>
        <v>1521355</v>
      </c>
      <c r="O366" s="7">
        <f t="shared" si="13"/>
        <v>1599537</v>
      </c>
      <c r="P366" s="7">
        <f t="shared" si="10"/>
        <v>4487.77</v>
      </c>
      <c r="Q366" s="7">
        <f t="shared" si="11"/>
        <v>0.23</v>
      </c>
    </row>
    <row r="367">
      <c r="A367" s="4" t="s">
        <v>1039</v>
      </c>
      <c r="B367" s="4" t="s">
        <v>1040</v>
      </c>
      <c r="C367" s="4" t="s">
        <v>1041</v>
      </c>
      <c r="D367" s="5">
        <v>18474.0</v>
      </c>
      <c r="E367" s="7" t="str">
        <f t="shared" si="2"/>
        <v>G</v>
      </c>
      <c r="F367" s="7" t="str">
        <f t="shared" si="3"/>
        <v>A</v>
      </c>
      <c r="G367" s="7" t="str">
        <f t="shared" si="4"/>
        <v>Transformative change</v>
      </c>
      <c r="H367" s="7">
        <f t="shared" ref="H367:J367" si="376">ROUND(RAND(),2)</f>
        <v>0.81</v>
      </c>
      <c r="I367" s="7">
        <f t="shared" si="376"/>
        <v>0.83</v>
      </c>
      <c r="J367" s="7">
        <f t="shared" si="376"/>
        <v>0.59</v>
      </c>
      <c r="K367" s="7" t="str">
        <f t="shared" si="6"/>
        <v>High</v>
      </c>
      <c r="L367" s="7">
        <f t="shared" si="7"/>
        <v>3028436</v>
      </c>
      <c r="M367" s="7">
        <f t="shared" si="8"/>
        <v>693706.5174</v>
      </c>
      <c r="N367" s="7">
        <f t="shared" si="9"/>
        <v>258636</v>
      </c>
      <c r="O367" s="7">
        <f t="shared" si="13"/>
        <v>298096</v>
      </c>
      <c r="P367" s="7">
        <f t="shared" si="10"/>
        <v>756.25</v>
      </c>
      <c r="Q367" s="7">
        <f t="shared" si="11"/>
        <v>0.2</v>
      </c>
    </row>
    <row r="368">
      <c r="A368" s="4" t="s">
        <v>1042</v>
      </c>
      <c r="B368" s="4" t="s">
        <v>1043</v>
      </c>
      <c r="C368" s="4" t="s">
        <v>1044</v>
      </c>
      <c r="D368" s="5">
        <v>9325.0</v>
      </c>
      <c r="E368" s="7" t="str">
        <f t="shared" si="2"/>
        <v>D</v>
      </c>
      <c r="F368" s="7" t="str">
        <f t="shared" si="3"/>
        <v>B</v>
      </c>
      <c r="G368" s="7" t="str">
        <f t="shared" si="4"/>
        <v>Transformative change</v>
      </c>
      <c r="H368" s="7">
        <f t="shared" ref="H368:J368" si="377">ROUND(RAND(),2)</f>
        <v>0.15</v>
      </c>
      <c r="I368" s="7">
        <f t="shared" si="377"/>
        <v>0.82</v>
      </c>
      <c r="J368" s="7">
        <f t="shared" si="377"/>
        <v>0.08</v>
      </c>
      <c r="K368" s="7" t="str">
        <f t="shared" si="6"/>
        <v>Medium</v>
      </c>
      <c r="L368" s="7">
        <f t="shared" si="7"/>
        <v>714670</v>
      </c>
      <c r="M368" s="7">
        <f t="shared" si="8"/>
        <v>581610.2727</v>
      </c>
      <c r="N368" s="7">
        <f t="shared" si="9"/>
        <v>139875</v>
      </c>
      <c r="O368" s="7">
        <f t="shared" si="13"/>
        <v>316277</v>
      </c>
      <c r="P368" s="7">
        <f t="shared" si="10"/>
        <v>961</v>
      </c>
      <c r="Q368" s="7">
        <f t="shared" si="11"/>
        <v>0.16</v>
      </c>
    </row>
    <row r="369">
      <c r="A369" s="4" t="s">
        <v>1045</v>
      </c>
      <c r="B369" s="4" t="s">
        <v>1046</v>
      </c>
      <c r="C369" s="4" t="s">
        <v>1047</v>
      </c>
      <c r="D369" s="5">
        <v>26751.0</v>
      </c>
      <c r="E369" s="7" t="str">
        <f t="shared" si="2"/>
        <v>F</v>
      </c>
      <c r="F369" s="7" t="str">
        <f t="shared" si="3"/>
        <v>A</v>
      </c>
      <c r="G369" s="7" t="str">
        <f t="shared" si="4"/>
        <v>Transformative change</v>
      </c>
      <c r="H369" s="7">
        <f t="shared" ref="H369:J369" si="378">ROUND(RAND(),2)</f>
        <v>0.09</v>
      </c>
      <c r="I369" s="7">
        <f t="shared" si="378"/>
        <v>0.21</v>
      </c>
      <c r="J369" s="7">
        <f t="shared" si="378"/>
        <v>0.52</v>
      </c>
      <c r="K369" s="7" t="str">
        <f t="shared" si="6"/>
        <v>High</v>
      </c>
      <c r="L369" s="7">
        <f t="shared" si="7"/>
        <v>1825830</v>
      </c>
      <c r="M369" s="7">
        <f t="shared" si="8"/>
        <v>764709.1326</v>
      </c>
      <c r="N369" s="7">
        <f t="shared" si="9"/>
        <v>267510</v>
      </c>
      <c r="O369" s="7">
        <f t="shared" si="13"/>
        <v>331375</v>
      </c>
      <c r="P369" s="7">
        <f t="shared" si="10"/>
        <v>955</v>
      </c>
      <c r="Q369" s="7">
        <f t="shared" si="11"/>
        <v>0.3</v>
      </c>
    </row>
    <row r="370">
      <c r="A370" s="4" t="s">
        <v>1048</v>
      </c>
      <c r="B370" s="4" t="s">
        <v>1049</v>
      </c>
      <c r="C370" s="4" t="s">
        <v>1050</v>
      </c>
      <c r="D370" s="5">
        <v>19645.0</v>
      </c>
      <c r="E370" s="7" t="str">
        <f t="shared" si="2"/>
        <v>D</v>
      </c>
      <c r="F370" s="7" t="str">
        <f t="shared" si="3"/>
        <v>B</v>
      </c>
      <c r="G370" s="7" t="str">
        <f t="shared" si="4"/>
        <v>Transformative change</v>
      </c>
      <c r="H370" s="7">
        <f t="shared" ref="H370:J370" si="379">ROUND(RAND(),2)</f>
        <v>0.31</v>
      </c>
      <c r="I370" s="7">
        <f t="shared" si="379"/>
        <v>0.05</v>
      </c>
      <c r="J370" s="7">
        <f t="shared" si="379"/>
        <v>0.09</v>
      </c>
      <c r="K370" s="7" t="str">
        <f t="shared" si="6"/>
        <v>High</v>
      </c>
      <c r="L370" s="7">
        <f t="shared" si="7"/>
        <v>3673091</v>
      </c>
      <c r="M370" s="7">
        <f t="shared" si="8"/>
        <v>1154152.104</v>
      </c>
      <c r="N370" s="7">
        <f t="shared" si="9"/>
        <v>294675</v>
      </c>
      <c r="O370" s="7">
        <f t="shared" si="13"/>
        <v>475172</v>
      </c>
      <c r="P370" s="7">
        <f t="shared" si="10"/>
        <v>1009</v>
      </c>
      <c r="Q370" s="7">
        <f t="shared" si="11"/>
        <v>0.29</v>
      </c>
    </row>
    <row r="371">
      <c r="A371" s="4" t="s">
        <v>1051</v>
      </c>
      <c r="B371" s="4" t="s">
        <v>1052</v>
      </c>
      <c r="C371" s="4" t="s">
        <v>1053</v>
      </c>
      <c r="D371" s="5">
        <v>428394.0</v>
      </c>
      <c r="E371" s="7" t="str">
        <f t="shared" si="2"/>
        <v>A</v>
      </c>
      <c r="F371" s="7" t="str">
        <f t="shared" si="3"/>
        <v>B</v>
      </c>
      <c r="G371" s="7" t="str">
        <f t="shared" si="4"/>
        <v>High ambition</v>
      </c>
      <c r="H371" s="7">
        <f t="shared" ref="H371:J371" si="380">ROUND(RAND(),2)</f>
        <v>0.07</v>
      </c>
      <c r="I371" s="7">
        <f t="shared" si="380"/>
        <v>0.99</v>
      </c>
      <c r="J371" s="7">
        <f t="shared" si="380"/>
        <v>0.26</v>
      </c>
      <c r="K371" s="7" t="str">
        <f t="shared" si="6"/>
        <v>Low</v>
      </c>
      <c r="L371" s="7">
        <f t="shared" si="7"/>
        <v>1723066</v>
      </c>
      <c r="M371" s="7">
        <f t="shared" si="8"/>
        <v>668541.1822</v>
      </c>
      <c r="N371" s="7">
        <f t="shared" si="9"/>
        <v>5140728</v>
      </c>
      <c r="O371" s="7">
        <f t="shared" si="13"/>
        <v>5146328</v>
      </c>
      <c r="P371" s="7">
        <f t="shared" si="10"/>
        <v>40478.17</v>
      </c>
      <c r="Q371" s="7">
        <f t="shared" si="11"/>
        <v>0.03</v>
      </c>
    </row>
    <row r="372">
      <c r="A372" s="4" t="s">
        <v>1054</v>
      </c>
      <c r="B372" s="4" t="s">
        <v>1055</v>
      </c>
      <c r="C372" s="4" t="s">
        <v>1056</v>
      </c>
      <c r="D372" s="5">
        <v>5570.0</v>
      </c>
      <c r="E372" s="7" t="str">
        <f t="shared" si="2"/>
        <v>F</v>
      </c>
      <c r="F372" s="7" t="str">
        <f t="shared" si="3"/>
        <v>C</v>
      </c>
      <c r="G372" s="7" t="str">
        <f t="shared" si="4"/>
        <v>Transformative change</v>
      </c>
      <c r="H372" s="7">
        <f t="shared" ref="H372:J372" si="381">ROUND(RAND(),2)</f>
        <v>0.14</v>
      </c>
      <c r="I372" s="7">
        <f t="shared" si="381"/>
        <v>0.51</v>
      </c>
      <c r="J372" s="7">
        <f t="shared" si="381"/>
        <v>0.71</v>
      </c>
      <c r="K372" s="7" t="str">
        <f t="shared" si="6"/>
        <v>High</v>
      </c>
      <c r="L372" s="7">
        <f t="shared" si="7"/>
        <v>3727830</v>
      </c>
      <c r="M372" s="7">
        <f t="shared" si="8"/>
        <v>491752.3979</v>
      </c>
      <c r="N372" s="7">
        <f t="shared" si="9"/>
        <v>55700</v>
      </c>
      <c r="O372" s="7">
        <f t="shared" si="13"/>
        <v>240953</v>
      </c>
      <c r="P372" s="7">
        <f t="shared" si="10"/>
        <v>1033</v>
      </c>
      <c r="Q372" s="7">
        <f t="shared" si="11"/>
        <v>0.18</v>
      </c>
    </row>
    <row r="373">
      <c r="A373" s="4" t="s">
        <v>1057</v>
      </c>
      <c r="B373" s="4" t="s">
        <v>1058</v>
      </c>
      <c r="C373" s="4" t="s">
        <v>1059</v>
      </c>
      <c r="D373" s="5">
        <v>141755.0</v>
      </c>
      <c r="E373" s="7" t="str">
        <f t="shared" si="2"/>
        <v>F</v>
      </c>
      <c r="F373" s="7" t="str">
        <f t="shared" si="3"/>
        <v>C</v>
      </c>
      <c r="G373" s="7" t="str">
        <f t="shared" si="4"/>
        <v>High ambition</v>
      </c>
      <c r="H373" s="7">
        <f t="shared" ref="H373:J373" si="382">ROUND(RAND(),2)</f>
        <v>0.5</v>
      </c>
      <c r="I373" s="7">
        <f t="shared" si="382"/>
        <v>0.03</v>
      </c>
      <c r="J373" s="7">
        <f t="shared" si="382"/>
        <v>0.55</v>
      </c>
      <c r="K373" s="7" t="str">
        <f t="shared" si="6"/>
        <v>Low</v>
      </c>
      <c r="L373" s="7">
        <f t="shared" si="7"/>
        <v>2848637</v>
      </c>
      <c r="M373" s="7">
        <f t="shared" si="8"/>
        <v>527315.012</v>
      </c>
      <c r="N373" s="7">
        <f t="shared" si="9"/>
        <v>992285</v>
      </c>
      <c r="O373" s="7">
        <f t="shared" si="13"/>
        <v>995995</v>
      </c>
      <c r="P373" s="7">
        <f t="shared" si="10"/>
        <v>2667.43</v>
      </c>
      <c r="Q373" s="7">
        <f t="shared" si="11"/>
        <v>0.01</v>
      </c>
    </row>
    <row r="374">
      <c r="A374" s="4" t="s">
        <v>1060</v>
      </c>
      <c r="B374" s="4" t="s">
        <v>1061</v>
      </c>
      <c r="C374" s="4" t="s">
        <v>1062</v>
      </c>
      <c r="D374" s="5">
        <v>13521.0</v>
      </c>
      <c r="E374" s="7" t="str">
        <f t="shared" si="2"/>
        <v>C</v>
      </c>
      <c r="F374" s="7" t="str">
        <f t="shared" si="3"/>
        <v>B</v>
      </c>
      <c r="G374" s="7" t="str">
        <f t="shared" si="4"/>
        <v>Transformative change</v>
      </c>
      <c r="H374" s="7">
        <f t="shared" ref="H374:J374" si="383">ROUND(RAND(),2)</f>
        <v>0.33</v>
      </c>
      <c r="I374" s="7">
        <f t="shared" si="383"/>
        <v>0.89</v>
      </c>
      <c r="J374" s="7">
        <f t="shared" si="383"/>
        <v>0.95</v>
      </c>
      <c r="K374" s="7" t="str">
        <f t="shared" si="6"/>
        <v>Medium</v>
      </c>
      <c r="L374" s="7">
        <f t="shared" si="7"/>
        <v>597671</v>
      </c>
      <c r="M374" s="7">
        <f t="shared" si="8"/>
        <v>522980.0529</v>
      </c>
      <c r="N374" s="7">
        <f t="shared" si="9"/>
        <v>108168</v>
      </c>
      <c r="O374" s="7">
        <f t="shared" si="13"/>
        <v>197743</v>
      </c>
      <c r="P374" s="7">
        <f t="shared" si="10"/>
        <v>954</v>
      </c>
      <c r="Q374" s="7">
        <f t="shared" si="11"/>
        <v>0.2</v>
      </c>
    </row>
    <row r="375">
      <c r="A375" s="4" t="s">
        <v>121</v>
      </c>
      <c r="B375" s="4" t="s">
        <v>1063</v>
      </c>
      <c r="C375" s="4" t="s">
        <v>1064</v>
      </c>
      <c r="D375" s="5">
        <v>464599.0</v>
      </c>
      <c r="E375" s="7" t="str">
        <f t="shared" si="2"/>
        <v>E</v>
      </c>
      <c r="F375" s="7" t="str">
        <f t="shared" si="3"/>
        <v>A</v>
      </c>
      <c r="G375" s="7" t="str">
        <f t="shared" si="4"/>
        <v>High ambition</v>
      </c>
      <c r="H375" s="7">
        <f t="shared" ref="H375:J375" si="384">ROUND(RAND(),2)</f>
        <v>0.45</v>
      </c>
      <c r="I375" s="7">
        <f t="shared" si="384"/>
        <v>0.51</v>
      </c>
      <c r="J375" s="7">
        <f t="shared" si="384"/>
        <v>0.84</v>
      </c>
      <c r="K375" s="7" t="str">
        <f t="shared" si="6"/>
        <v>High</v>
      </c>
      <c r="L375" s="7">
        <f t="shared" si="7"/>
        <v>3394547</v>
      </c>
      <c r="M375" s="7">
        <f t="shared" si="8"/>
        <v>3331139.656</v>
      </c>
      <c r="N375" s="7">
        <f t="shared" si="9"/>
        <v>5110589</v>
      </c>
      <c r="O375" s="7">
        <f t="shared" si="13"/>
        <v>5162660</v>
      </c>
      <c r="P375" s="7">
        <f t="shared" si="10"/>
        <v>31546.85</v>
      </c>
      <c r="Q375" s="7">
        <f t="shared" si="11"/>
        <v>0.14</v>
      </c>
    </row>
    <row r="376">
      <c r="A376" s="4" t="s">
        <v>1065</v>
      </c>
      <c r="B376" s="4" t="s">
        <v>1066</v>
      </c>
      <c r="C376" s="4" t="s">
        <v>1067</v>
      </c>
      <c r="D376" s="5">
        <v>9542.0</v>
      </c>
      <c r="E376" s="7" t="str">
        <f t="shared" si="2"/>
        <v>G</v>
      </c>
      <c r="F376" s="7" t="str">
        <f t="shared" si="3"/>
        <v>C</v>
      </c>
      <c r="G376" s="7" t="str">
        <f t="shared" si="4"/>
        <v>High ambition</v>
      </c>
      <c r="H376" s="7">
        <f t="shared" ref="H376:J376" si="385">ROUND(RAND(),2)</f>
        <v>0.16</v>
      </c>
      <c r="I376" s="7">
        <f t="shared" si="385"/>
        <v>0.35</v>
      </c>
      <c r="J376" s="7">
        <f t="shared" si="385"/>
        <v>0.79</v>
      </c>
      <c r="K376" s="7" t="str">
        <f t="shared" si="6"/>
        <v>Medium</v>
      </c>
      <c r="L376" s="7">
        <f t="shared" si="7"/>
        <v>3102040</v>
      </c>
      <c r="M376" s="7">
        <f t="shared" si="8"/>
        <v>1005490.164</v>
      </c>
      <c r="N376" s="7">
        <f t="shared" si="9"/>
        <v>95420</v>
      </c>
      <c r="O376" s="7">
        <f t="shared" si="13"/>
        <v>125593</v>
      </c>
      <c r="P376" s="7">
        <f t="shared" si="10"/>
        <v>955</v>
      </c>
      <c r="Q376" s="7">
        <f t="shared" si="11"/>
        <v>0.02</v>
      </c>
    </row>
    <row r="377">
      <c r="A377" s="4" t="s">
        <v>1068</v>
      </c>
      <c r="B377" s="4" t="s">
        <v>1069</v>
      </c>
      <c r="C377" s="4" t="s">
        <v>1070</v>
      </c>
      <c r="D377" s="5">
        <v>15563.0</v>
      </c>
      <c r="E377" s="7" t="str">
        <f t="shared" si="2"/>
        <v>F</v>
      </c>
      <c r="F377" s="7" t="str">
        <f t="shared" si="3"/>
        <v>A</v>
      </c>
      <c r="G377" s="7" t="str">
        <f t="shared" si="4"/>
        <v>Transformative change</v>
      </c>
      <c r="H377" s="7">
        <f t="shared" ref="H377:J377" si="386">ROUND(RAND(),2)</f>
        <v>0.7</v>
      </c>
      <c r="I377" s="7">
        <f t="shared" si="386"/>
        <v>0.13</v>
      </c>
      <c r="J377" s="7">
        <f t="shared" si="386"/>
        <v>0.51</v>
      </c>
      <c r="K377" s="7" t="str">
        <f t="shared" si="6"/>
        <v>High</v>
      </c>
      <c r="L377" s="7">
        <f t="shared" si="7"/>
        <v>223749</v>
      </c>
      <c r="M377" s="7">
        <f t="shared" si="8"/>
        <v>207654.8087</v>
      </c>
      <c r="N377" s="7">
        <f t="shared" si="9"/>
        <v>93378</v>
      </c>
      <c r="O377" s="7">
        <f t="shared" si="13"/>
        <v>188173</v>
      </c>
      <c r="P377" s="7">
        <f t="shared" si="10"/>
        <v>446.78</v>
      </c>
      <c r="Q377" s="7">
        <f t="shared" si="11"/>
        <v>0.2</v>
      </c>
    </row>
    <row r="378">
      <c r="A378" s="4" t="s">
        <v>1071</v>
      </c>
      <c r="B378" s="4" t="s">
        <v>1072</v>
      </c>
      <c r="C378" s="4" t="s">
        <v>1073</v>
      </c>
      <c r="D378" s="5">
        <v>16296.0</v>
      </c>
      <c r="E378" s="7" t="str">
        <f t="shared" si="2"/>
        <v>G</v>
      </c>
      <c r="F378" s="7" t="str">
        <f t="shared" si="3"/>
        <v>A</v>
      </c>
      <c r="G378" s="7" t="str">
        <f t="shared" si="4"/>
        <v>Transformative change</v>
      </c>
      <c r="H378" s="7">
        <f t="shared" ref="H378:J378" si="387">ROUND(RAND(),2)</f>
        <v>0.2</v>
      </c>
      <c r="I378" s="7">
        <f t="shared" si="387"/>
        <v>0.86</v>
      </c>
      <c r="J378" s="7">
        <f t="shared" si="387"/>
        <v>0.86</v>
      </c>
      <c r="K378" s="7" t="str">
        <f t="shared" si="6"/>
        <v>Low</v>
      </c>
      <c r="L378" s="7">
        <f t="shared" si="7"/>
        <v>2285456</v>
      </c>
      <c r="M378" s="7">
        <f t="shared" si="8"/>
        <v>1813116.005</v>
      </c>
      <c r="N378" s="7">
        <f t="shared" si="9"/>
        <v>146664</v>
      </c>
      <c r="O378" s="7">
        <f t="shared" si="13"/>
        <v>288581</v>
      </c>
      <c r="P378" s="7">
        <f t="shared" si="10"/>
        <v>825</v>
      </c>
      <c r="Q378" s="7">
        <f t="shared" si="11"/>
        <v>0.06</v>
      </c>
    </row>
    <row r="379">
      <c r="A379" s="4" t="s">
        <v>1074</v>
      </c>
      <c r="B379" s="4" t="s">
        <v>713</v>
      </c>
      <c r="C379" s="4" t="s">
        <v>1075</v>
      </c>
      <c r="D379" s="5">
        <v>12170.0</v>
      </c>
      <c r="E379" s="7" t="str">
        <f t="shared" si="2"/>
        <v>B</v>
      </c>
      <c r="F379" s="7" t="str">
        <f t="shared" si="3"/>
        <v>B</v>
      </c>
      <c r="G379" s="7" t="str">
        <f t="shared" si="4"/>
        <v>Transformative change</v>
      </c>
      <c r="H379" s="7">
        <f t="shared" ref="H379:J379" si="388">ROUND(RAND(),2)</f>
        <v>0.43</v>
      </c>
      <c r="I379" s="7">
        <f t="shared" si="388"/>
        <v>0.1</v>
      </c>
      <c r="J379" s="7">
        <f t="shared" si="388"/>
        <v>0.25</v>
      </c>
      <c r="K379" s="7" t="str">
        <f t="shared" si="6"/>
        <v>High</v>
      </c>
      <c r="L379" s="7">
        <f t="shared" si="7"/>
        <v>2098294</v>
      </c>
      <c r="M379" s="7">
        <f t="shared" si="8"/>
        <v>1038827.874</v>
      </c>
      <c r="N379" s="7">
        <f t="shared" si="9"/>
        <v>146040</v>
      </c>
      <c r="O379" s="7">
        <f t="shared" si="13"/>
        <v>271799</v>
      </c>
      <c r="P379" s="7">
        <f t="shared" si="10"/>
        <v>1022</v>
      </c>
      <c r="Q379" s="7">
        <f t="shared" si="11"/>
        <v>0.12</v>
      </c>
    </row>
    <row r="380">
      <c r="A380" s="4" t="s">
        <v>1076</v>
      </c>
      <c r="B380" s="4" t="s">
        <v>1077</v>
      </c>
      <c r="C380" s="4" t="s">
        <v>1078</v>
      </c>
      <c r="D380" s="5">
        <v>6997.0</v>
      </c>
      <c r="E380" s="7" t="str">
        <f t="shared" si="2"/>
        <v>A</v>
      </c>
      <c r="F380" s="7" t="str">
        <f t="shared" si="3"/>
        <v>C</v>
      </c>
      <c r="G380" s="7" t="str">
        <f t="shared" si="4"/>
        <v>Transformative change</v>
      </c>
      <c r="H380" s="7">
        <f t="shared" ref="H380:J380" si="389">ROUND(RAND(),2)</f>
        <v>0.17</v>
      </c>
      <c r="I380" s="7">
        <f t="shared" si="389"/>
        <v>0.92</v>
      </c>
      <c r="J380" s="7">
        <f t="shared" si="389"/>
        <v>0.26</v>
      </c>
      <c r="K380" s="7" t="str">
        <f t="shared" si="6"/>
        <v>High</v>
      </c>
      <c r="L380" s="7">
        <f t="shared" si="7"/>
        <v>1007112</v>
      </c>
      <c r="M380" s="7">
        <f t="shared" si="8"/>
        <v>382863.3205</v>
      </c>
      <c r="N380" s="7">
        <f t="shared" si="9"/>
        <v>62973</v>
      </c>
      <c r="O380" s="7">
        <f t="shared" si="13"/>
        <v>80037</v>
      </c>
      <c r="P380" s="7">
        <f t="shared" si="10"/>
        <v>304.22</v>
      </c>
      <c r="Q380" s="7">
        <f t="shared" si="11"/>
        <v>0.08</v>
      </c>
    </row>
    <row r="381">
      <c r="A381" s="4" t="s">
        <v>1079</v>
      </c>
      <c r="B381" s="4" t="s">
        <v>1080</v>
      </c>
      <c r="C381" s="4" t="s">
        <v>1081</v>
      </c>
      <c r="D381" s="5">
        <v>12751.0</v>
      </c>
      <c r="E381" s="7" t="str">
        <f t="shared" si="2"/>
        <v>C</v>
      </c>
      <c r="F381" s="7" t="str">
        <f t="shared" si="3"/>
        <v>B</v>
      </c>
      <c r="G381" s="7" t="str">
        <f t="shared" si="4"/>
        <v>Transformative change</v>
      </c>
      <c r="H381" s="7">
        <f t="shared" ref="H381:J381" si="390">ROUND(RAND(),2)</f>
        <v>0.57</v>
      </c>
      <c r="I381" s="7">
        <f t="shared" si="390"/>
        <v>0.46</v>
      </c>
      <c r="J381" s="7">
        <f t="shared" si="390"/>
        <v>0.03</v>
      </c>
      <c r="K381" s="7" t="str">
        <f t="shared" si="6"/>
        <v>High</v>
      </c>
      <c r="L381" s="7">
        <f t="shared" si="7"/>
        <v>739198</v>
      </c>
      <c r="M381" s="7">
        <f t="shared" si="8"/>
        <v>302908.2537</v>
      </c>
      <c r="N381" s="7">
        <f t="shared" si="9"/>
        <v>178514</v>
      </c>
      <c r="O381" s="7">
        <f t="shared" si="13"/>
        <v>328833</v>
      </c>
      <c r="P381" s="7">
        <f t="shared" si="10"/>
        <v>843</v>
      </c>
      <c r="Q381" s="7">
        <f t="shared" si="11"/>
        <v>0.25</v>
      </c>
    </row>
    <row r="382">
      <c r="A382" s="4" t="s">
        <v>1082</v>
      </c>
      <c r="B382" s="4" t="s">
        <v>801</v>
      </c>
      <c r="C382" s="4" t="s">
        <v>95</v>
      </c>
      <c r="D382" s="5">
        <v>56086.0</v>
      </c>
      <c r="E382" s="7" t="str">
        <f t="shared" si="2"/>
        <v>E</v>
      </c>
      <c r="F382" s="7" t="str">
        <f t="shared" si="3"/>
        <v>C</v>
      </c>
      <c r="G382" s="7" t="str">
        <f t="shared" si="4"/>
        <v>Transformative change</v>
      </c>
      <c r="H382" s="7">
        <f t="shared" ref="H382:J382" si="391">ROUND(RAND(),2)</f>
        <v>0.95</v>
      </c>
      <c r="I382" s="7">
        <f t="shared" si="391"/>
        <v>0.82</v>
      </c>
      <c r="J382" s="7">
        <f t="shared" si="391"/>
        <v>0.08</v>
      </c>
      <c r="K382" s="7" t="str">
        <f t="shared" si="6"/>
        <v>Low</v>
      </c>
      <c r="L382" s="7">
        <f t="shared" si="7"/>
        <v>619853</v>
      </c>
      <c r="M382" s="7">
        <f t="shared" si="8"/>
        <v>155935.3111</v>
      </c>
      <c r="N382" s="7">
        <f t="shared" si="9"/>
        <v>616946</v>
      </c>
      <c r="O382" s="7">
        <f t="shared" si="13"/>
        <v>689521</v>
      </c>
      <c r="P382" s="7">
        <f t="shared" si="10"/>
        <v>2251.63</v>
      </c>
      <c r="Q382" s="7">
        <f t="shared" si="11"/>
        <v>0.07</v>
      </c>
    </row>
    <row r="383">
      <c r="A383" s="4" t="s">
        <v>1083</v>
      </c>
      <c r="B383" s="4" t="s">
        <v>1084</v>
      </c>
      <c r="C383" s="4" t="s">
        <v>1085</v>
      </c>
      <c r="D383" s="5">
        <v>937345.0</v>
      </c>
      <c r="E383" s="7" t="str">
        <f t="shared" si="2"/>
        <v>G</v>
      </c>
      <c r="F383" s="7" t="str">
        <f t="shared" si="3"/>
        <v>B</v>
      </c>
      <c r="G383" s="7" t="str">
        <f t="shared" si="4"/>
        <v>High ambition</v>
      </c>
      <c r="H383" s="7">
        <f t="shared" ref="H383:J383" si="392">ROUND(RAND(),2)</f>
        <v>0.91</v>
      </c>
      <c r="I383" s="7">
        <f t="shared" si="392"/>
        <v>0.93</v>
      </c>
      <c r="J383" s="7">
        <f t="shared" si="392"/>
        <v>0.58</v>
      </c>
      <c r="K383" s="7" t="str">
        <f t="shared" si="6"/>
        <v>Medium</v>
      </c>
      <c r="L383" s="7">
        <f t="shared" si="7"/>
        <v>130887</v>
      </c>
      <c r="M383" s="7">
        <f t="shared" si="8"/>
        <v>2558.327916</v>
      </c>
      <c r="N383" s="7">
        <f t="shared" si="9"/>
        <v>6561415</v>
      </c>
      <c r="O383" s="7">
        <f t="shared" si="13"/>
        <v>6757693</v>
      </c>
      <c r="P383" s="7">
        <f t="shared" si="10"/>
        <v>37280.77</v>
      </c>
      <c r="Q383" s="7">
        <f t="shared" si="11"/>
        <v>0.23</v>
      </c>
    </row>
    <row r="384">
      <c r="A384" s="4" t="s">
        <v>1086</v>
      </c>
      <c r="B384" s="4" t="s">
        <v>1087</v>
      </c>
      <c r="C384" s="4" t="s">
        <v>1088</v>
      </c>
      <c r="D384" s="5">
        <v>17411.0</v>
      </c>
      <c r="E384" s="7" t="str">
        <f t="shared" si="2"/>
        <v>D</v>
      </c>
      <c r="F384" s="7" t="str">
        <f t="shared" si="3"/>
        <v>C</v>
      </c>
      <c r="G384" s="7" t="str">
        <f t="shared" si="4"/>
        <v>Transformative change</v>
      </c>
      <c r="H384" s="7">
        <f t="shared" ref="H384:J384" si="393">ROUND(RAND(),2)</f>
        <v>0.02</v>
      </c>
      <c r="I384" s="7">
        <f t="shared" si="393"/>
        <v>1</v>
      </c>
      <c r="J384" s="7">
        <f t="shared" si="393"/>
        <v>0.07</v>
      </c>
      <c r="K384" s="7" t="str">
        <f t="shared" si="6"/>
        <v>High</v>
      </c>
      <c r="L384" s="7">
        <f t="shared" si="7"/>
        <v>750301</v>
      </c>
      <c r="M384" s="7">
        <f t="shared" si="8"/>
        <v>551354.9952</v>
      </c>
      <c r="N384" s="7">
        <f t="shared" si="9"/>
        <v>87055</v>
      </c>
      <c r="O384" s="7">
        <f t="shared" si="13"/>
        <v>221511</v>
      </c>
      <c r="P384" s="7">
        <f t="shared" si="10"/>
        <v>981</v>
      </c>
      <c r="Q384" s="7">
        <f t="shared" si="11"/>
        <v>0.17</v>
      </c>
    </row>
    <row r="385">
      <c r="A385" s="4" t="s">
        <v>1089</v>
      </c>
      <c r="B385" s="4" t="s">
        <v>1090</v>
      </c>
      <c r="C385" s="4" t="s">
        <v>95</v>
      </c>
      <c r="D385" s="5">
        <v>16834.0</v>
      </c>
      <c r="E385" s="7" t="str">
        <f t="shared" si="2"/>
        <v>B</v>
      </c>
      <c r="F385" s="7" t="str">
        <f t="shared" si="3"/>
        <v>C</v>
      </c>
      <c r="G385" s="7" t="str">
        <f t="shared" si="4"/>
        <v>Transformative change</v>
      </c>
      <c r="H385" s="7">
        <f t="shared" ref="H385:J385" si="394">ROUND(RAND(),2)</f>
        <v>0.23</v>
      </c>
      <c r="I385" s="7">
        <f t="shared" si="394"/>
        <v>0.98</v>
      </c>
      <c r="J385" s="7">
        <f t="shared" si="394"/>
        <v>0.76</v>
      </c>
      <c r="K385" s="7" t="str">
        <f t="shared" si="6"/>
        <v>Medium</v>
      </c>
      <c r="L385" s="7">
        <f t="shared" si="7"/>
        <v>686161</v>
      </c>
      <c r="M385" s="7">
        <f t="shared" si="8"/>
        <v>474921.9153</v>
      </c>
      <c r="N385" s="7">
        <f t="shared" si="9"/>
        <v>67336</v>
      </c>
      <c r="O385" s="7">
        <f t="shared" si="13"/>
        <v>80674</v>
      </c>
      <c r="P385" s="7">
        <f t="shared" si="10"/>
        <v>946</v>
      </c>
      <c r="Q385" s="7">
        <f t="shared" si="11"/>
        <v>0.29</v>
      </c>
    </row>
    <row r="386">
      <c r="A386" s="4" t="s">
        <v>1091</v>
      </c>
      <c r="B386" s="4" t="s">
        <v>1092</v>
      </c>
      <c r="C386" s="4" t="s">
        <v>95</v>
      </c>
      <c r="D386" s="5">
        <v>159598.0</v>
      </c>
      <c r="E386" s="7" t="str">
        <f t="shared" si="2"/>
        <v>D</v>
      </c>
      <c r="F386" s="7" t="str">
        <f t="shared" si="3"/>
        <v>B</v>
      </c>
      <c r="G386" s="7" t="str">
        <f t="shared" si="4"/>
        <v>Transformative change</v>
      </c>
      <c r="H386" s="7">
        <f t="shared" ref="H386:J386" si="395">ROUND(RAND(),2)</f>
        <v>0.93</v>
      </c>
      <c r="I386" s="7">
        <f t="shared" si="395"/>
        <v>0.4</v>
      </c>
      <c r="J386" s="7">
        <f t="shared" si="395"/>
        <v>0.98</v>
      </c>
      <c r="K386" s="7" t="str">
        <f t="shared" si="6"/>
        <v>Medium</v>
      </c>
      <c r="L386" s="7">
        <f t="shared" si="7"/>
        <v>1200576</v>
      </c>
      <c r="M386" s="7">
        <f t="shared" si="8"/>
        <v>238503.4451</v>
      </c>
      <c r="N386" s="7">
        <f t="shared" si="9"/>
        <v>1755578</v>
      </c>
      <c r="O386" s="7">
        <f t="shared" si="13"/>
        <v>1939035</v>
      </c>
      <c r="P386" s="7">
        <f t="shared" si="10"/>
        <v>8481.05</v>
      </c>
      <c r="Q386" s="7">
        <f t="shared" si="11"/>
        <v>0.18</v>
      </c>
    </row>
    <row r="387">
      <c r="A387" s="4" t="s">
        <v>1093</v>
      </c>
      <c r="B387" s="4" t="s">
        <v>1094</v>
      </c>
      <c r="C387" s="4" t="s">
        <v>1095</v>
      </c>
      <c r="D387" s="5">
        <v>9603.0</v>
      </c>
      <c r="E387" s="7" t="str">
        <f t="shared" si="2"/>
        <v>A</v>
      </c>
      <c r="F387" s="7" t="str">
        <f t="shared" si="3"/>
        <v>B</v>
      </c>
      <c r="G387" s="7" t="str">
        <f t="shared" si="4"/>
        <v>High ambition</v>
      </c>
      <c r="H387" s="7">
        <f t="shared" ref="H387:J387" si="396">ROUND(RAND(),2)</f>
        <v>0.22</v>
      </c>
      <c r="I387" s="7">
        <f t="shared" si="396"/>
        <v>0.85</v>
      </c>
      <c r="J387" s="7">
        <f t="shared" si="396"/>
        <v>0.51</v>
      </c>
      <c r="K387" s="7" t="str">
        <f t="shared" si="6"/>
        <v>Low</v>
      </c>
      <c r="L387" s="7">
        <f t="shared" si="7"/>
        <v>731938</v>
      </c>
      <c r="M387" s="7">
        <f t="shared" si="8"/>
        <v>554304.9119</v>
      </c>
      <c r="N387" s="7">
        <f t="shared" si="9"/>
        <v>86427</v>
      </c>
      <c r="O387" s="7">
        <f t="shared" si="13"/>
        <v>145019</v>
      </c>
      <c r="P387" s="7">
        <f t="shared" si="10"/>
        <v>919</v>
      </c>
      <c r="Q387" s="7">
        <f t="shared" si="11"/>
        <v>0.27</v>
      </c>
    </row>
    <row r="388">
      <c r="A388" s="4" t="s">
        <v>1096</v>
      </c>
      <c r="B388" s="4" t="s">
        <v>1097</v>
      </c>
      <c r="C388" s="4" t="s">
        <v>95</v>
      </c>
      <c r="D388" s="5">
        <v>7334.0</v>
      </c>
      <c r="E388" s="7" t="str">
        <f t="shared" si="2"/>
        <v>E</v>
      </c>
      <c r="F388" s="7" t="str">
        <f t="shared" si="3"/>
        <v>A</v>
      </c>
      <c r="G388" s="7" t="str">
        <f t="shared" si="4"/>
        <v>Transformative change</v>
      </c>
      <c r="H388" s="7">
        <f t="shared" ref="H388:J388" si="397">ROUND(RAND(),2)</f>
        <v>0.25</v>
      </c>
      <c r="I388" s="7">
        <f t="shared" si="397"/>
        <v>0.97</v>
      </c>
      <c r="J388" s="7">
        <f t="shared" si="397"/>
        <v>0.86</v>
      </c>
      <c r="K388" s="7" t="str">
        <f t="shared" si="6"/>
        <v>Medium</v>
      </c>
      <c r="L388" s="7">
        <f t="shared" si="7"/>
        <v>2622021</v>
      </c>
      <c r="M388" s="7">
        <f t="shared" si="8"/>
        <v>1359856.982</v>
      </c>
      <c r="N388" s="7">
        <f t="shared" si="9"/>
        <v>73340</v>
      </c>
      <c r="O388" s="7">
        <f t="shared" si="13"/>
        <v>222785</v>
      </c>
      <c r="P388" s="7">
        <f t="shared" si="10"/>
        <v>849</v>
      </c>
      <c r="Q388" s="7">
        <f t="shared" si="11"/>
        <v>0.02</v>
      </c>
    </row>
    <row r="389">
      <c r="A389" s="4" t="s">
        <v>1098</v>
      </c>
      <c r="B389" s="4" t="s">
        <v>1099</v>
      </c>
      <c r="C389" s="4" t="s">
        <v>1100</v>
      </c>
      <c r="D389" s="5">
        <v>11022.0</v>
      </c>
      <c r="E389" s="7" t="str">
        <f t="shared" si="2"/>
        <v>E</v>
      </c>
      <c r="F389" s="7" t="str">
        <f t="shared" si="3"/>
        <v>B</v>
      </c>
      <c r="G389" s="7" t="str">
        <f t="shared" si="4"/>
        <v>Transformative change</v>
      </c>
      <c r="H389" s="7">
        <f t="shared" ref="H389:J389" si="398">ROUND(RAND(),2)</f>
        <v>0.58</v>
      </c>
      <c r="I389" s="7">
        <f t="shared" si="398"/>
        <v>0.56</v>
      </c>
      <c r="J389" s="7">
        <f t="shared" si="398"/>
        <v>0.33</v>
      </c>
      <c r="K389" s="7" t="str">
        <f t="shared" si="6"/>
        <v>High</v>
      </c>
      <c r="L389" s="7">
        <f t="shared" si="7"/>
        <v>3421658</v>
      </c>
      <c r="M389" s="7">
        <f t="shared" si="8"/>
        <v>1621907.621</v>
      </c>
      <c r="N389" s="7">
        <f t="shared" si="9"/>
        <v>165330</v>
      </c>
      <c r="O389" s="7">
        <f t="shared" si="13"/>
        <v>244427</v>
      </c>
      <c r="P389" s="7">
        <f t="shared" si="10"/>
        <v>1040</v>
      </c>
      <c r="Q389" s="7">
        <f t="shared" si="11"/>
        <v>0.05</v>
      </c>
    </row>
    <row r="390">
      <c r="A390" s="4" t="s">
        <v>1101</v>
      </c>
      <c r="B390" s="4" t="s">
        <v>952</v>
      </c>
      <c r="C390" s="4" t="s">
        <v>1102</v>
      </c>
      <c r="D390" s="5">
        <v>17705.0</v>
      </c>
      <c r="E390" s="7" t="str">
        <f t="shared" si="2"/>
        <v>E</v>
      </c>
      <c r="F390" s="7" t="str">
        <f t="shared" si="3"/>
        <v>B</v>
      </c>
      <c r="G390" s="7" t="str">
        <f t="shared" si="4"/>
        <v>Transformative change</v>
      </c>
      <c r="H390" s="7">
        <f t="shared" ref="H390:J390" si="399">ROUND(RAND(),2)</f>
        <v>0.41</v>
      </c>
      <c r="I390" s="7">
        <f t="shared" si="399"/>
        <v>0.16</v>
      </c>
      <c r="J390" s="7">
        <f t="shared" si="399"/>
        <v>0.49</v>
      </c>
      <c r="K390" s="7" t="str">
        <f t="shared" si="6"/>
        <v>High</v>
      </c>
      <c r="L390" s="7">
        <f t="shared" si="7"/>
        <v>1702548</v>
      </c>
      <c r="M390" s="7">
        <f t="shared" si="8"/>
        <v>553886.5697</v>
      </c>
      <c r="N390" s="7">
        <f t="shared" si="9"/>
        <v>212460</v>
      </c>
      <c r="O390" s="7">
        <f t="shared" si="13"/>
        <v>352955</v>
      </c>
      <c r="P390" s="7">
        <f t="shared" si="10"/>
        <v>979</v>
      </c>
      <c r="Q390" s="7">
        <f t="shared" si="11"/>
        <v>0.25</v>
      </c>
    </row>
    <row r="391">
      <c r="A391" s="4" t="s">
        <v>1103</v>
      </c>
      <c r="B391" s="4" t="s">
        <v>1104</v>
      </c>
      <c r="C391" s="4" t="s">
        <v>1105</v>
      </c>
      <c r="D391" s="5">
        <v>63457.0</v>
      </c>
      <c r="E391" s="7" t="str">
        <f t="shared" si="2"/>
        <v>C</v>
      </c>
      <c r="F391" s="7" t="str">
        <f t="shared" si="3"/>
        <v>B</v>
      </c>
      <c r="G391" s="7" t="str">
        <f t="shared" si="4"/>
        <v>Transformative change</v>
      </c>
      <c r="H391" s="7">
        <f t="shared" ref="H391:J391" si="400">ROUND(RAND(),2)</f>
        <v>0.22</v>
      </c>
      <c r="I391" s="7">
        <f t="shared" si="400"/>
        <v>0.57</v>
      </c>
      <c r="J391" s="7">
        <f t="shared" si="400"/>
        <v>1</v>
      </c>
      <c r="K391" s="7" t="str">
        <f t="shared" si="6"/>
        <v>Medium</v>
      </c>
      <c r="L391" s="7">
        <f t="shared" si="7"/>
        <v>3587022</v>
      </c>
      <c r="M391" s="7">
        <f t="shared" si="8"/>
        <v>2091190.447</v>
      </c>
      <c r="N391" s="7">
        <f t="shared" si="9"/>
        <v>507656</v>
      </c>
      <c r="O391" s="7">
        <f t="shared" si="13"/>
        <v>672849</v>
      </c>
      <c r="P391" s="7">
        <f t="shared" si="10"/>
        <v>2900.89</v>
      </c>
      <c r="Q391" s="7">
        <f t="shared" si="11"/>
        <v>0.19</v>
      </c>
    </row>
    <row r="392">
      <c r="A392" s="4" t="s">
        <v>1106</v>
      </c>
      <c r="B392" s="4" t="s">
        <v>1107</v>
      </c>
      <c r="C392" s="4" t="s">
        <v>112</v>
      </c>
      <c r="D392" s="5">
        <v>10291.0</v>
      </c>
      <c r="E392" s="7" t="str">
        <f t="shared" si="2"/>
        <v>G</v>
      </c>
      <c r="F392" s="7" t="str">
        <f t="shared" si="3"/>
        <v>A</v>
      </c>
      <c r="G392" s="7" t="str">
        <f t="shared" si="4"/>
        <v>Transformative change</v>
      </c>
      <c r="H392" s="7">
        <f t="shared" ref="H392:J392" si="401">ROUND(RAND(),2)</f>
        <v>0.55</v>
      </c>
      <c r="I392" s="7">
        <f t="shared" si="401"/>
        <v>0.52</v>
      </c>
      <c r="J392" s="7">
        <f t="shared" si="401"/>
        <v>0.42</v>
      </c>
      <c r="K392" s="7" t="str">
        <f t="shared" si="6"/>
        <v>High</v>
      </c>
      <c r="L392" s="7">
        <f t="shared" si="7"/>
        <v>2801712</v>
      </c>
      <c r="M392" s="7">
        <f t="shared" si="8"/>
        <v>643202.901</v>
      </c>
      <c r="N392" s="7">
        <f t="shared" si="9"/>
        <v>61746</v>
      </c>
      <c r="O392" s="7">
        <f t="shared" si="13"/>
        <v>106791</v>
      </c>
      <c r="P392" s="7">
        <f t="shared" si="10"/>
        <v>967</v>
      </c>
      <c r="Q392" s="7">
        <f t="shared" si="11"/>
        <v>0.1</v>
      </c>
    </row>
    <row r="393">
      <c r="A393" s="4" t="s">
        <v>1108</v>
      </c>
      <c r="B393" s="4" t="s">
        <v>1109</v>
      </c>
      <c r="C393" s="4" t="s">
        <v>1110</v>
      </c>
      <c r="D393" s="5">
        <v>8806.0</v>
      </c>
      <c r="E393" s="7" t="str">
        <f t="shared" si="2"/>
        <v>C</v>
      </c>
      <c r="F393" s="7" t="str">
        <f t="shared" si="3"/>
        <v>A</v>
      </c>
      <c r="G393" s="7" t="str">
        <f t="shared" si="4"/>
        <v>Transformative change</v>
      </c>
      <c r="H393" s="7">
        <f t="shared" ref="H393:J393" si="402">ROUND(RAND(),2)</f>
        <v>0.55</v>
      </c>
      <c r="I393" s="7">
        <f t="shared" si="402"/>
        <v>0.88</v>
      </c>
      <c r="J393" s="7">
        <f t="shared" si="402"/>
        <v>0.25</v>
      </c>
      <c r="K393" s="7" t="str">
        <f t="shared" si="6"/>
        <v>Low</v>
      </c>
      <c r="L393" s="7">
        <f t="shared" si="7"/>
        <v>3929871</v>
      </c>
      <c r="M393" s="7">
        <f t="shared" si="8"/>
        <v>680772.5198</v>
      </c>
      <c r="N393" s="7">
        <f t="shared" si="9"/>
        <v>88060</v>
      </c>
      <c r="O393" s="7">
        <f t="shared" si="13"/>
        <v>206100</v>
      </c>
      <c r="P393" s="7">
        <f t="shared" si="10"/>
        <v>933</v>
      </c>
      <c r="Q393" s="7">
        <f t="shared" si="11"/>
        <v>0.24</v>
      </c>
    </row>
    <row r="394">
      <c r="A394" s="4" t="s">
        <v>1111</v>
      </c>
      <c r="B394" s="4" t="s">
        <v>1112</v>
      </c>
      <c r="C394" s="4" t="s">
        <v>1113</v>
      </c>
      <c r="D394" s="5">
        <v>75602.0</v>
      </c>
      <c r="E394" s="7" t="str">
        <f t="shared" si="2"/>
        <v>B</v>
      </c>
      <c r="F394" s="7" t="str">
        <f t="shared" si="3"/>
        <v>B</v>
      </c>
      <c r="G394" s="7" t="str">
        <f t="shared" si="4"/>
        <v>High ambition</v>
      </c>
      <c r="H394" s="7">
        <f t="shared" ref="H394:J394" si="403">ROUND(RAND(),2)</f>
        <v>0.02</v>
      </c>
      <c r="I394" s="7">
        <f t="shared" si="403"/>
        <v>0.75</v>
      </c>
      <c r="J394" s="7">
        <f t="shared" si="403"/>
        <v>0.71</v>
      </c>
      <c r="K394" s="7" t="str">
        <f t="shared" si="6"/>
        <v>Medium</v>
      </c>
      <c r="L394" s="7">
        <f t="shared" si="7"/>
        <v>2461271</v>
      </c>
      <c r="M394" s="7">
        <f t="shared" si="8"/>
        <v>1995632.556</v>
      </c>
      <c r="N394" s="7">
        <f t="shared" si="9"/>
        <v>1134030</v>
      </c>
      <c r="O394" s="7">
        <f t="shared" si="13"/>
        <v>1324500</v>
      </c>
      <c r="P394" s="7">
        <f t="shared" si="10"/>
        <v>16925.82</v>
      </c>
      <c r="Q394" s="7">
        <f t="shared" si="11"/>
        <v>0.11</v>
      </c>
    </row>
    <row r="395">
      <c r="A395" s="4" t="s">
        <v>1114</v>
      </c>
      <c r="B395" s="4" t="s">
        <v>1115</v>
      </c>
      <c r="C395" s="4" t="s">
        <v>1116</v>
      </c>
      <c r="D395" s="5">
        <v>5906.0</v>
      </c>
      <c r="E395" s="7" t="str">
        <f t="shared" si="2"/>
        <v>G</v>
      </c>
      <c r="F395" s="7" t="str">
        <f t="shared" si="3"/>
        <v>C</v>
      </c>
      <c r="G395" s="7" t="str">
        <f t="shared" si="4"/>
        <v>Transformative change</v>
      </c>
      <c r="H395" s="7">
        <f t="shared" ref="H395:J395" si="404">ROUND(RAND(),2)</f>
        <v>0.1</v>
      </c>
      <c r="I395" s="7">
        <f t="shared" si="404"/>
        <v>0.54</v>
      </c>
      <c r="J395" s="7">
        <f t="shared" si="404"/>
        <v>0.84</v>
      </c>
      <c r="K395" s="7" t="str">
        <f t="shared" si="6"/>
        <v>High</v>
      </c>
      <c r="L395" s="7">
        <f t="shared" si="7"/>
        <v>84305</v>
      </c>
      <c r="M395" s="7">
        <f t="shared" si="8"/>
        <v>71968.74826</v>
      </c>
      <c r="N395" s="7">
        <f t="shared" si="9"/>
        <v>47248</v>
      </c>
      <c r="O395" s="7">
        <f t="shared" si="13"/>
        <v>229031</v>
      </c>
      <c r="P395" s="7">
        <f t="shared" si="10"/>
        <v>1079</v>
      </c>
      <c r="Q395" s="7">
        <f t="shared" si="11"/>
        <v>0.19</v>
      </c>
    </row>
    <row r="396">
      <c r="A396" s="4" t="s">
        <v>1117</v>
      </c>
      <c r="B396" s="4" t="s">
        <v>1118</v>
      </c>
      <c r="C396" s="4" t="s">
        <v>95</v>
      </c>
      <c r="D396" s="5">
        <v>16650.0</v>
      </c>
      <c r="E396" s="7" t="str">
        <f t="shared" si="2"/>
        <v>F</v>
      </c>
      <c r="F396" s="7" t="str">
        <f t="shared" si="3"/>
        <v>C</v>
      </c>
      <c r="G396" s="7" t="str">
        <f t="shared" si="4"/>
        <v>High ambition</v>
      </c>
      <c r="H396" s="7">
        <f t="shared" ref="H396:J396" si="405">ROUND(RAND(),2)</f>
        <v>0.56</v>
      </c>
      <c r="I396" s="7">
        <f t="shared" si="405"/>
        <v>0.59</v>
      </c>
      <c r="J396" s="7">
        <f t="shared" si="405"/>
        <v>0.37</v>
      </c>
      <c r="K396" s="7" t="str">
        <f t="shared" si="6"/>
        <v>High</v>
      </c>
      <c r="L396" s="7">
        <f t="shared" si="7"/>
        <v>3414024</v>
      </c>
      <c r="M396" s="7">
        <f t="shared" si="8"/>
        <v>1156822.585</v>
      </c>
      <c r="N396" s="7">
        <f t="shared" si="9"/>
        <v>216450</v>
      </c>
      <c r="O396" s="7">
        <f t="shared" si="13"/>
        <v>358548</v>
      </c>
      <c r="P396" s="7">
        <f t="shared" si="10"/>
        <v>1691.02</v>
      </c>
      <c r="Q396" s="7">
        <f t="shared" si="11"/>
        <v>0.13</v>
      </c>
    </row>
    <row r="397">
      <c r="A397" s="4" t="s">
        <v>1119</v>
      </c>
      <c r="B397" s="4" t="s">
        <v>1120</v>
      </c>
      <c r="C397" s="4" t="s">
        <v>1121</v>
      </c>
      <c r="D397" s="5">
        <v>20381.0</v>
      </c>
      <c r="E397" s="7" t="str">
        <f t="shared" si="2"/>
        <v>F</v>
      </c>
      <c r="F397" s="7" t="str">
        <f t="shared" si="3"/>
        <v>A</v>
      </c>
      <c r="G397" s="7" t="str">
        <f t="shared" si="4"/>
        <v>High ambition</v>
      </c>
      <c r="H397" s="7">
        <f t="shared" ref="H397:J397" si="406">ROUND(RAND(),2)</f>
        <v>0.56</v>
      </c>
      <c r="I397" s="7">
        <f t="shared" si="406"/>
        <v>0.57</v>
      </c>
      <c r="J397" s="7">
        <f t="shared" si="406"/>
        <v>0.76</v>
      </c>
      <c r="K397" s="7" t="str">
        <f t="shared" si="6"/>
        <v>Low</v>
      </c>
      <c r="L397" s="7">
        <f t="shared" si="7"/>
        <v>3169757</v>
      </c>
      <c r="M397" s="7">
        <f t="shared" si="8"/>
        <v>1831610.709</v>
      </c>
      <c r="N397" s="7">
        <f t="shared" si="9"/>
        <v>142667</v>
      </c>
      <c r="O397" s="7">
        <f t="shared" si="13"/>
        <v>325520</v>
      </c>
      <c r="P397" s="7">
        <f t="shared" si="10"/>
        <v>1042</v>
      </c>
      <c r="Q397" s="7">
        <f t="shared" si="11"/>
        <v>0.09</v>
      </c>
    </row>
    <row r="398">
      <c r="A398" s="4" t="s">
        <v>1122</v>
      </c>
      <c r="B398" s="4" t="s">
        <v>442</v>
      </c>
      <c r="C398" s="4" t="s">
        <v>1123</v>
      </c>
      <c r="D398" s="5">
        <v>16866.0</v>
      </c>
      <c r="E398" s="7" t="str">
        <f t="shared" si="2"/>
        <v>B</v>
      </c>
      <c r="F398" s="7" t="str">
        <f t="shared" si="3"/>
        <v>A</v>
      </c>
      <c r="G398" s="7" t="str">
        <f t="shared" si="4"/>
        <v>High ambition</v>
      </c>
      <c r="H398" s="7">
        <f t="shared" ref="H398:J398" si="407">ROUND(RAND(),2)</f>
        <v>0.45</v>
      </c>
      <c r="I398" s="7">
        <f t="shared" si="407"/>
        <v>0.59</v>
      </c>
      <c r="J398" s="7">
        <f t="shared" si="407"/>
        <v>0.98</v>
      </c>
      <c r="K398" s="7" t="str">
        <f t="shared" si="6"/>
        <v>Low</v>
      </c>
      <c r="L398" s="7">
        <f t="shared" si="7"/>
        <v>449855</v>
      </c>
      <c r="M398" s="7">
        <f t="shared" si="8"/>
        <v>439754.6462</v>
      </c>
      <c r="N398" s="7">
        <f t="shared" si="9"/>
        <v>202392</v>
      </c>
      <c r="O398" s="7">
        <f t="shared" si="13"/>
        <v>288362</v>
      </c>
      <c r="P398" s="7">
        <f t="shared" si="10"/>
        <v>973</v>
      </c>
      <c r="Q398" s="7">
        <f t="shared" si="11"/>
        <v>0.27</v>
      </c>
    </row>
    <row r="399">
      <c r="A399" s="4" t="s">
        <v>1124</v>
      </c>
      <c r="B399" s="4" t="s">
        <v>1125</v>
      </c>
      <c r="C399" s="4" t="s">
        <v>95</v>
      </c>
      <c r="D399" s="5">
        <v>11250.0</v>
      </c>
      <c r="E399" s="7" t="str">
        <f t="shared" si="2"/>
        <v>B</v>
      </c>
      <c r="F399" s="7" t="str">
        <f t="shared" si="3"/>
        <v>C</v>
      </c>
      <c r="G399" s="7" t="str">
        <f t="shared" si="4"/>
        <v>High ambition</v>
      </c>
      <c r="H399" s="7">
        <f t="shared" ref="H399:J399" si="408">ROUND(RAND(),2)</f>
        <v>0.17</v>
      </c>
      <c r="I399" s="7">
        <f t="shared" si="408"/>
        <v>0.68</v>
      </c>
      <c r="J399" s="7">
        <f t="shared" si="408"/>
        <v>0.85</v>
      </c>
      <c r="K399" s="7" t="str">
        <f t="shared" si="6"/>
        <v>Low</v>
      </c>
      <c r="L399" s="7">
        <f t="shared" si="7"/>
        <v>1907551</v>
      </c>
      <c r="M399" s="7">
        <f t="shared" si="8"/>
        <v>1753853.735</v>
      </c>
      <c r="N399" s="7">
        <f t="shared" si="9"/>
        <v>45000</v>
      </c>
      <c r="O399" s="7">
        <f t="shared" si="13"/>
        <v>214194</v>
      </c>
      <c r="P399" s="7">
        <f t="shared" si="10"/>
        <v>1078</v>
      </c>
      <c r="Q399" s="7">
        <f t="shared" si="11"/>
        <v>0.14</v>
      </c>
    </row>
    <row r="400">
      <c r="A400" s="4" t="s">
        <v>1126</v>
      </c>
      <c r="B400" s="4" t="s">
        <v>1127</v>
      </c>
      <c r="C400" s="4" t="s">
        <v>1128</v>
      </c>
      <c r="D400" s="5">
        <v>6928.0</v>
      </c>
      <c r="E400" s="7" t="str">
        <f t="shared" si="2"/>
        <v>A</v>
      </c>
      <c r="F400" s="7" t="str">
        <f t="shared" si="3"/>
        <v>A</v>
      </c>
      <c r="G400" s="7" t="str">
        <f t="shared" si="4"/>
        <v>Transformative change</v>
      </c>
      <c r="H400" s="7">
        <f t="shared" ref="H400:J400" si="409">ROUND(RAND(),2)</f>
        <v>0.99</v>
      </c>
      <c r="I400" s="7">
        <f t="shared" si="409"/>
        <v>0.06</v>
      </c>
      <c r="J400" s="7">
        <f t="shared" si="409"/>
        <v>0.53</v>
      </c>
      <c r="K400" s="7" t="str">
        <f t="shared" si="6"/>
        <v>Medium</v>
      </c>
      <c r="L400" s="7">
        <f t="shared" si="7"/>
        <v>3215457</v>
      </c>
      <c r="M400" s="7">
        <f t="shared" si="8"/>
        <v>1901300.698</v>
      </c>
      <c r="N400" s="7">
        <f t="shared" si="9"/>
        <v>96992</v>
      </c>
      <c r="O400" s="7">
        <f t="shared" si="13"/>
        <v>196617</v>
      </c>
      <c r="P400" s="7">
        <f t="shared" si="10"/>
        <v>940</v>
      </c>
      <c r="Q400" s="7">
        <f t="shared" si="11"/>
        <v>0.14</v>
      </c>
    </row>
    <row r="401">
      <c r="A401" s="4" t="s">
        <v>1129</v>
      </c>
      <c r="B401" s="4" t="s">
        <v>1130</v>
      </c>
      <c r="C401" s="4" t="s">
        <v>1131</v>
      </c>
      <c r="D401" s="5">
        <v>81393.0</v>
      </c>
      <c r="E401" s="7" t="str">
        <f t="shared" si="2"/>
        <v>C</v>
      </c>
      <c r="F401" s="7" t="str">
        <f t="shared" si="3"/>
        <v>B</v>
      </c>
      <c r="G401" s="7" t="str">
        <f t="shared" si="4"/>
        <v>Transformative change</v>
      </c>
      <c r="H401" s="7">
        <f t="shared" ref="H401:J401" si="410">ROUND(RAND(),2)</f>
        <v>0.97</v>
      </c>
      <c r="I401" s="7">
        <f t="shared" si="410"/>
        <v>0.59</v>
      </c>
      <c r="J401" s="7">
        <f t="shared" si="410"/>
        <v>0.34</v>
      </c>
      <c r="K401" s="7" t="str">
        <f t="shared" si="6"/>
        <v>Medium</v>
      </c>
      <c r="L401" s="7">
        <f t="shared" si="7"/>
        <v>1146595</v>
      </c>
      <c r="M401" s="7">
        <f t="shared" si="8"/>
        <v>161271.3835</v>
      </c>
      <c r="N401" s="7">
        <f t="shared" si="9"/>
        <v>813930</v>
      </c>
      <c r="O401" s="7">
        <f t="shared" si="13"/>
        <v>883536</v>
      </c>
      <c r="P401" s="7">
        <f t="shared" si="10"/>
        <v>6261</v>
      </c>
      <c r="Q401" s="7">
        <f t="shared" si="11"/>
        <v>0.24</v>
      </c>
    </row>
    <row r="402">
      <c r="A402" s="4" t="s">
        <v>1132</v>
      </c>
      <c r="B402" s="4" t="s">
        <v>1133</v>
      </c>
      <c r="C402" s="4" t="s">
        <v>1134</v>
      </c>
      <c r="D402" s="5">
        <v>29138.0</v>
      </c>
      <c r="E402" s="7" t="str">
        <f t="shared" si="2"/>
        <v>F</v>
      </c>
      <c r="F402" s="7" t="str">
        <f t="shared" si="3"/>
        <v>B</v>
      </c>
      <c r="G402" s="7" t="str">
        <f t="shared" si="4"/>
        <v>Transformative change</v>
      </c>
      <c r="H402" s="7">
        <f t="shared" ref="H402:J402" si="411">ROUND(RAND(),2)</f>
        <v>0.7</v>
      </c>
      <c r="I402" s="7">
        <f t="shared" si="411"/>
        <v>0.18</v>
      </c>
      <c r="J402" s="7">
        <f t="shared" si="411"/>
        <v>0.41</v>
      </c>
      <c r="K402" s="7" t="str">
        <f t="shared" si="6"/>
        <v>Medium</v>
      </c>
      <c r="L402" s="7">
        <f t="shared" si="7"/>
        <v>1962821</v>
      </c>
      <c r="M402" s="7">
        <f t="shared" si="8"/>
        <v>472245.6792</v>
      </c>
      <c r="N402" s="7">
        <f t="shared" si="9"/>
        <v>378794</v>
      </c>
      <c r="O402" s="7">
        <f t="shared" si="13"/>
        <v>390602</v>
      </c>
      <c r="P402" s="7">
        <f t="shared" si="10"/>
        <v>963.85</v>
      </c>
      <c r="Q402" s="7">
        <f t="shared" si="11"/>
        <v>0.07</v>
      </c>
    </row>
    <row r="403">
      <c r="A403" s="4" t="s">
        <v>1135</v>
      </c>
      <c r="B403" s="4" t="s">
        <v>1136</v>
      </c>
      <c r="C403" s="4" t="s">
        <v>1137</v>
      </c>
      <c r="D403" s="5">
        <v>14588.0</v>
      </c>
      <c r="E403" s="7" t="str">
        <f t="shared" si="2"/>
        <v>B</v>
      </c>
      <c r="F403" s="7" t="str">
        <f t="shared" si="3"/>
        <v>A</v>
      </c>
      <c r="G403" s="7" t="str">
        <f t="shared" si="4"/>
        <v>Transformative change</v>
      </c>
      <c r="H403" s="7">
        <f t="shared" ref="H403:J403" si="412">ROUND(RAND(),2)</f>
        <v>0.94</v>
      </c>
      <c r="I403" s="7">
        <f t="shared" si="412"/>
        <v>0.21</v>
      </c>
      <c r="J403" s="7">
        <f t="shared" si="412"/>
        <v>0.7</v>
      </c>
      <c r="K403" s="7" t="str">
        <f t="shared" si="6"/>
        <v>Low</v>
      </c>
      <c r="L403" s="7">
        <f t="shared" si="7"/>
        <v>2898134</v>
      </c>
      <c r="M403" s="7">
        <f t="shared" si="8"/>
        <v>95662.32178</v>
      </c>
      <c r="N403" s="7">
        <f t="shared" si="9"/>
        <v>218820</v>
      </c>
      <c r="O403" s="7">
        <f t="shared" si="13"/>
        <v>408789</v>
      </c>
      <c r="P403" s="7">
        <f t="shared" si="10"/>
        <v>655.15</v>
      </c>
      <c r="Q403" s="7">
        <f t="shared" si="11"/>
        <v>0.05</v>
      </c>
    </row>
    <row r="404">
      <c r="A404" s="4" t="s">
        <v>1138</v>
      </c>
      <c r="B404" s="4" t="s">
        <v>1139</v>
      </c>
      <c r="C404" s="4" t="s">
        <v>259</v>
      </c>
      <c r="D404" s="5">
        <v>12118.0</v>
      </c>
      <c r="E404" s="7" t="str">
        <f t="shared" si="2"/>
        <v>A</v>
      </c>
      <c r="F404" s="7" t="str">
        <f t="shared" si="3"/>
        <v>A</v>
      </c>
      <c r="G404" s="7" t="str">
        <f t="shared" si="4"/>
        <v>Transformative change</v>
      </c>
      <c r="H404" s="7">
        <f t="shared" ref="H404:J404" si="413">ROUND(RAND(),2)</f>
        <v>0.1</v>
      </c>
      <c r="I404" s="7">
        <f t="shared" si="413"/>
        <v>0.81</v>
      </c>
      <c r="J404" s="7">
        <f t="shared" si="413"/>
        <v>0.07</v>
      </c>
      <c r="K404" s="7" t="str">
        <f t="shared" si="6"/>
        <v>Low</v>
      </c>
      <c r="L404" s="7">
        <f t="shared" si="7"/>
        <v>2741635</v>
      </c>
      <c r="M404" s="7">
        <f t="shared" si="8"/>
        <v>35519.90614</v>
      </c>
      <c r="N404" s="7">
        <f t="shared" si="9"/>
        <v>84826</v>
      </c>
      <c r="O404" s="7">
        <f t="shared" si="13"/>
        <v>102112</v>
      </c>
      <c r="P404" s="7">
        <f t="shared" si="10"/>
        <v>885</v>
      </c>
      <c r="Q404" s="7">
        <f t="shared" si="11"/>
        <v>0.12</v>
      </c>
    </row>
    <row r="405">
      <c r="A405" s="4" t="s">
        <v>1140</v>
      </c>
      <c r="B405" s="4" t="s">
        <v>1141</v>
      </c>
      <c r="C405" s="4" t="s">
        <v>1142</v>
      </c>
      <c r="D405" s="5">
        <v>237340.0</v>
      </c>
      <c r="E405" s="7" t="str">
        <f t="shared" si="2"/>
        <v>E</v>
      </c>
      <c r="F405" s="7" t="str">
        <f t="shared" si="3"/>
        <v>A</v>
      </c>
      <c r="G405" s="7" t="str">
        <f t="shared" si="4"/>
        <v>Transformative change</v>
      </c>
      <c r="H405" s="7">
        <f t="shared" ref="H405:J405" si="414">ROUND(RAND(),2)</f>
        <v>0.39</v>
      </c>
      <c r="I405" s="7">
        <f t="shared" si="414"/>
        <v>0.46</v>
      </c>
      <c r="J405" s="7">
        <f t="shared" si="414"/>
        <v>0.27</v>
      </c>
      <c r="K405" s="7" t="str">
        <f t="shared" si="6"/>
        <v>Low</v>
      </c>
      <c r="L405" s="7">
        <f t="shared" si="7"/>
        <v>1795144</v>
      </c>
      <c r="M405" s="7">
        <f t="shared" si="8"/>
        <v>433377.5513</v>
      </c>
      <c r="N405" s="7">
        <f t="shared" si="9"/>
        <v>1424040</v>
      </c>
      <c r="O405" s="7">
        <f t="shared" si="13"/>
        <v>1445879</v>
      </c>
      <c r="P405" s="7">
        <f t="shared" si="10"/>
        <v>44501.25</v>
      </c>
      <c r="Q405" s="7">
        <f t="shared" si="11"/>
        <v>0.02</v>
      </c>
    </row>
    <row r="406">
      <c r="A406" s="4" t="s">
        <v>1143</v>
      </c>
      <c r="B406" s="4" t="s">
        <v>1144</v>
      </c>
      <c r="C406" s="4" t="s">
        <v>1145</v>
      </c>
      <c r="D406" s="5">
        <v>10126.0</v>
      </c>
      <c r="E406" s="7" t="str">
        <f t="shared" si="2"/>
        <v>G</v>
      </c>
      <c r="F406" s="7" t="str">
        <f t="shared" si="3"/>
        <v>A</v>
      </c>
      <c r="G406" s="7" t="str">
        <f t="shared" si="4"/>
        <v>Transformative change</v>
      </c>
      <c r="H406" s="7">
        <f t="shared" ref="H406:J406" si="415">ROUND(RAND(),2)</f>
        <v>0.98</v>
      </c>
      <c r="I406" s="7">
        <f t="shared" si="415"/>
        <v>0.38</v>
      </c>
      <c r="J406" s="7">
        <f t="shared" si="415"/>
        <v>0.47</v>
      </c>
      <c r="K406" s="7" t="str">
        <f t="shared" si="6"/>
        <v>Low</v>
      </c>
      <c r="L406" s="7">
        <f t="shared" si="7"/>
        <v>3191871</v>
      </c>
      <c r="M406" s="7">
        <f t="shared" si="8"/>
        <v>3155324.528</v>
      </c>
      <c r="N406" s="7">
        <f t="shared" si="9"/>
        <v>81008</v>
      </c>
      <c r="O406" s="7">
        <f t="shared" si="13"/>
        <v>175873</v>
      </c>
      <c r="P406" s="7">
        <f t="shared" si="10"/>
        <v>1003</v>
      </c>
      <c r="Q406" s="7">
        <f t="shared" si="11"/>
        <v>0.3</v>
      </c>
    </row>
    <row r="407">
      <c r="A407" s="4" t="s">
        <v>1146</v>
      </c>
      <c r="B407" s="4" t="s">
        <v>1147</v>
      </c>
      <c r="C407" s="4" t="s">
        <v>1148</v>
      </c>
      <c r="D407" s="5">
        <v>16726.0</v>
      </c>
      <c r="E407" s="7" t="str">
        <f t="shared" si="2"/>
        <v>A</v>
      </c>
      <c r="F407" s="7" t="str">
        <f t="shared" si="3"/>
        <v>B</v>
      </c>
      <c r="G407" s="7" t="str">
        <f t="shared" si="4"/>
        <v>Transformative change</v>
      </c>
      <c r="H407" s="7">
        <f t="shared" ref="H407:J407" si="416">ROUND(RAND(),2)</f>
        <v>0.02</v>
      </c>
      <c r="I407" s="7">
        <f t="shared" si="416"/>
        <v>0.24</v>
      </c>
      <c r="J407" s="7">
        <f t="shared" si="416"/>
        <v>0.76</v>
      </c>
      <c r="K407" s="7" t="str">
        <f t="shared" si="6"/>
        <v>Low</v>
      </c>
      <c r="L407" s="7">
        <f t="shared" si="7"/>
        <v>828737</v>
      </c>
      <c r="M407" s="7">
        <f t="shared" si="8"/>
        <v>503890.221</v>
      </c>
      <c r="N407" s="7">
        <f t="shared" si="9"/>
        <v>200712</v>
      </c>
      <c r="O407" s="7">
        <f t="shared" si="13"/>
        <v>358541</v>
      </c>
      <c r="P407" s="7">
        <f t="shared" si="10"/>
        <v>1127.6</v>
      </c>
      <c r="Q407" s="7">
        <f t="shared" si="11"/>
        <v>0.12</v>
      </c>
    </row>
    <row r="408">
      <c r="A408" s="4" t="s">
        <v>1149</v>
      </c>
      <c r="B408" s="4" t="s">
        <v>1150</v>
      </c>
      <c r="C408" s="4" t="s">
        <v>1151</v>
      </c>
      <c r="D408" s="5">
        <v>8266.0</v>
      </c>
      <c r="E408" s="7" t="str">
        <f t="shared" si="2"/>
        <v>G</v>
      </c>
      <c r="F408" s="7" t="str">
        <f t="shared" si="3"/>
        <v>B</v>
      </c>
      <c r="G408" s="7" t="str">
        <f t="shared" si="4"/>
        <v>Transformative change</v>
      </c>
      <c r="H408" s="7">
        <f t="shared" ref="H408:J408" si="417">ROUND(RAND(),2)</f>
        <v>0.11</v>
      </c>
      <c r="I408" s="7">
        <f t="shared" si="417"/>
        <v>0.02</v>
      </c>
      <c r="J408" s="7">
        <f t="shared" si="417"/>
        <v>0.23</v>
      </c>
      <c r="K408" s="7" t="str">
        <f t="shared" si="6"/>
        <v>Low</v>
      </c>
      <c r="L408" s="7">
        <f t="shared" si="7"/>
        <v>3295348</v>
      </c>
      <c r="M408" s="7">
        <f t="shared" si="8"/>
        <v>2922938.253</v>
      </c>
      <c r="N408" s="7">
        <f t="shared" si="9"/>
        <v>99192</v>
      </c>
      <c r="O408" s="7">
        <f t="shared" si="13"/>
        <v>246511</v>
      </c>
      <c r="P408" s="7">
        <f t="shared" si="10"/>
        <v>1050</v>
      </c>
      <c r="Q408" s="7">
        <f t="shared" si="11"/>
        <v>0.2</v>
      </c>
    </row>
    <row r="409">
      <c r="A409" s="4" t="s">
        <v>1152</v>
      </c>
      <c r="B409" s="4" t="s">
        <v>1153</v>
      </c>
      <c r="C409" s="4" t="s">
        <v>1154</v>
      </c>
      <c r="D409" s="5">
        <v>12733.0</v>
      </c>
      <c r="E409" s="7" t="str">
        <f t="shared" si="2"/>
        <v>F</v>
      </c>
      <c r="F409" s="7" t="str">
        <f t="shared" si="3"/>
        <v>C</v>
      </c>
      <c r="G409" s="7" t="str">
        <f t="shared" si="4"/>
        <v>Transformative change</v>
      </c>
      <c r="H409" s="7">
        <f t="shared" ref="H409:J409" si="418">ROUND(RAND(),2)</f>
        <v>0.21</v>
      </c>
      <c r="I409" s="7">
        <f t="shared" si="418"/>
        <v>0.85</v>
      </c>
      <c r="J409" s="7">
        <f t="shared" si="418"/>
        <v>0.34</v>
      </c>
      <c r="K409" s="7" t="str">
        <f t="shared" si="6"/>
        <v>Medium</v>
      </c>
      <c r="L409" s="7">
        <f t="shared" si="7"/>
        <v>392044</v>
      </c>
      <c r="M409" s="7">
        <f t="shared" si="8"/>
        <v>388432.306</v>
      </c>
      <c r="N409" s="7">
        <f t="shared" si="9"/>
        <v>89131</v>
      </c>
      <c r="O409" s="7">
        <f t="shared" si="13"/>
        <v>132280</v>
      </c>
      <c r="P409" s="7">
        <f t="shared" si="10"/>
        <v>675.23</v>
      </c>
      <c r="Q409" s="7">
        <f t="shared" si="11"/>
        <v>0.22</v>
      </c>
    </row>
    <row r="410">
      <c r="A410" s="4" t="s">
        <v>1155</v>
      </c>
      <c r="B410" s="4" t="s">
        <v>1156</v>
      </c>
      <c r="C410" s="4" t="s">
        <v>1157</v>
      </c>
      <c r="D410" s="5">
        <v>71022.0</v>
      </c>
      <c r="E410" s="7" t="str">
        <f t="shared" si="2"/>
        <v>G</v>
      </c>
      <c r="F410" s="7" t="str">
        <f t="shared" si="3"/>
        <v>B</v>
      </c>
      <c r="G410" s="7" t="str">
        <f t="shared" si="4"/>
        <v>Transformative change</v>
      </c>
      <c r="H410" s="7">
        <f t="shared" ref="H410:J410" si="419">ROUND(RAND(),2)</f>
        <v>0.99</v>
      </c>
      <c r="I410" s="7">
        <f t="shared" si="419"/>
        <v>0</v>
      </c>
      <c r="J410" s="7">
        <f t="shared" si="419"/>
        <v>0.33</v>
      </c>
      <c r="K410" s="7" t="str">
        <f t="shared" si="6"/>
        <v>Medium</v>
      </c>
      <c r="L410" s="7">
        <f t="shared" si="7"/>
        <v>3708751</v>
      </c>
      <c r="M410" s="7">
        <f t="shared" si="8"/>
        <v>1048092.633</v>
      </c>
      <c r="N410" s="7">
        <f t="shared" si="9"/>
        <v>781242</v>
      </c>
      <c r="O410" s="7">
        <f t="shared" si="13"/>
        <v>885404</v>
      </c>
      <c r="P410" s="7">
        <f t="shared" si="10"/>
        <v>6200.33</v>
      </c>
      <c r="Q410" s="7">
        <f t="shared" si="11"/>
        <v>0.01</v>
      </c>
    </row>
    <row r="411">
      <c r="A411" s="4" t="s">
        <v>1158</v>
      </c>
      <c r="B411" s="4" t="s">
        <v>1159</v>
      </c>
      <c r="C411" s="4" t="s">
        <v>95</v>
      </c>
      <c r="D411" s="5">
        <v>12576.0</v>
      </c>
      <c r="E411" s="7" t="str">
        <f t="shared" si="2"/>
        <v>G</v>
      </c>
      <c r="F411" s="7" t="str">
        <f t="shared" si="3"/>
        <v>A</v>
      </c>
      <c r="G411" s="7" t="str">
        <f t="shared" si="4"/>
        <v>Transformative change</v>
      </c>
      <c r="H411" s="7">
        <f t="shared" ref="H411:J411" si="420">ROUND(RAND(),2)</f>
        <v>0.85</v>
      </c>
      <c r="I411" s="7">
        <f t="shared" si="420"/>
        <v>0.87</v>
      </c>
      <c r="J411" s="7">
        <f t="shared" si="420"/>
        <v>0.43</v>
      </c>
      <c r="K411" s="7" t="str">
        <f t="shared" si="6"/>
        <v>Medium</v>
      </c>
      <c r="L411" s="7">
        <f t="shared" si="7"/>
        <v>801387</v>
      </c>
      <c r="M411" s="7">
        <f t="shared" si="8"/>
        <v>19844.63565</v>
      </c>
      <c r="N411" s="7">
        <f t="shared" si="9"/>
        <v>50304</v>
      </c>
      <c r="O411" s="7">
        <f t="shared" si="13"/>
        <v>57289</v>
      </c>
      <c r="P411" s="7">
        <f t="shared" si="10"/>
        <v>813</v>
      </c>
      <c r="Q411" s="7">
        <f t="shared" si="11"/>
        <v>0.15</v>
      </c>
    </row>
    <row r="412">
      <c r="A412" s="4" t="s">
        <v>1160</v>
      </c>
      <c r="B412" s="4" t="s">
        <v>1161</v>
      </c>
      <c r="C412" s="4" t="s">
        <v>1162</v>
      </c>
      <c r="D412" s="5">
        <v>9477.0</v>
      </c>
      <c r="E412" s="7" t="str">
        <f t="shared" si="2"/>
        <v>C</v>
      </c>
      <c r="F412" s="7" t="str">
        <f t="shared" si="3"/>
        <v>B</v>
      </c>
      <c r="G412" s="7" t="str">
        <f t="shared" si="4"/>
        <v>Transformative change</v>
      </c>
      <c r="H412" s="7">
        <f t="shared" ref="H412:J412" si="421">ROUND(RAND(),2)</f>
        <v>0.09</v>
      </c>
      <c r="I412" s="7">
        <f t="shared" si="421"/>
        <v>0.78</v>
      </c>
      <c r="J412" s="7">
        <f t="shared" si="421"/>
        <v>0.23</v>
      </c>
      <c r="K412" s="7" t="str">
        <f t="shared" si="6"/>
        <v>High</v>
      </c>
      <c r="L412" s="7">
        <f t="shared" si="7"/>
        <v>3905536</v>
      </c>
      <c r="M412" s="7">
        <f t="shared" si="8"/>
        <v>820346.2097</v>
      </c>
      <c r="N412" s="7">
        <f t="shared" si="9"/>
        <v>142155</v>
      </c>
      <c r="O412" s="7">
        <f t="shared" si="13"/>
        <v>293272</v>
      </c>
      <c r="P412" s="7">
        <f t="shared" si="10"/>
        <v>931</v>
      </c>
      <c r="Q412" s="7">
        <f t="shared" si="11"/>
        <v>0.08</v>
      </c>
    </row>
    <row r="413">
      <c r="A413" s="4" t="s">
        <v>1163</v>
      </c>
      <c r="B413" s="4" t="s">
        <v>1164</v>
      </c>
      <c r="C413" s="4" t="s">
        <v>95</v>
      </c>
      <c r="D413" s="5">
        <v>16716.0</v>
      </c>
      <c r="E413" s="7" t="str">
        <f t="shared" si="2"/>
        <v>C</v>
      </c>
      <c r="F413" s="7" t="str">
        <f t="shared" si="3"/>
        <v>A</v>
      </c>
      <c r="G413" s="7" t="str">
        <f t="shared" si="4"/>
        <v>Transformative change</v>
      </c>
      <c r="H413" s="7">
        <f t="shared" ref="H413:J413" si="422">ROUND(RAND(),2)</f>
        <v>0.75</v>
      </c>
      <c r="I413" s="7">
        <f t="shared" si="422"/>
        <v>0.73</v>
      </c>
      <c r="J413" s="7">
        <f t="shared" si="422"/>
        <v>0.73</v>
      </c>
      <c r="K413" s="7" t="str">
        <f t="shared" si="6"/>
        <v>Medium</v>
      </c>
      <c r="L413" s="7">
        <f t="shared" si="7"/>
        <v>445135</v>
      </c>
      <c r="M413" s="7">
        <f t="shared" si="8"/>
        <v>178200.882</v>
      </c>
      <c r="N413" s="7">
        <f t="shared" si="9"/>
        <v>250740</v>
      </c>
      <c r="O413" s="7">
        <f t="shared" si="13"/>
        <v>260386</v>
      </c>
      <c r="P413" s="7">
        <f t="shared" si="10"/>
        <v>816.74</v>
      </c>
      <c r="Q413" s="7">
        <f t="shared" si="11"/>
        <v>0.11</v>
      </c>
    </row>
    <row r="414">
      <c r="A414" s="4" t="s">
        <v>280</v>
      </c>
      <c r="B414" s="4" t="s">
        <v>1165</v>
      </c>
      <c r="C414" s="4" t="s">
        <v>1166</v>
      </c>
      <c r="D414" s="5">
        <v>14804.0</v>
      </c>
      <c r="E414" s="7" t="str">
        <f t="shared" si="2"/>
        <v>B</v>
      </c>
      <c r="F414" s="7" t="str">
        <f t="shared" si="3"/>
        <v>C</v>
      </c>
      <c r="G414" s="7" t="str">
        <f t="shared" si="4"/>
        <v>Transformative change</v>
      </c>
      <c r="H414" s="7">
        <f t="shared" ref="H414:J414" si="423">ROUND(RAND(),2)</f>
        <v>0.19</v>
      </c>
      <c r="I414" s="7">
        <f t="shared" si="423"/>
        <v>0.61</v>
      </c>
      <c r="J414" s="7">
        <f t="shared" si="423"/>
        <v>0.97</v>
      </c>
      <c r="K414" s="7" t="str">
        <f t="shared" si="6"/>
        <v>Low</v>
      </c>
      <c r="L414" s="7">
        <f t="shared" si="7"/>
        <v>60390</v>
      </c>
      <c r="M414" s="7">
        <f t="shared" si="8"/>
        <v>30828.63068</v>
      </c>
      <c r="N414" s="7">
        <f t="shared" si="9"/>
        <v>207256</v>
      </c>
      <c r="O414" s="7">
        <f t="shared" si="13"/>
        <v>209926</v>
      </c>
      <c r="P414" s="7">
        <f t="shared" si="10"/>
        <v>829</v>
      </c>
      <c r="Q414" s="7">
        <f t="shared" si="11"/>
        <v>0.21</v>
      </c>
    </row>
    <row r="415">
      <c r="A415" s="4" t="s">
        <v>1167</v>
      </c>
      <c r="B415" s="4" t="s">
        <v>1168</v>
      </c>
      <c r="C415" s="4" t="s">
        <v>1169</v>
      </c>
      <c r="D415" s="5">
        <v>15044.0</v>
      </c>
      <c r="E415" s="7" t="str">
        <f t="shared" si="2"/>
        <v>D</v>
      </c>
      <c r="F415" s="7" t="str">
        <f t="shared" si="3"/>
        <v>C</v>
      </c>
      <c r="G415" s="7" t="str">
        <f t="shared" si="4"/>
        <v>Transformative change</v>
      </c>
      <c r="H415" s="7">
        <f t="shared" ref="H415:J415" si="424">ROUND(RAND(),2)</f>
        <v>0.2</v>
      </c>
      <c r="I415" s="7">
        <f t="shared" si="424"/>
        <v>0.89</v>
      </c>
      <c r="J415" s="7">
        <f t="shared" si="424"/>
        <v>0.77</v>
      </c>
      <c r="K415" s="7" t="str">
        <f t="shared" si="6"/>
        <v>High</v>
      </c>
      <c r="L415" s="7">
        <f t="shared" si="7"/>
        <v>2172467</v>
      </c>
      <c r="M415" s="7">
        <f t="shared" si="8"/>
        <v>940540.4235</v>
      </c>
      <c r="N415" s="7">
        <f t="shared" si="9"/>
        <v>195572</v>
      </c>
      <c r="O415" s="7">
        <f t="shared" si="13"/>
        <v>304571</v>
      </c>
      <c r="P415" s="7">
        <f t="shared" si="10"/>
        <v>827</v>
      </c>
      <c r="Q415" s="7">
        <f t="shared" si="11"/>
        <v>0.28</v>
      </c>
    </row>
    <row r="416">
      <c r="A416" s="4" t="s">
        <v>1170</v>
      </c>
      <c r="B416" s="4" t="s">
        <v>1171</v>
      </c>
      <c r="C416" s="4" t="s">
        <v>1172</v>
      </c>
      <c r="D416" s="5">
        <v>11945.0</v>
      </c>
      <c r="E416" s="7" t="str">
        <f t="shared" si="2"/>
        <v>E</v>
      </c>
      <c r="F416" s="7" t="str">
        <f t="shared" si="3"/>
        <v>B</v>
      </c>
      <c r="G416" s="7" t="str">
        <f t="shared" si="4"/>
        <v>High ambition</v>
      </c>
      <c r="H416" s="7">
        <f t="shared" ref="H416:J416" si="425">ROUND(RAND(),2)</f>
        <v>0.32</v>
      </c>
      <c r="I416" s="7">
        <f t="shared" si="425"/>
        <v>0.58</v>
      </c>
      <c r="J416" s="7">
        <f t="shared" si="425"/>
        <v>0.86</v>
      </c>
      <c r="K416" s="7" t="str">
        <f t="shared" si="6"/>
        <v>Low</v>
      </c>
      <c r="L416" s="7">
        <f t="shared" si="7"/>
        <v>1377359</v>
      </c>
      <c r="M416" s="7">
        <f t="shared" si="8"/>
        <v>537926.0685</v>
      </c>
      <c r="N416" s="7">
        <f t="shared" si="9"/>
        <v>59725</v>
      </c>
      <c r="O416" s="7">
        <f t="shared" si="13"/>
        <v>139063</v>
      </c>
      <c r="P416" s="7">
        <f t="shared" si="10"/>
        <v>947</v>
      </c>
      <c r="Q416" s="7">
        <f t="shared" si="11"/>
        <v>0.07</v>
      </c>
    </row>
    <row r="417">
      <c r="A417" s="4" t="s">
        <v>1173</v>
      </c>
      <c r="B417" s="4" t="s">
        <v>1174</v>
      </c>
      <c r="C417" s="4" t="s">
        <v>1175</v>
      </c>
      <c r="D417" s="5">
        <v>20385.0</v>
      </c>
      <c r="E417" s="7" t="str">
        <f t="shared" si="2"/>
        <v>F</v>
      </c>
      <c r="F417" s="7" t="str">
        <f t="shared" si="3"/>
        <v>B</v>
      </c>
      <c r="G417" s="7" t="str">
        <f t="shared" si="4"/>
        <v>Transformative change</v>
      </c>
      <c r="H417" s="7">
        <f t="shared" ref="H417:J417" si="426">ROUND(RAND(),2)</f>
        <v>0.7</v>
      </c>
      <c r="I417" s="7">
        <f t="shared" si="426"/>
        <v>0.99</v>
      </c>
      <c r="J417" s="7">
        <f t="shared" si="426"/>
        <v>0.69</v>
      </c>
      <c r="K417" s="7" t="str">
        <f t="shared" si="6"/>
        <v>Medium</v>
      </c>
      <c r="L417" s="7">
        <f t="shared" si="7"/>
        <v>1077347</v>
      </c>
      <c r="M417" s="7">
        <f t="shared" si="8"/>
        <v>1069552.816</v>
      </c>
      <c r="N417" s="7">
        <f t="shared" si="9"/>
        <v>224235</v>
      </c>
      <c r="O417" s="7">
        <f t="shared" si="13"/>
        <v>261567</v>
      </c>
      <c r="P417" s="7">
        <f t="shared" si="10"/>
        <v>822</v>
      </c>
      <c r="Q417" s="7">
        <f t="shared" si="11"/>
        <v>0.23</v>
      </c>
    </row>
    <row r="418">
      <c r="A418" s="4" t="s">
        <v>1176</v>
      </c>
      <c r="B418" s="4" t="s">
        <v>1177</v>
      </c>
      <c r="C418" s="4" t="s">
        <v>1178</v>
      </c>
      <c r="D418" s="5">
        <v>19573.0</v>
      </c>
      <c r="E418" s="7" t="str">
        <f t="shared" si="2"/>
        <v>D</v>
      </c>
      <c r="F418" s="7" t="str">
        <f t="shared" si="3"/>
        <v>C</v>
      </c>
      <c r="G418" s="7" t="str">
        <f t="shared" si="4"/>
        <v>High ambition</v>
      </c>
      <c r="H418" s="7">
        <f t="shared" ref="H418:J418" si="427">ROUND(RAND(),2)</f>
        <v>0.27</v>
      </c>
      <c r="I418" s="7">
        <f t="shared" si="427"/>
        <v>0.49</v>
      </c>
      <c r="J418" s="7">
        <f t="shared" si="427"/>
        <v>0.19</v>
      </c>
      <c r="K418" s="7" t="str">
        <f t="shared" si="6"/>
        <v>High</v>
      </c>
      <c r="L418" s="7">
        <f t="shared" si="7"/>
        <v>2711452</v>
      </c>
      <c r="M418" s="7">
        <f t="shared" si="8"/>
        <v>1036079.359</v>
      </c>
      <c r="N418" s="7">
        <f t="shared" si="9"/>
        <v>195730</v>
      </c>
      <c r="O418" s="7">
        <f t="shared" si="13"/>
        <v>267854</v>
      </c>
      <c r="P418" s="7">
        <f t="shared" si="10"/>
        <v>801</v>
      </c>
      <c r="Q418" s="7">
        <f t="shared" si="11"/>
        <v>0.19</v>
      </c>
    </row>
    <row r="419">
      <c r="A419" s="4" t="s">
        <v>1179</v>
      </c>
      <c r="B419" s="4" t="s">
        <v>1180</v>
      </c>
      <c r="C419" s="4" t="s">
        <v>1181</v>
      </c>
      <c r="D419" s="5">
        <v>6907.0</v>
      </c>
      <c r="E419" s="7" t="str">
        <f t="shared" si="2"/>
        <v>A</v>
      </c>
      <c r="F419" s="7" t="str">
        <f t="shared" si="3"/>
        <v>C</v>
      </c>
      <c r="G419" s="7" t="str">
        <f t="shared" si="4"/>
        <v>Transformative change</v>
      </c>
      <c r="H419" s="7">
        <f t="shared" ref="H419:J419" si="428">ROUND(RAND(),2)</f>
        <v>0.89</v>
      </c>
      <c r="I419" s="7">
        <f t="shared" si="428"/>
        <v>0.45</v>
      </c>
      <c r="J419" s="7">
        <f t="shared" si="428"/>
        <v>0.46</v>
      </c>
      <c r="K419" s="7" t="str">
        <f t="shared" si="6"/>
        <v>Low</v>
      </c>
      <c r="L419" s="7">
        <f t="shared" si="7"/>
        <v>3577389</v>
      </c>
      <c r="M419" s="7">
        <f t="shared" si="8"/>
        <v>896088.1927</v>
      </c>
      <c r="N419" s="7">
        <f t="shared" si="9"/>
        <v>62163</v>
      </c>
      <c r="O419" s="7">
        <f t="shared" si="13"/>
        <v>185799</v>
      </c>
      <c r="P419" s="7">
        <f t="shared" si="10"/>
        <v>982</v>
      </c>
      <c r="Q419" s="7">
        <f t="shared" si="11"/>
        <v>0.3</v>
      </c>
    </row>
    <row r="420">
      <c r="A420" s="4" t="s">
        <v>1182</v>
      </c>
      <c r="B420" s="4" t="s">
        <v>1183</v>
      </c>
      <c r="C420" s="4" t="s">
        <v>1184</v>
      </c>
      <c r="D420" s="5">
        <v>93180.0</v>
      </c>
      <c r="E420" s="7" t="str">
        <f t="shared" si="2"/>
        <v>F</v>
      </c>
      <c r="F420" s="7" t="str">
        <f t="shared" si="3"/>
        <v>B</v>
      </c>
      <c r="G420" s="7" t="str">
        <f t="shared" si="4"/>
        <v>Transformative change</v>
      </c>
      <c r="H420" s="7">
        <f t="shared" ref="H420:J420" si="429">ROUND(RAND(),2)</f>
        <v>0.25</v>
      </c>
      <c r="I420" s="7">
        <f t="shared" si="429"/>
        <v>0.1</v>
      </c>
      <c r="J420" s="7">
        <f t="shared" si="429"/>
        <v>0.62</v>
      </c>
      <c r="K420" s="7" t="str">
        <f t="shared" si="6"/>
        <v>Medium</v>
      </c>
      <c r="L420" s="7">
        <f t="shared" si="7"/>
        <v>3503529</v>
      </c>
      <c r="M420" s="7">
        <f t="shared" si="8"/>
        <v>703219.9838</v>
      </c>
      <c r="N420" s="7">
        <f t="shared" si="9"/>
        <v>652260</v>
      </c>
      <c r="O420" s="7">
        <f t="shared" si="13"/>
        <v>782442</v>
      </c>
      <c r="P420" s="7">
        <f t="shared" si="10"/>
        <v>6522.6</v>
      </c>
      <c r="Q420" s="7">
        <f t="shared" si="11"/>
        <v>0.28</v>
      </c>
    </row>
    <row r="421">
      <c r="A421" s="4" t="s">
        <v>1185</v>
      </c>
      <c r="B421" s="4" t="s">
        <v>1186</v>
      </c>
      <c r="C421" s="4" t="s">
        <v>1187</v>
      </c>
      <c r="D421" s="5">
        <v>18192.0</v>
      </c>
      <c r="E421" s="7" t="str">
        <f t="shared" si="2"/>
        <v>E</v>
      </c>
      <c r="F421" s="7" t="str">
        <f t="shared" si="3"/>
        <v>A</v>
      </c>
      <c r="G421" s="7" t="str">
        <f t="shared" si="4"/>
        <v>Transformative change</v>
      </c>
      <c r="H421" s="7">
        <f t="shared" ref="H421:J421" si="430">ROUND(RAND(),2)</f>
        <v>0.06</v>
      </c>
      <c r="I421" s="7">
        <f t="shared" si="430"/>
        <v>0.26</v>
      </c>
      <c r="J421" s="7">
        <f t="shared" si="430"/>
        <v>0.39</v>
      </c>
      <c r="K421" s="7" t="str">
        <f t="shared" si="6"/>
        <v>High</v>
      </c>
      <c r="L421" s="7">
        <f t="shared" si="7"/>
        <v>3832807</v>
      </c>
      <c r="M421" s="7">
        <f t="shared" si="8"/>
        <v>677199.3267</v>
      </c>
      <c r="N421" s="7">
        <f t="shared" si="9"/>
        <v>272880</v>
      </c>
      <c r="O421" s="7">
        <f t="shared" si="13"/>
        <v>285124</v>
      </c>
      <c r="P421" s="7">
        <f t="shared" si="10"/>
        <v>1218.21</v>
      </c>
      <c r="Q421" s="7">
        <f t="shared" si="11"/>
        <v>0.2</v>
      </c>
    </row>
    <row r="422">
      <c r="A422" s="4" t="s">
        <v>1188</v>
      </c>
      <c r="B422" s="4" t="s">
        <v>1189</v>
      </c>
      <c r="C422" s="4" t="s">
        <v>1190</v>
      </c>
      <c r="D422" s="5">
        <v>12848.0</v>
      </c>
      <c r="E422" s="7" t="str">
        <f t="shared" si="2"/>
        <v>E</v>
      </c>
      <c r="F422" s="7" t="str">
        <f t="shared" si="3"/>
        <v>A</v>
      </c>
      <c r="G422" s="7" t="str">
        <f t="shared" si="4"/>
        <v>Transformative change</v>
      </c>
      <c r="H422" s="7">
        <f t="shared" ref="H422:J422" si="431">ROUND(RAND(),2)</f>
        <v>0.91</v>
      </c>
      <c r="I422" s="7">
        <f t="shared" si="431"/>
        <v>0.08</v>
      </c>
      <c r="J422" s="7">
        <f t="shared" si="431"/>
        <v>0.14</v>
      </c>
      <c r="K422" s="7" t="str">
        <f t="shared" si="6"/>
        <v>Low</v>
      </c>
      <c r="L422" s="7">
        <f t="shared" si="7"/>
        <v>1759460</v>
      </c>
      <c r="M422" s="7">
        <f t="shared" si="8"/>
        <v>1589483.279</v>
      </c>
      <c r="N422" s="7">
        <f t="shared" si="9"/>
        <v>179872</v>
      </c>
      <c r="O422" s="7">
        <f t="shared" si="13"/>
        <v>357742</v>
      </c>
      <c r="P422" s="7">
        <f t="shared" si="10"/>
        <v>945</v>
      </c>
      <c r="Q422" s="7">
        <f t="shared" si="11"/>
        <v>0.15</v>
      </c>
    </row>
    <row r="423">
      <c r="A423" s="4" t="s">
        <v>1191</v>
      </c>
      <c r="B423" s="4" t="s">
        <v>1192</v>
      </c>
      <c r="C423" s="4" t="s">
        <v>1193</v>
      </c>
      <c r="D423" s="5">
        <v>19603.0</v>
      </c>
      <c r="E423" s="7" t="str">
        <f t="shared" si="2"/>
        <v>D</v>
      </c>
      <c r="F423" s="7" t="str">
        <f t="shared" si="3"/>
        <v>B</v>
      </c>
      <c r="G423" s="7" t="str">
        <f t="shared" si="4"/>
        <v>Transformative change</v>
      </c>
      <c r="H423" s="7">
        <f t="shared" ref="H423:J423" si="432">ROUND(RAND(),2)</f>
        <v>0.35</v>
      </c>
      <c r="I423" s="7">
        <f t="shared" si="432"/>
        <v>0.23</v>
      </c>
      <c r="J423" s="7">
        <f t="shared" si="432"/>
        <v>0.47</v>
      </c>
      <c r="K423" s="7" t="str">
        <f t="shared" si="6"/>
        <v>High</v>
      </c>
      <c r="L423" s="7">
        <f t="shared" si="7"/>
        <v>2217560</v>
      </c>
      <c r="M423" s="7">
        <f t="shared" si="8"/>
        <v>682448.8183</v>
      </c>
      <c r="N423" s="7">
        <f t="shared" si="9"/>
        <v>78412</v>
      </c>
      <c r="O423" s="7">
        <f t="shared" si="13"/>
        <v>170359</v>
      </c>
      <c r="P423" s="7">
        <f t="shared" si="10"/>
        <v>985</v>
      </c>
      <c r="Q423" s="7">
        <f t="shared" si="11"/>
        <v>0.23</v>
      </c>
    </row>
    <row r="424">
      <c r="A424" s="4" t="s">
        <v>1194</v>
      </c>
      <c r="B424" s="4" t="s">
        <v>1195</v>
      </c>
      <c r="C424" s="4" t="s">
        <v>95</v>
      </c>
      <c r="D424" s="5">
        <v>349060.0</v>
      </c>
      <c r="E424" s="7" t="str">
        <f t="shared" si="2"/>
        <v>C</v>
      </c>
      <c r="F424" s="7" t="str">
        <f t="shared" si="3"/>
        <v>B</v>
      </c>
      <c r="G424" s="7" t="str">
        <f t="shared" si="4"/>
        <v>Transformative change</v>
      </c>
      <c r="H424" s="7">
        <f t="shared" ref="H424:J424" si="433">ROUND(RAND(),2)</f>
        <v>0.48</v>
      </c>
      <c r="I424" s="7">
        <f t="shared" si="433"/>
        <v>0.33</v>
      </c>
      <c r="J424" s="7">
        <f t="shared" si="433"/>
        <v>0.52</v>
      </c>
      <c r="K424" s="7" t="str">
        <f t="shared" si="6"/>
        <v>Low</v>
      </c>
      <c r="L424" s="7">
        <f t="shared" si="7"/>
        <v>3137017</v>
      </c>
      <c r="M424" s="7">
        <f t="shared" si="8"/>
        <v>765588.3974</v>
      </c>
      <c r="N424" s="7">
        <f t="shared" si="9"/>
        <v>4537780</v>
      </c>
      <c r="O424" s="7">
        <f t="shared" si="13"/>
        <v>4609021</v>
      </c>
      <c r="P424" s="7">
        <f t="shared" si="10"/>
        <v>12398.31</v>
      </c>
      <c r="Q424" s="7">
        <f t="shared" si="11"/>
        <v>0.24</v>
      </c>
    </row>
    <row r="425">
      <c r="A425" s="4" t="s">
        <v>1196</v>
      </c>
      <c r="B425" s="4" t="s">
        <v>1197</v>
      </c>
      <c r="C425" s="4" t="s">
        <v>1198</v>
      </c>
      <c r="D425" s="5">
        <v>66352.0</v>
      </c>
      <c r="E425" s="7" t="str">
        <f t="shared" si="2"/>
        <v>E</v>
      </c>
      <c r="F425" s="7" t="str">
        <f t="shared" si="3"/>
        <v>A</v>
      </c>
      <c r="G425" s="7" t="str">
        <f t="shared" si="4"/>
        <v>Transformative change</v>
      </c>
      <c r="H425" s="7">
        <f t="shared" ref="H425:J425" si="434">ROUND(RAND(),2)</f>
        <v>0.51</v>
      </c>
      <c r="I425" s="7">
        <f t="shared" si="434"/>
        <v>0.38</v>
      </c>
      <c r="J425" s="7">
        <f t="shared" si="434"/>
        <v>0.2</v>
      </c>
      <c r="K425" s="7" t="str">
        <f t="shared" si="6"/>
        <v>Low</v>
      </c>
      <c r="L425" s="7">
        <f t="shared" si="7"/>
        <v>1702828</v>
      </c>
      <c r="M425" s="7">
        <f t="shared" si="8"/>
        <v>1634623.863</v>
      </c>
      <c r="N425" s="7">
        <f t="shared" si="9"/>
        <v>995280</v>
      </c>
      <c r="O425" s="7">
        <f t="shared" si="13"/>
        <v>1022227</v>
      </c>
      <c r="P425" s="7">
        <f t="shared" si="10"/>
        <v>3965.26</v>
      </c>
      <c r="Q425" s="7">
        <f t="shared" si="11"/>
        <v>0.3</v>
      </c>
    </row>
    <row r="426">
      <c r="A426" s="4" t="s">
        <v>1199</v>
      </c>
      <c r="B426" s="4" t="s">
        <v>1200</v>
      </c>
      <c r="C426" s="4" t="s">
        <v>95</v>
      </c>
      <c r="D426" s="5">
        <v>8350.0</v>
      </c>
      <c r="E426" s="7" t="str">
        <f t="shared" si="2"/>
        <v>D</v>
      </c>
      <c r="F426" s="7" t="str">
        <f t="shared" si="3"/>
        <v>B</v>
      </c>
      <c r="G426" s="7" t="str">
        <f t="shared" si="4"/>
        <v>Transformative change</v>
      </c>
      <c r="H426" s="7">
        <f t="shared" ref="H426:J426" si="435">ROUND(RAND(),2)</f>
        <v>0.72</v>
      </c>
      <c r="I426" s="7">
        <f t="shared" si="435"/>
        <v>0.28</v>
      </c>
      <c r="J426" s="7">
        <f t="shared" si="435"/>
        <v>0</v>
      </c>
      <c r="K426" s="7" t="str">
        <f t="shared" si="6"/>
        <v>Low</v>
      </c>
      <c r="L426" s="7">
        <f t="shared" si="7"/>
        <v>1877658</v>
      </c>
      <c r="M426" s="7">
        <f t="shared" si="8"/>
        <v>404212.9897</v>
      </c>
      <c r="N426" s="7">
        <f t="shared" si="9"/>
        <v>66800</v>
      </c>
      <c r="O426" s="7">
        <f t="shared" si="13"/>
        <v>245296</v>
      </c>
      <c r="P426" s="7">
        <f t="shared" si="10"/>
        <v>916</v>
      </c>
      <c r="Q426" s="7">
        <f t="shared" si="11"/>
        <v>0.3</v>
      </c>
    </row>
    <row r="427">
      <c r="A427" s="4" t="s">
        <v>1201</v>
      </c>
      <c r="B427" s="4" t="s">
        <v>1202</v>
      </c>
      <c r="C427" s="4" t="s">
        <v>1203</v>
      </c>
      <c r="D427" s="5">
        <v>7531.0</v>
      </c>
      <c r="E427" s="7" t="str">
        <f t="shared" si="2"/>
        <v>A</v>
      </c>
      <c r="F427" s="7" t="str">
        <f t="shared" si="3"/>
        <v>A</v>
      </c>
      <c r="G427" s="7" t="str">
        <f t="shared" si="4"/>
        <v>Transformative change</v>
      </c>
      <c r="H427" s="7">
        <f t="shared" ref="H427:J427" si="436">ROUND(RAND(),2)</f>
        <v>0.81</v>
      </c>
      <c r="I427" s="7">
        <f t="shared" si="436"/>
        <v>0.91</v>
      </c>
      <c r="J427" s="7">
        <f t="shared" si="436"/>
        <v>0.87</v>
      </c>
      <c r="K427" s="7" t="str">
        <f t="shared" si="6"/>
        <v>High</v>
      </c>
      <c r="L427" s="7">
        <f t="shared" si="7"/>
        <v>202309</v>
      </c>
      <c r="M427" s="7">
        <f t="shared" si="8"/>
        <v>169158.8621</v>
      </c>
      <c r="N427" s="7">
        <f t="shared" si="9"/>
        <v>82841</v>
      </c>
      <c r="O427" s="7">
        <f t="shared" si="13"/>
        <v>150346</v>
      </c>
      <c r="P427" s="7">
        <f t="shared" si="10"/>
        <v>974</v>
      </c>
      <c r="Q427" s="7">
        <f t="shared" si="11"/>
        <v>0.13</v>
      </c>
    </row>
    <row r="428">
      <c r="A428" s="4" t="s">
        <v>1204</v>
      </c>
      <c r="B428" s="4" t="s">
        <v>1205</v>
      </c>
      <c r="C428" s="4" t="s">
        <v>1206</v>
      </c>
      <c r="D428" s="5">
        <v>15188.0</v>
      </c>
      <c r="E428" s="7" t="str">
        <f t="shared" si="2"/>
        <v>C</v>
      </c>
      <c r="F428" s="7" t="str">
        <f t="shared" si="3"/>
        <v>C</v>
      </c>
      <c r="G428" s="7" t="str">
        <f t="shared" si="4"/>
        <v>Transformative change</v>
      </c>
      <c r="H428" s="7">
        <f t="shared" ref="H428:J428" si="437">ROUND(RAND(),2)</f>
        <v>0.42</v>
      </c>
      <c r="I428" s="7">
        <f t="shared" si="437"/>
        <v>0.13</v>
      </c>
      <c r="J428" s="7">
        <f t="shared" si="437"/>
        <v>0.86</v>
      </c>
      <c r="K428" s="7" t="str">
        <f t="shared" si="6"/>
        <v>High</v>
      </c>
      <c r="L428" s="7">
        <f t="shared" si="7"/>
        <v>415352</v>
      </c>
      <c r="M428" s="7">
        <f t="shared" si="8"/>
        <v>186886.7725</v>
      </c>
      <c r="N428" s="7">
        <f t="shared" si="9"/>
        <v>91128</v>
      </c>
      <c r="O428" s="7">
        <f t="shared" si="13"/>
        <v>147187</v>
      </c>
      <c r="P428" s="7">
        <f t="shared" si="10"/>
        <v>1047</v>
      </c>
      <c r="Q428" s="7">
        <f t="shared" si="11"/>
        <v>0.22</v>
      </c>
    </row>
    <row r="429">
      <c r="A429" s="4" t="s">
        <v>1207</v>
      </c>
      <c r="B429" s="4" t="s">
        <v>1208</v>
      </c>
      <c r="C429" s="4" t="s">
        <v>95</v>
      </c>
      <c r="D429" s="5">
        <v>30767.0</v>
      </c>
      <c r="E429" s="7" t="str">
        <f t="shared" si="2"/>
        <v>D</v>
      </c>
      <c r="F429" s="7" t="str">
        <f t="shared" si="3"/>
        <v>B</v>
      </c>
      <c r="G429" s="7" t="str">
        <f t="shared" si="4"/>
        <v>Transformative change</v>
      </c>
      <c r="H429" s="7">
        <f t="shared" ref="H429:J429" si="438">ROUND(RAND(),2)</f>
        <v>0.94</v>
      </c>
      <c r="I429" s="7">
        <f t="shared" si="438"/>
        <v>0.69</v>
      </c>
      <c r="J429" s="7">
        <f t="shared" si="438"/>
        <v>0.25</v>
      </c>
      <c r="K429" s="7" t="str">
        <f t="shared" si="6"/>
        <v>Low</v>
      </c>
      <c r="L429" s="7">
        <f t="shared" si="7"/>
        <v>1279441</v>
      </c>
      <c r="M429" s="7">
        <f t="shared" si="8"/>
        <v>1056785.857</v>
      </c>
      <c r="N429" s="7">
        <f t="shared" si="9"/>
        <v>461505</v>
      </c>
      <c r="O429" s="7">
        <f t="shared" si="13"/>
        <v>595208</v>
      </c>
      <c r="P429" s="7">
        <f t="shared" si="10"/>
        <v>1538.35</v>
      </c>
      <c r="Q429" s="7">
        <f t="shared" si="11"/>
        <v>0.3</v>
      </c>
    </row>
    <row r="430">
      <c r="A430" s="4" t="s">
        <v>1209</v>
      </c>
      <c r="B430" s="4" t="s">
        <v>1195</v>
      </c>
      <c r="C430" s="4" t="s">
        <v>1210</v>
      </c>
      <c r="D430" s="5">
        <v>8720.0</v>
      </c>
      <c r="E430" s="7" t="str">
        <f t="shared" si="2"/>
        <v>D</v>
      </c>
      <c r="F430" s="7" t="str">
        <f t="shared" si="3"/>
        <v>C</v>
      </c>
      <c r="G430" s="7" t="str">
        <f t="shared" si="4"/>
        <v>High ambition</v>
      </c>
      <c r="H430" s="7">
        <f t="shared" ref="H430:J430" si="439">ROUND(RAND(),2)</f>
        <v>0.61</v>
      </c>
      <c r="I430" s="7">
        <f t="shared" si="439"/>
        <v>0.55</v>
      </c>
      <c r="J430" s="7">
        <f t="shared" si="439"/>
        <v>0.8</v>
      </c>
      <c r="K430" s="7" t="str">
        <f t="shared" si="6"/>
        <v>High</v>
      </c>
      <c r="L430" s="7">
        <f t="shared" si="7"/>
        <v>2410764</v>
      </c>
      <c r="M430" s="7">
        <f t="shared" si="8"/>
        <v>1047337.855</v>
      </c>
      <c r="N430" s="7">
        <f t="shared" si="9"/>
        <v>130800</v>
      </c>
      <c r="O430" s="7">
        <f t="shared" si="13"/>
        <v>282598</v>
      </c>
      <c r="P430" s="7">
        <f t="shared" si="10"/>
        <v>1021</v>
      </c>
      <c r="Q430" s="7">
        <f t="shared" si="11"/>
        <v>0.01</v>
      </c>
    </row>
    <row r="431">
      <c r="A431" s="4" t="s">
        <v>1211</v>
      </c>
      <c r="B431" s="4" t="s">
        <v>1212</v>
      </c>
      <c r="C431" s="4" t="s">
        <v>1213</v>
      </c>
      <c r="D431" s="5">
        <v>5872.0</v>
      </c>
      <c r="E431" s="7" t="str">
        <f t="shared" si="2"/>
        <v>E</v>
      </c>
      <c r="F431" s="7" t="str">
        <f t="shared" si="3"/>
        <v>C</v>
      </c>
      <c r="G431" s="7" t="str">
        <f t="shared" si="4"/>
        <v>Transformative change</v>
      </c>
      <c r="H431" s="7">
        <f t="shared" ref="H431:J431" si="440">ROUND(RAND(),2)</f>
        <v>0.27</v>
      </c>
      <c r="I431" s="7">
        <f t="shared" si="440"/>
        <v>0.12</v>
      </c>
      <c r="J431" s="7">
        <f t="shared" si="440"/>
        <v>0.54</v>
      </c>
      <c r="K431" s="7" t="str">
        <f t="shared" si="6"/>
        <v>High</v>
      </c>
      <c r="L431" s="7">
        <f t="shared" si="7"/>
        <v>48428</v>
      </c>
      <c r="M431" s="7">
        <f t="shared" si="8"/>
        <v>36351.6931</v>
      </c>
      <c r="N431" s="7">
        <f t="shared" si="9"/>
        <v>29360</v>
      </c>
      <c r="O431" s="7">
        <f t="shared" si="13"/>
        <v>33888</v>
      </c>
      <c r="P431" s="7">
        <f t="shared" si="10"/>
        <v>1046</v>
      </c>
      <c r="Q431" s="7">
        <f t="shared" si="11"/>
        <v>0.29</v>
      </c>
    </row>
    <row r="432">
      <c r="A432" s="4" t="s">
        <v>1214</v>
      </c>
      <c r="B432" s="4" t="s">
        <v>1215</v>
      </c>
      <c r="C432" s="4" t="s">
        <v>95</v>
      </c>
      <c r="D432" s="5">
        <v>17068.0</v>
      </c>
      <c r="E432" s="7" t="str">
        <f t="shared" si="2"/>
        <v>F</v>
      </c>
      <c r="F432" s="7" t="str">
        <f t="shared" si="3"/>
        <v>B</v>
      </c>
      <c r="G432" s="7" t="str">
        <f t="shared" si="4"/>
        <v>High ambition</v>
      </c>
      <c r="H432" s="7">
        <f t="shared" ref="H432:J432" si="441">ROUND(RAND(),2)</f>
        <v>0.64</v>
      </c>
      <c r="I432" s="7">
        <f t="shared" si="441"/>
        <v>0.51</v>
      </c>
      <c r="J432" s="7">
        <f t="shared" si="441"/>
        <v>0.72</v>
      </c>
      <c r="K432" s="7" t="str">
        <f t="shared" si="6"/>
        <v>Medium</v>
      </c>
      <c r="L432" s="7">
        <f t="shared" si="7"/>
        <v>3016620</v>
      </c>
      <c r="M432" s="7">
        <f t="shared" si="8"/>
        <v>1077631.238</v>
      </c>
      <c r="N432" s="7">
        <f t="shared" si="9"/>
        <v>221884</v>
      </c>
      <c r="O432" s="7">
        <f t="shared" si="13"/>
        <v>261183</v>
      </c>
      <c r="P432" s="7">
        <f t="shared" si="10"/>
        <v>908</v>
      </c>
      <c r="Q432" s="7">
        <f t="shared" si="11"/>
        <v>0.05</v>
      </c>
    </row>
    <row r="433">
      <c r="A433" s="4" t="s">
        <v>1216</v>
      </c>
      <c r="B433" s="4" t="s">
        <v>1217</v>
      </c>
      <c r="C433" s="4" t="s">
        <v>1218</v>
      </c>
      <c r="D433" s="5">
        <v>11905.0</v>
      </c>
      <c r="E433" s="7" t="str">
        <f t="shared" si="2"/>
        <v>A</v>
      </c>
      <c r="F433" s="7" t="str">
        <f t="shared" si="3"/>
        <v>B</v>
      </c>
      <c r="G433" s="7" t="str">
        <f t="shared" si="4"/>
        <v>High ambition</v>
      </c>
      <c r="H433" s="7">
        <f t="shared" ref="H433:J433" si="442">ROUND(RAND(),2)</f>
        <v>0.71</v>
      </c>
      <c r="I433" s="7">
        <f t="shared" si="442"/>
        <v>0.14</v>
      </c>
      <c r="J433" s="7">
        <f t="shared" si="442"/>
        <v>0.92</v>
      </c>
      <c r="K433" s="7" t="str">
        <f t="shared" si="6"/>
        <v>Low</v>
      </c>
      <c r="L433" s="7">
        <f t="shared" si="7"/>
        <v>3214113</v>
      </c>
      <c r="M433" s="7">
        <f t="shared" si="8"/>
        <v>2722937.985</v>
      </c>
      <c r="N433" s="7">
        <f t="shared" si="9"/>
        <v>119050</v>
      </c>
      <c r="O433" s="7">
        <f t="shared" si="13"/>
        <v>182452</v>
      </c>
      <c r="P433" s="7">
        <f t="shared" si="10"/>
        <v>1020</v>
      </c>
      <c r="Q433" s="7">
        <f t="shared" si="11"/>
        <v>0.26</v>
      </c>
    </row>
    <row r="434">
      <c r="A434" s="4" t="s">
        <v>1219</v>
      </c>
      <c r="B434" s="4" t="s">
        <v>1220</v>
      </c>
      <c r="C434" s="4" t="s">
        <v>1221</v>
      </c>
      <c r="D434" s="5">
        <v>7566.0</v>
      </c>
      <c r="E434" s="7" t="str">
        <f t="shared" si="2"/>
        <v>D</v>
      </c>
      <c r="F434" s="7" t="str">
        <f t="shared" si="3"/>
        <v>B</v>
      </c>
      <c r="G434" s="7" t="str">
        <f t="shared" si="4"/>
        <v>High ambition</v>
      </c>
      <c r="H434" s="7">
        <f t="shared" ref="H434:J434" si="443">ROUND(RAND(),2)</f>
        <v>0.31</v>
      </c>
      <c r="I434" s="7">
        <f t="shared" si="443"/>
        <v>0.69</v>
      </c>
      <c r="J434" s="7">
        <f t="shared" si="443"/>
        <v>0.69</v>
      </c>
      <c r="K434" s="7" t="str">
        <f t="shared" si="6"/>
        <v>High</v>
      </c>
      <c r="L434" s="7">
        <f t="shared" si="7"/>
        <v>1498755</v>
      </c>
      <c r="M434" s="7">
        <f t="shared" si="8"/>
        <v>1322708.688</v>
      </c>
      <c r="N434" s="7">
        <f t="shared" si="9"/>
        <v>52962</v>
      </c>
      <c r="O434" s="7">
        <f t="shared" si="13"/>
        <v>206275</v>
      </c>
      <c r="P434" s="7">
        <f t="shared" si="10"/>
        <v>928</v>
      </c>
      <c r="Q434" s="7">
        <f t="shared" si="11"/>
        <v>0.27</v>
      </c>
    </row>
    <row r="435">
      <c r="A435" s="4" t="s">
        <v>1222</v>
      </c>
      <c r="B435" s="4" t="s">
        <v>1223</v>
      </c>
      <c r="C435" s="4" t="s">
        <v>1224</v>
      </c>
      <c r="D435" s="5">
        <v>734141.0</v>
      </c>
      <c r="E435" s="7" t="str">
        <f t="shared" si="2"/>
        <v>G</v>
      </c>
      <c r="F435" s="7" t="str">
        <f t="shared" si="3"/>
        <v>C</v>
      </c>
      <c r="G435" s="7" t="str">
        <f t="shared" si="4"/>
        <v>Transformative change</v>
      </c>
      <c r="H435" s="7">
        <f t="shared" ref="H435:J435" si="444">ROUND(RAND(),2)</f>
        <v>0.59</v>
      </c>
      <c r="I435" s="7">
        <f t="shared" si="444"/>
        <v>0.04</v>
      </c>
      <c r="J435" s="7">
        <f t="shared" si="444"/>
        <v>0.05</v>
      </c>
      <c r="K435" s="7" t="str">
        <f t="shared" si="6"/>
        <v>High</v>
      </c>
      <c r="L435" s="7">
        <f t="shared" si="7"/>
        <v>149987</v>
      </c>
      <c r="M435" s="7">
        <f t="shared" si="8"/>
        <v>138764.5579</v>
      </c>
      <c r="N435" s="7">
        <f t="shared" si="9"/>
        <v>5138987</v>
      </c>
      <c r="O435" s="7">
        <f t="shared" si="13"/>
        <v>5218312</v>
      </c>
      <c r="P435" s="7">
        <f t="shared" si="10"/>
        <v>146828.2</v>
      </c>
      <c r="Q435" s="7">
        <f t="shared" si="11"/>
        <v>0.17</v>
      </c>
    </row>
    <row r="436">
      <c r="A436" s="4" t="s">
        <v>1225</v>
      </c>
      <c r="B436" s="4" t="s">
        <v>1226</v>
      </c>
      <c r="C436" s="4" t="s">
        <v>95</v>
      </c>
      <c r="D436" s="5">
        <v>866873.0</v>
      </c>
      <c r="E436" s="7" t="str">
        <f t="shared" si="2"/>
        <v>F</v>
      </c>
      <c r="F436" s="7" t="str">
        <f t="shared" si="3"/>
        <v>C</v>
      </c>
      <c r="G436" s="7" t="str">
        <f t="shared" si="4"/>
        <v>Transformative change</v>
      </c>
      <c r="H436" s="7">
        <f t="shared" ref="H436:J436" si="445">ROUND(RAND(),2)</f>
        <v>0.91</v>
      </c>
      <c r="I436" s="7">
        <f t="shared" si="445"/>
        <v>0.52</v>
      </c>
      <c r="J436" s="7">
        <f t="shared" si="445"/>
        <v>0.8</v>
      </c>
      <c r="K436" s="7" t="str">
        <f t="shared" si="6"/>
        <v>Medium</v>
      </c>
      <c r="L436" s="7">
        <f t="shared" si="7"/>
        <v>2637328</v>
      </c>
      <c r="M436" s="7">
        <f t="shared" si="8"/>
        <v>522838.7905</v>
      </c>
      <c r="N436" s="7">
        <f t="shared" si="9"/>
        <v>12136222</v>
      </c>
      <c r="O436" s="7">
        <f t="shared" si="13"/>
        <v>12155386</v>
      </c>
      <c r="P436" s="7">
        <f t="shared" si="10"/>
        <v>62557.85</v>
      </c>
      <c r="Q436" s="7">
        <f t="shared" si="11"/>
        <v>0.3</v>
      </c>
    </row>
    <row r="437">
      <c r="A437" s="4" t="s">
        <v>1227</v>
      </c>
      <c r="B437" s="4" t="s">
        <v>1228</v>
      </c>
      <c r="C437" s="4" t="s">
        <v>1229</v>
      </c>
      <c r="D437" s="5">
        <v>44856.0</v>
      </c>
      <c r="E437" s="7" t="str">
        <f t="shared" si="2"/>
        <v>C</v>
      </c>
      <c r="F437" s="7" t="str">
        <f t="shared" si="3"/>
        <v>C</v>
      </c>
      <c r="G437" s="7" t="str">
        <f t="shared" si="4"/>
        <v>Transformative change</v>
      </c>
      <c r="H437" s="7">
        <f t="shared" ref="H437:J437" si="446">ROUND(RAND(),2)</f>
        <v>0.69</v>
      </c>
      <c r="I437" s="7">
        <f t="shared" si="446"/>
        <v>0.86</v>
      </c>
      <c r="J437" s="7">
        <f t="shared" si="446"/>
        <v>0.77</v>
      </c>
      <c r="K437" s="7" t="str">
        <f t="shared" si="6"/>
        <v>High</v>
      </c>
      <c r="L437" s="7">
        <f t="shared" si="7"/>
        <v>1789313</v>
      </c>
      <c r="M437" s="7">
        <f t="shared" si="8"/>
        <v>643669.9484</v>
      </c>
      <c r="N437" s="7">
        <f t="shared" si="9"/>
        <v>672840</v>
      </c>
      <c r="O437" s="7">
        <f t="shared" si="13"/>
        <v>679921</v>
      </c>
      <c r="P437" s="7">
        <f t="shared" si="10"/>
        <v>3398.18</v>
      </c>
      <c r="Q437" s="7">
        <f t="shared" si="11"/>
        <v>0.01</v>
      </c>
    </row>
    <row r="438">
      <c r="A438" s="4" t="s">
        <v>1230</v>
      </c>
      <c r="B438" s="4" t="s">
        <v>1231</v>
      </c>
      <c r="C438" s="4" t="s">
        <v>1232</v>
      </c>
      <c r="D438" s="5">
        <v>79811.0</v>
      </c>
      <c r="E438" s="7" t="str">
        <f t="shared" si="2"/>
        <v>F</v>
      </c>
      <c r="F438" s="7" t="str">
        <f t="shared" si="3"/>
        <v>C</v>
      </c>
      <c r="G438" s="7" t="str">
        <f t="shared" si="4"/>
        <v>Transformative change</v>
      </c>
      <c r="H438" s="7">
        <f t="shared" ref="H438:J438" si="447">ROUND(RAND(),2)</f>
        <v>0.65</v>
      </c>
      <c r="I438" s="7">
        <f t="shared" si="447"/>
        <v>0.63</v>
      </c>
      <c r="J438" s="7">
        <f t="shared" si="447"/>
        <v>0.98</v>
      </c>
      <c r="K438" s="7" t="str">
        <f t="shared" si="6"/>
        <v>High</v>
      </c>
      <c r="L438" s="7">
        <f t="shared" si="7"/>
        <v>1133866</v>
      </c>
      <c r="M438" s="7">
        <f t="shared" si="8"/>
        <v>386190.4609</v>
      </c>
      <c r="N438" s="7">
        <f t="shared" si="9"/>
        <v>1197165</v>
      </c>
      <c r="O438" s="7">
        <f t="shared" si="13"/>
        <v>1266634</v>
      </c>
      <c r="P438" s="7">
        <f t="shared" si="10"/>
        <v>3741.14</v>
      </c>
      <c r="Q438" s="7">
        <f t="shared" si="11"/>
        <v>0.26</v>
      </c>
    </row>
    <row r="439">
      <c r="A439" s="4" t="s">
        <v>1233</v>
      </c>
      <c r="B439" s="4" t="s">
        <v>1234</v>
      </c>
      <c r="C439" s="4" t="s">
        <v>1235</v>
      </c>
      <c r="D439" s="5">
        <v>7761.0</v>
      </c>
      <c r="E439" s="7" t="str">
        <f t="shared" si="2"/>
        <v>E</v>
      </c>
      <c r="F439" s="7" t="str">
        <f t="shared" si="3"/>
        <v>A</v>
      </c>
      <c r="G439" s="7" t="str">
        <f t="shared" si="4"/>
        <v>Transformative change</v>
      </c>
      <c r="H439" s="7">
        <f t="shared" ref="H439:J439" si="448">ROUND(RAND(),2)</f>
        <v>0.28</v>
      </c>
      <c r="I439" s="7">
        <f t="shared" si="448"/>
        <v>0.36</v>
      </c>
      <c r="J439" s="7">
        <f t="shared" si="448"/>
        <v>0.75</v>
      </c>
      <c r="K439" s="7" t="str">
        <f t="shared" si="6"/>
        <v>High</v>
      </c>
      <c r="L439" s="7">
        <f t="shared" si="7"/>
        <v>2021069</v>
      </c>
      <c r="M439" s="7">
        <f t="shared" si="8"/>
        <v>829338.2887</v>
      </c>
      <c r="N439" s="7">
        <f t="shared" si="9"/>
        <v>108654</v>
      </c>
      <c r="O439" s="7">
        <f t="shared" si="13"/>
        <v>187940</v>
      </c>
      <c r="P439" s="7">
        <f t="shared" si="10"/>
        <v>855</v>
      </c>
      <c r="Q439" s="7">
        <f t="shared" si="11"/>
        <v>0.3</v>
      </c>
    </row>
    <row r="440">
      <c r="A440" s="4" t="s">
        <v>1236</v>
      </c>
      <c r="B440" s="4" t="s">
        <v>1237</v>
      </c>
      <c r="C440" s="4" t="s">
        <v>95</v>
      </c>
      <c r="D440" s="5">
        <v>8653.0</v>
      </c>
      <c r="E440" s="7" t="str">
        <f t="shared" si="2"/>
        <v>E</v>
      </c>
      <c r="F440" s="7" t="str">
        <f t="shared" si="3"/>
        <v>A</v>
      </c>
      <c r="G440" s="7" t="str">
        <f t="shared" si="4"/>
        <v>Transformative change</v>
      </c>
      <c r="H440" s="7">
        <f t="shared" ref="H440:J440" si="449">ROUND(RAND(),2)</f>
        <v>0.51</v>
      </c>
      <c r="I440" s="7">
        <f t="shared" si="449"/>
        <v>0.31</v>
      </c>
      <c r="J440" s="7">
        <f t="shared" si="449"/>
        <v>0.95</v>
      </c>
      <c r="K440" s="7" t="str">
        <f t="shared" si="6"/>
        <v>Low</v>
      </c>
      <c r="L440" s="7">
        <f t="shared" si="7"/>
        <v>2112317</v>
      </c>
      <c r="M440" s="7">
        <f t="shared" si="8"/>
        <v>95664.36046</v>
      </c>
      <c r="N440" s="7">
        <f t="shared" si="9"/>
        <v>34612</v>
      </c>
      <c r="O440" s="7">
        <f t="shared" si="13"/>
        <v>37074</v>
      </c>
      <c r="P440" s="7">
        <f t="shared" si="10"/>
        <v>930</v>
      </c>
      <c r="Q440" s="7">
        <f t="shared" si="11"/>
        <v>0.17</v>
      </c>
    </row>
    <row r="441">
      <c r="A441" s="4" t="s">
        <v>1238</v>
      </c>
      <c r="B441" s="4" t="s">
        <v>1239</v>
      </c>
      <c r="C441" s="4" t="s">
        <v>1240</v>
      </c>
      <c r="D441" s="5">
        <v>7791.0</v>
      </c>
      <c r="E441" s="7" t="str">
        <f t="shared" si="2"/>
        <v>A</v>
      </c>
      <c r="F441" s="7" t="str">
        <f t="shared" si="3"/>
        <v>A</v>
      </c>
      <c r="G441" s="7" t="str">
        <f t="shared" si="4"/>
        <v>Transformative change</v>
      </c>
      <c r="H441" s="7">
        <f t="shared" ref="H441:J441" si="450">ROUND(RAND(),2)</f>
        <v>0.35</v>
      </c>
      <c r="I441" s="7">
        <f t="shared" si="450"/>
        <v>0.67</v>
      </c>
      <c r="J441" s="7">
        <f t="shared" si="450"/>
        <v>0.99</v>
      </c>
      <c r="K441" s="7" t="str">
        <f t="shared" si="6"/>
        <v>Low</v>
      </c>
      <c r="L441" s="7">
        <f t="shared" si="7"/>
        <v>2040594</v>
      </c>
      <c r="M441" s="7">
        <f t="shared" si="8"/>
        <v>1579119.529</v>
      </c>
      <c r="N441" s="7">
        <f t="shared" si="9"/>
        <v>70119</v>
      </c>
      <c r="O441" s="7">
        <f t="shared" si="13"/>
        <v>94748</v>
      </c>
      <c r="P441" s="7">
        <f t="shared" si="10"/>
        <v>1052</v>
      </c>
      <c r="Q441" s="7">
        <f t="shared" si="11"/>
        <v>0.28</v>
      </c>
    </row>
    <row r="442">
      <c r="A442" s="4" t="s">
        <v>1241</v>
      </c>
      <c r="B442" s="4" t="s">
        <v>1242</v>
      </c>
      <c r="C442" s="4" t="s">
        <v>1243</v>
      </c>
      <c r="D442" s="5">
        <v>17131.0</v>
      </c>
      <c r="E442" s="7" t="str">
        <f t="shared" si="2"/>
        <v>D</v>
      </c>
      <c r="F442" s="7" t="str">
        <f t="shared" si="3"/>
        <v>B</v>
      </c>
      <c r="G442" s="7" t="str">
        <f t="shared" si="4"/>
        <v>Transformative change</v>
      </c>
      <c r="H442" s="7">
        <f t="shared" ref="H442:J442" si="451">ROUND(RAND(),2)</f>
        <v>0.73</v>
      </c>
      <c r="I442" s="7">
        <f t="shared" si="451"/>
        <v>0.64</v>
      </c>
      <c r="J442" s="7">
        <f t="shared" si="451"/>
        <v>0.94</v>
      </c>
      <c r="K442" s="7" t="str">
        <f t="shared" si="6"/>
        <v>Low</v>
      </c>
      <c r="L442" s="7">
        <f t="shared" si="7"/>
        <v>2925938</v>
      </c>
      <c r="M442" s="7">
        <f t="shared" si="8"/>
        <v>630225.1937</v>
      </c>
      <c r="N442" s="7">
        <f t="shared" si="9"/>
        <v>256965</v>
      </c>
      <c r="O442" s="7">
        <f t="shared" si="13"/>
        <v>434073</v>
      </c>
      <c r="P442" s="7">
        <f t="shared" si="10"/>
        <v>886</v>
      </c>
      <c r="Q442" s="7">
        <f t="shared" si="11"/>
        <v>0.1</v>
      </c>
    </row>
    <row r="443">
      <c r="A443" s="4" t="s">
        <v>1244</v>
      </c>
      <c r="B443" s="4" t="s">
        <v>1245</v>
      </c>
      <c r="C443" s="4" t="s">
        <v>1246</v>
      </c>
      <c r="D443" s="5">
        <v>483341.0</v>
      </c>
      <c r="E443" s="7" t="str">
        <f t="shared" si="2"/>
        <v>C</v>
      </c>
      <c r="F443" s="7" t="str">
        <f t="shared" si="3"/>
        <v>B</v>
      </c>
      <c r="G443" s="7" t="str">
        <f t="shared" si="4"/>
        <v>Transformative change</v>
      </c>
      <c r="H443" s="7">
        <f t="shared" ref="H443:J443" si="452">ROUND(RAND(),2)</f>
        <v>0.96</v>
      </c>
      <c r="I443" s="7">
        <f t="shared" si="452"/>
        <v>0.37</v>
      </c>
      <c r="J443" s="7">
        <f t="shared" si="452"/>
        <v>0.72</v>
      </c>
      <c r="K443" s="7" t="str">
        <f t="shared" si="6"/>
        <v>High</v>
      </c>
      <c r="L443" s="7">
        <f t="shared" si="7"/>
        <v>2504100</v>
      </c>
      <c r="M443" s="7">
        <f t="shared" si="8"/>
        <v>1984241.429</v>
      </c>
      <c r="N443" s="7">
        <f t="shared" si="9"/>
        <v>4833410</v>
      </c>
      <c r="O443" s="7">
        <f t="shared" si="13"/>
        <v>4958783</v>
      </c>
      <c r="P443" s="7">
        <f t="shared" si="10"/>
        <v>29116.93</v>
      </c>
      <c r="Q443" s="7">
        <f t="shared" si="11"/>
        <v>0.05</v>
      </c>
    </row>
    <row r="444">
      <c r="A444" s="4" t="s">
        <v>1247</v>
      </c>
      <c r="B444" s="4" t="s">
        <v>1248</v>
      </c>
      <c r="C444" s="4" t="s">
        <v>1249</v>
      </c>
      <c r="D444" s="5">
        <v>7144.0</v>
      </c>
      <c r="E444" s="7" t="str">
        <f t="shared" si="2"/>
        <v>F</v>
      </c>
      <c r="F444" s="7" t="str">
        <f t="shared" si="3"/>
        <v>C</v>
      </c>
      <c r="G444" s="7" t="str">
        <f t="shared" si="4"/>
        <v>Transformative change</v>
      </c>
      <c r="H444" s="7">
        <f t="shared" ref="H444:J444" si="453">ROUND(RAND(),2)</f>
        <v>0.35</v>
      </c>
      <c r="I444" s="7">
        <f t="shared" si="453"/>
        <v>0.74</v>
      </c>
      <c r="J444" s="7">
        <f t="shared" si="453"/>
        <v>0.56</v>
      </c>
      <c r="K444" s="7" t="str">
        <f t="shared" si="6"/>
        <v>Medium</v>
      </c>
      <c r="L444" s="7">
        <f t="shared" si="7"/>
        <v>2266848</v>
      </c>
      <c r="M444" s="7">
        <f t="shared" si="8"/>
        <v>1203862.112</v>
      </c>
      <c r="N444" s="7">
        <f t="shared" si="9"/>
        <v>107160</v>
      </c>
      <c r="O444" s="7">
        <f t="shared" si="13"/>
        <v>137621</v>
      </c>
      <c r="P444" s="7">
        <f t="shared" si="10"/>
        <v>931</v>
      </c>
      <c r="Q444" s="7">
        <f t="shared" si="11"/>
        <v>0.13</v>
      </c>
    </row>
    <row r="445">
      <c r="A445" s="4" t="s">
        <v>222</v>
      </c>
      <c r="B445" s="4" t="s">
        <v>1250</v>
      </c>
      <c r="C445" s="4" t="s">
        <v>1251</v>
      </c>
      <c r="D445" s="5">
        <v>91903.0</v>
      </c>
      <c r="E445" s="7" t="str">
        <f t="shared" si="2"/>
        <v>F</v>
      </c>
      <c r="F445" s="7" t="str">
        <f t="shared" si="3"/>
        <v>A</v>
      </c>
      <c r="G445" s="7" t="str">
        <f t="shared" si="4"/>
        <v>Transformative change</v>
      </c>
      <c r="H445" s="7">
        <f t="shared" ref="H445:J445" si="454">ROUND(RAND(),2)</f>
        <v>0.27</v>
      </c>
      <c r="I445" s="7">
        <f t="shared" si="454"/>
        <v>0.79</v>
      </c>
      <c r="J445" s="7">
        <f t="shared" si="454"/>
        <v>0.35</v>
      </c>
      <c r="K445" s="7" t="str">
        <f t="shared" si="6"/>
        <v>High</v>
      </c>
      <c r="L445" s="7">
        <f t="shared" si="7"/>
        <v>2376821</v>
      </c>
      <c r="M445" s="7">
        <f t="shared" si="8"/>
        <v>817512.3835</v>
      </c>
      <c r="N445" s="7">
        <f t="shared" si="9"/>
        <v>1378545</v>
      </c>
      <c r="O445" s="7">
        <f t="shared" si="13"/>
        <v>1451525</v>
      </c>
      <c r="P445" s="7">
        <f t="shared" si="10"/>
        <v>11487.88</v>
      </c>
      <c r="Q445" s="7">
        <f t="shared" si="11"/>
        <v>0.01</v>
      </c>
    </row>
    <row r="446">
      <c r="A446" s="4" t="s">
        <v>1252</v>
      </c>
      <c r="B446" s="4" t="s">
        <v>1253</v>
      </c>
      <c r="C446" s="4" t="s">
        <v>95</v>
      </c>
      <c r="D446" s="5">
        <v>10233.0</v>
      </c>
      <c r="E446" s="7" t="str">
        <f t="shared" si="2"/>
        <v>E</v>
      </c>
      <c r="F446" s="7" t="str">
        <f t="shared" si="3"/>
        <v>A</v>
      </c>
      <c r="G446" s="7" t="str">
        <f t="shared" si="4"/>
        <v>Transformative change</v>
      </c>
      <c r="H446" s="7">
        <f t="shared" ref="H446:J446" si="455">ROUND(RAND(),2)</f>
        <v>0.27</v>
      </c>
      <c r="I446" s="7">
        <f t="shared" si="455"/>
        <v>0.95</v>
      </c>
      <c r="J446" s="7">
        <f t="shared" si="455"/>
        <v>0.99</v>
      </c>
      <c r="K446" s="7" t="str">
        <f t="shared" si="6"/>
        <v>Medium</v>
      </c>
      <c r="L446" s="7">
        <f t="shared" si="7"/>
        <v>1181282</v>
      </c>
      <c r="M446" s="7">
        <f t="shared" si="8"/>
        <v>891213.8021</v>
      </c>
      <c r="N446" s="7">
        <f t="shared" si="9"/>
        <v>122796</v>
      </c>
      <c r="O446" s="7">
        <f t="shared" si="13"/>
        <v>208690</v>
      </c>
      <c r="P446" s="7">
        <f t="shared" si="10"/>
        <v>1070</v>
      </c>
      <c r="Q446" s="7">
        <f t="shared" si="11"/>
        <v>0.23</v>
      </c>
    </row>
    <row r="447">
      <c r="A447" s="4" t="s">
        <v>1254</v>
      </c>
      <c r="B447" s="4" t="s">
        <v>1255</v>
      </c>
      <c r="C447" s="4" t="s">
        <v>1256</v>
      </c>
      <c r="D447" s="5">
        <v>18442.0</v>
      </c>
      <c r="E447" s="7" t="str">
        <f t="shared" si="2"/>
        <v>F</v>
      </c>
      <c r="F447" s="7" t="str">
        <f t="shared" si="3"/>
        <v>B</v>
      </c>
      <c r="G447" s="7" t="str">
        <f t="shared" si="4"/>
        <v>High ambition</v>
      </c>
      <c r="H447" s="7">
        <f t="shared" ref="H447:J447" si="456">ROUND(RAND(),2)</f>
        <v>0.42</v>
      </c>
      <c r="I447" s="7">
        <f t="shared" si="456"/>
        <v>0.26</v>
      </c>
      <c r="J447" s="7">
        <f t="shared" si="456"/>
        <v>0.41</v>
      </c>
      <c r="K447" s="7" t="str">
        <f t="shared" si="6"/>
        <v>High</v>
      </c>
      <c r="L447" s="7">
        <f t="shared" si="7"/>
        <v>566405</v>
      </c>
      <c r="M447" s="7">
        <f t="shared" si="8"/>
        <v>80973.74097</v>
      </c>
      <c r="N447" s="7">
        <f t="shared" si="9"/>
        <v>184420</v>
      </c>
      <c r="O447" s="7">
        <f t="shared" si="13"/>
        <v>253226</v>
      </c>
      <c r="P447" s="7">
        <f t="shared" si="10"/>
        <v>890.92</v>
      </c>
      <c r="Q447" s="7">
        <f t="shared" si="11"/>
        <v>0.15</v>
      </c>
    </row>
    <row r="448">
      <c r="A448" s="4" t="s">
        <v>1257</v>
      </c>
      <c r="B448" s="4" t="s">
        <v>1258</v>
      </c>
      <c r="C448" s="4" t="s">
        <v>1259</v>
      </c>
      <c r="D448" s="5">
        <v>65892.0</v>
      </c>
      <c r="E448" s="7" t="str">
        <f t="shared" si="2"/>
        <v>A</v>
      </c>
      <c r="F448" s="7" t="str">
        <f t="shared" si="3"/>
        <v>C</v>
      </c>
      <c r="G448" s="7" t="str">
        <f t="shared" si="4"/>
        <v>High ambition</v>
      </c>
      <c r="H448" s="7">
        <f t="shared" ref="H448:J448" si="457">ROUND(RAND(),2)</f>
        <v>0.93</v>
      </c>
      <c r="I448" s="7">
        <f t="shared" si="457"/>
        <v>0.86</v>
      </c>
      <c r="J448" s="7">
        <f t="shared" si="457"/>
        <v>0.55</v>
      </c>
      <c r="K448" s="7" t="str">
        <f t="shared" si="6"/>
        <v>Low</v>
      </c>
      <c r="L448" s="7">
        <f t="shared" si="7"/>
        <v>1141023</v>
      </c>
      <c r="M448" s="7">
        <f t="shared" si="8"/>
        <v>1032558.966</v>
      </c>
      <c r="N448" s="7">
        <f t="shared" si="9"/>
        <v>527136</v>
      </c>
      <c r="O448" s="7">
        <f t="shared" si="13"/>
        <v>583570</v>
      </c>
      <c r="P448" s="7">
        <f t="shared" si="10"/>
        <v>2912.35</v>
      </c>
      <c r="Q448" s="7">
        <f t="shared" si="11"/>
        <v>0.17</v>
      </c>
    </row>
    <row r="449">
      <c r="A449" s="4" t="s">
        <v>1260</v>
      </c>
      <c r="B449" s="4" t="s">
        <v>1261</v>
      </c>
      <c r="C449" s="4" t="s">
        <v>95</v>
      </c>
      <c r="D449" s="5">
        <v>12813.0</v>
      </c>
      <c r="E449" s="7" t="str">
        <f t="shared" si="2"/>
        <v>C</v>
      </c>
      <c r="F449" s="7" t="str">
        <f t="shared" si="3"/>
        <v>B</v>
      </c>
      <c r="G449" s="7" t="str">
        <f t="shared" si="4"/>
        <v>Transformative change</v>
      </c>
      <c r="H449" s="7">
        <f t="shared" ref="H449:J449" si="458">ROUND(RAND(),2)</f>
        <v>0.86</v>
      </c>
      <c r="I449" s="7">
        <f t="shared" si="458"/>
        <v>0.49</v>
      </c>
      <c r="J449" s="7">
        <f t="shared" si="458"/>
        <v>0.21</v>
      </c>
      <c r="K449" s="7" t="str">
        <f t="shared" si="6"/>
        <v>High</v>
      </c>
      <c r="L449" s="7">
        <f t="shared" si="7"/>
        <v>2516230</v>
      </c>
      <c r="M449" s="7">
        <f t="shared" si="8"/>
        <v>2447523.226</v>
      </c>
      <c r="N449" s="7">
        <f t="shared" si="9"/>
        <v>102504</v>
      </c>
      <c r="O449" s="7">
        <f t="shared" si="13"/>
        <v>211417</v>
      </c>
      <c r="P449" s="7">
        <f t="shared" si="10"/>
        <v>1093</v>
      </c>
      <c r="Q449" s="7">
        <f t="shared" si="11"/>
        <v>0.12</v>
      </c>
    </row>
    <row r="450">
      <c r="A450" s="4" t="s">
        <v>323</v>
      </c>
      <c r="B450" s="4" t="s">
        <v>1262</v>
      </c>
      <c r="C450" s="4" t="s">
        <v>1263</v>
      </c>
      <c r="D450" s="5">
        <v>18154.0</v>
      </c>
      <c r="E450" s="7" t="str">
        <f t="shared" si="2"/>
        <v>A</v>
      </c>
      <c r="F450" s="7" t="str">
        <f t="shared" si="3"/>
        <v>A</v>
      </c>
      <c r="G450" s="7" t="str">
        <f t="shared" si="4"/>
        <v>Transformative change</v>
      </c>
      <c r="H450" s="7">
        <f t="shared" ref="H450:J450" si="459">ROUND(RAND(),2)</f>
        <v>0.69</v>
      </c>
      <c r="I450" s="7">
        <f t="shared" si="459"/>
        <v>0.45</v>
      </c>
      <c r="J450" s="7">
        <f t="shared" si="459"/>
        <v>0.88</v>
      </c>
      <c r="K450" s="7" t="str">
        <f t="shared" si="6"/>
        <v>Medium</v>
      </c>
      <c r="L450" s="7">
        <f t="shared" si="7"/>
        <v>690214</v>
      </c>
      <c r="M450" s="7">
        <f t="shared" si="8"/>
        <v>480652.5989</v>
      </c>
      <c r="N450" s="7">
        <f t="shared" si="9"/>
        <v>272310</v>
      </c>
      <c r="O450" s="7">
        <f t="shared" si="13"/>
        <v>430213</v>
      </c>
      <c r="P450" s="7">
        <f t="shared" si="10"/>
        <v>775.81</v>
      </c>
      <c r="Q450" s="7">
        <f t="shared" si="11"/>
        <v>0.25</v>
      </c>
    </row>
    <row r="451">
      <c r="A451" s="4" t="s">
        <v>1264</v>
      </c>
      <c r="B451" s="4" t="s">
        <v>1265</v>
      </c>
      <c r="C451" s="4" t="s">
        <v>747</v>
      </c>
      <c r="D451" s="5">
        <v>26442.0</v>
      </c>
      <c r="E451" s="7" t="str">
        <f t="shared" si="2"/>
        <v>F</v>
      </c>
      <c r="F451" s="7" t="str">
        <f t="shared" si="3"/>
        <v>C</v>
      </c>
      <c r="G451" s="7" t="str">
        <f t="shared" si="4"/>
        <v>Transformative change</v>
      </c>
      <c r="H451" s="7">
        <f t="shared" ref="H451:J451" si="460">ROUND(RAND(),2)</f>
        <v>0.74</v>
      </c>
      <c r="I451" s="7">
        <f t="shared" si="460"/>
        <v>0.89</v>
      </c>
      <c r="J451" s="7">
        <f t="shared" si="460"/>
        <v>0.93</v>
      </c>
      <c r="K451" s="7" t="str">
        <f t="shared" si="6"/>
        <v>Low</v>
      </c>
      <c r="L451" s="7">
        <f t="shared" si="7"/>
        <v>1777675</v>
      </c>
      <c r="M451" s="7">
        <f t="shared" si="8"/>
        <v>459698.7415</v>
      </c>
      <c r="N451" s="7">
        <f t="shared" si="9"/>
        <v>185094</v>
      </c>
      <c r="O451" s="7">
        <f t="shared" si="13"/>
        <v>311514</v>
      </c>
      <c r="P451" s="7">
        <f t="shared" si="10"/>
        <v>668.21</v>
      </c>
      <c r="Q451" s="7">
        <f t="shared" si="11"/>
        <v>0.23</v>
      </c>
    </row>
    <row r="452">
      <c r="A452" s="4" t="s">
        <v>1266</v>
      </c>
      <c r="B452" s="4" t="s">
        <v>1267</v>
      </c>
      <c r="C452" s="4" t="s">
        <v>1268</v>
      </c>
      <c r="D452" s="5">
        <v>15098.0</v>
      </c>
      <c r="E452" s="7" t="str">
        <f t="shared" si="2"/>
        <v>B</v>
      </c>
      <c r="F452" s="7" t="str">
        <f t="shared" si="3"/>
        <v>C</v>
      </c>
      <c r="G452" s="7" t="str">
        <f t="shared" si="4"/>
        <v>Transformative change</v>
      </c>
      <c r="H452" s="7">
        <f t="shared" ref="H452:J452" si="461">ROUND(RAND(),2)</f>
        <v>0.21</v>
      </c>
      <c r="I452" s="7">
        <f t="shared" si="461"/>
        <v>0.85</v>
      </c>
      <c r="J452" s="7">
        <f t="shared" si="461"/>
        <v>0.72</v>
      </c>
      <c r="K452" s="7" t="str">
        <f t="shared" si="6"/>
        <v>Medium</v>
      </c>
      <c r="L452" s="7">
        <f t="shared" si="7"/>
        <v>3776722</v>
      </c>
      <c r="M452" s="7">
        <f t="shared" si="8"/>
        <v>1648751.83</v>
      </c>
      <c r="N452" s="7">
        <f t="shared" si="9"/>
        <v>226470</v>
      </c>
      <c r="O452" s="7">
        <f t="shared" si="13"/>
        <v>338996</v>
      </c>
      <c r="P452" s="7">
        <f t="shared" si="10"/>
        <v>855</v>
      </c>
      <c r="Q452" s="7">
        <f t="shared" si="11"/>
        <v>0.21</v>
      </c>
    </row>
    <row r="453">
      <c r="A453" s="4" t="s">
        <v>1269</v>
      </c>
      <c r="B453" s="4" t="s">
        <v>1270</v>
      </c>
      <c r="C453" s="4" t="s">
        <v>1271</v>
      </c>
      <c r="D453" s="5">
        <v>14110.0</v>
      </c>
      <c r="E453" s="7" t="str">
        <f t="shared" si="2"/>
        <v>G</v>
      </c>
      <c r="F453" s="7" t="str">
        <f t="shared" si="3"/>
        <v>A</v>
      </c>
      <c r="G453" s="7" t="str">
        <f t="shared" si="4"/>
        <v>Transformative change</v>
      </c>
      <c r="H453" s="7">
        <f t="shared" ref="H453:J453" si="462">ROUND(RAND(),2)</f>
        <v>0.33</v>
      </c>
      <c r="I453" s="7">
        <f t="shared" si="462"/>
        <v>0.73</v>
      </c>
      <c r="J453" s="7">
        <f t="shared" si="462"/>
        <v>0.22</v>
      </c>
      <c r="K453" s="7" t="str">
        <f t="shared" si="6"/>
        <v>Low</v>
      </c>
      <c r="L453" s="7">
        <f t="shared" si="7"/>
        <v>2505957</v>
      </c>
      <c r="M453" s="7">
        <f t="shared" si="8"/>
        <v>935530.2364</v>
      </c>
      <c r="N453" s="7">
        <f t="shared" si="9"/>
        <v>56440</v>
      </c>
      <c r="O453" s="7">
        <f t="shared" si="13"/>
        <v>225702</v>
      </c>
      <c r="P453" s="7">
        <f t="shared" si="10"/>
        <v>826</v>
      </c>
      <c r="Q453" s="7">
        <f t="shared" si="11"/>
        <v>0.08</v>
      </c>
    </row>
    <row r="454">
      <c r="A454" s="4" t="s">
        <v>1272</v>
      </c>
      <c r="B454" s="4" t="s">
        <v>1273</v>
      </c>
      <c r="C454" s="4" t="s">
        <v>1274</v>
      </c>
      <c r="D454" s="5">
        <v>16620.0</v>
      </c>
      <c r="E454" s="7" t="str">
        <f t="shared" si="2"/>
        <v>B</v>
      </c>
      <c r="F454" s="7" t="str">
        <f t="shared" si="3"/>
        <v>B</v>
      </c>
      <c r="G454" s="7" t="str">
        <f t="shared" si="4"/>
        <v>Transformative change</v>
      </c>
      <c r="H454" s="7">
        <f t="shared" ref="H454:J454" si="463">ROUND(RAND(),2)</f>
        <v>0.68</v>
      </c>
      <c r="I454" s="7">
        <f t="shared" si="463"/>
        <v>0.09</v>
      </c>
      <c r="J454" s="7">
        <f t="shared" si="463"/>
        <v>0.03</v>
      </c>
      <c r="K454" s="7" t="str">
        <f t="shared" si="6"/>
        <v>High</v>
      </c>
      <c r="L454" s="7">
        <f t="shared" si="7"/>
        <v>488410</v>
      </c>
      <c r="M454" s="7">
        <f t="shared" si="8"/>
        <v>485174.3749</v>
      </c>
      <c r="N454" s="7">
        <f t="shared" si="9"/>
        <v>116340</v>
      </c>
      <c r="O454" s="7">
        <f t="shared" si="13"/>
        <v>311714</v>
      </c>
      <c r="P454" s="7">
        <f t="shared" si="10"/>
        <v>1076</v>
      </c>
      <c r="Q454" s="7">
        <f t="shared" si="11"/>
        <v>0.17</v>
      </c>
    </row>
    <row r="455">
      <c r="A455" s="4" t="s">
        <v>1275</v>
      </c>
      <c r="B455" s="4" t="s">
        <v>1276</v>
      </c>
      <c r="C455" s="4" t="s">
        <v>95</v>
      </c>
      <c r="D455" s="5">
        <v>40659.0</v>
      </c>
      <c r="E455" s="7" t="str">
        <f t="shared" si="2"/>
        <v>D</v>
      </c>
      <c r="F455" s="7" t="str">
        <f t="shared" si="3"/>
        <v>C</v>
      </c>
      <c r="G455" s="7" t="str">
        <f t="shared" si="4"/>
        <v>Transformative change</v>
      </c>
      <c r="H455" s="7">
        <f t="shared" ref="H455:J455" si="464">ROUND(RAND(),2)</f>
        <v>0.11</v>
      </c>
      <c r="I455" s="7">
        <f t="shared" si="464"/>
        <v>0.75</v>
      </c>
      <c r="J455" s="7">
        <f t="shared" si="464"/>
        <v>0.34</v>
      </c>
      <c r="K455" s="7" t="str">
        <f t="shared" si="6"/>
        <v>Low</v>
      </c>
      <c r="L455" s="7">
        <f t="shared" si="7"/>
        <v>590972</v>
      </c>
      <c r="M455" s="7">
        <f t="shared" si="8"/>
        <v>82387.4739</v>
      </c>
      <c r="N455" s="7">
        <f t="shared" si="9"/>
        <v>569226</v>
      </c>
      <c r="O455" s="7">
        <f t="shared" si="13"/>
        <v>764104</v>
      </c>
      <c r="P455" s="7">
        <f t="shared" si="10"/>
        <v>10164.75</v>
      </c>
      <c r="Q455" s="7">
        <f t="shared" si="11"/>
        <v>0.2</v>
      </c>
    </row>
    <row r="456">
      <c r="A456" s="4" t="s">
        <v>1277</v>
      </c>
      <c r="B456" s="4" t="s">
        <v>1278</v>
      </c>
      <c r="C456" s="4" t="s">
        <v>1279</v>
      </c>
      <c r="D456" s="5">
        <v>19547.0</v>
      </c>
      <c r="E456" s="7" t="str">
        <f t="shared" si="2"/>
        <v>A</v>
      </c>
      <c r="F456" s="7" t="str">
        <f t="shared" si="3"/>
        <v>B</v>
      </c>
      <c r="G456" s="7" t="str">
        <f t="shared" si="4"/>
        <v>Transformative change</v>
      </c>
      <c r="H456" s="7">
        <f t="shared" ref="H456:J456" si="465">ROUND(RAND(),2)</f>
        <v>0.91</v>
      </c>
      <c r="I456" s="7">
        <f t="shared" si="465"/>
        <v>0.33</v>
      </c>
      <c r="J456" s="7">
        <f t="shared" si="465"/>
        <v>0.62</v>
      </c>
      <c r="K456" s="7" t="str">
        <f t="shared" si="6"/>
        <v>High</v>
      </c>
      <c r="L456" s="7">
        <f t="shared" si="7"/>
        <v>2147173</v>
      </c>
      <c r="M456" s="7">
        <f t="shared" si="8"/>
        <v>920668.436</v>
      </c>
      <c r="N456" s="7">
        <f t="shared" si="9"/>
        <v>215017</v>
      </c>
      <c r="O456" s="7">
        <f t="shared" si="13"/>
        <v>274370</v>
      </c>
      <c r="P456" s="7">
        <f t="shared" si="10"/>
        <v>4300.34</v>
      </c>
      <c r="Q456" s="7">
        <f t="shared" si="11"/>
        <v>0.3</v>
      </c>
    </row>
    <row r="457">
      <c r="A457" s="4" t="s">
        <v>1280</v>
      </c>
      <c r="B457" s="4" t="s">
        <v>1281</v>
      </c>
      <c r="C457" s="4" t="s">
        <v>1282</v>
      </c>
      <c r="D457" s="5">
        <v>18807.0</v>
      </c>
      <c r="E457" s="7" t="str">
        <f t="shared" si="2"/>
        <v>B</v>
      </c>
      <c r="F457" s="7" t="str">
        <f t="shared" si="3"/>
        <v>A</v>
      </c>
      <c r="G457" s="7" t="str">
        <f t="shared" si="4"/>
        <v>Transformative change</v>
      </c>
      <c r="H457" s="7">
        <f t="shared" ref="H457:J457" si="466">ROUND(RAND(),2)</f>
        <v>0.05</v>
      </c>
      <c r="I457" s="7">
        <f t="shared" si="466"/>
        <v>0.84</v>
      </c>
      <c r="J457" s="7">
        <f t="shared" si="466"/>
        <v>0.58</v>
      </c>
      <c r="K457" s="7" t="str">
        <f t="shared" si="6"/>
        <v>Medium</v>
      </c>
      <c r="L457" s="7">
        <f t="shared" si="7"/>
        <v>3142692</v>
      </c>
      <c r="M457" s="7">
        <f t="shared" si="8"/>
        <v>516652.0387</v>
      </c>
      <c r="N457" s="7">
        <f t="shared" si="9"/>
        <v>75228</v>
      </c>
      <c r="O457" s="7">
        <f t="shared" si="13"/>
        <v>257359</v>
      </c>
      <c r="P457" s="7">
        <f t="shared" si="10"/>
        <v>1343.36</v>
      </c>
      <c r="Q457" s="7">
        <f t="shared" si="11"/>
        <v>0.01</v>
      </c>
    </row>
    <row r="458">
      <c r="A458" s="4" t="s">
        <v>1283</v>
      </c>
      <c r="B458" s="4" t="s">
        <v>1284</v>
      </c>
      <c r="C458" s="4" t="s">
        <v>476</v>
      </c>
      <c r="D458" s="5">
        <v>90526.0</v>
      </c>
      <c r="E458" s="7" t="str">
        <f t="shared" si="2"/>
        <v>G</v>
      </c>
      <c r="F458" s="7" t="str">
        <f t="shared" si="3"/>
        <v>A</v>
      </c>
      <c r="G458" s="7" t="str">
        <f t="shared" si="4"/>
        <v>Transformative change</v>
      </c>
      <c r="H458" s="7">
        <f t="shared" ref="H458:J458" si="467">ROUND(RAND(),2)</f>
        <v>0.31</v>
      </c>
      <c r="I458" s="7">
        <f t="shared" si="467"/>
        <v>0.19</v>
      </c>
      <c r="J458" s="7">
        <f t="shared" si="467"/>
        <v>0.98</v>
      </c>
      <c r="K458" s="7" t="str">
        <f t="shared" si="6"/>
        <v>High</v>
      </c>
      <c r="L458" s="7">
        <f t="shared" si="7"/>
        <v>687249</v>
      </c>
      <c r="M458" s="7">
        <f t="shared" si="8"/>
        <v>338400.8528</v>
      </c>
      <c r="N458" s="7">
        <f t="shared" si="9"/>
        <v>1176838</v>
      </c>
      <c r="O458" s="7">
        <f t="shared" si="13"/>
        <v>1364270</v>
      </c>
      <c r="P458" s="7">
        <f t="shared" si="10"/>
        <v>15903.22</v>
      </c>
      <c r="Q458" s="7">
        <f t="shared" si="11"/>
        <v>0.12</v>
      </c>
    </row>
    <row r="459">
      <c r="A459" s="4" t="s">
        <v>1285</v>
      </c>
      <c r="B459" s="4" t="s">
        <v>1286</v>
      </c>
      <c r="C459" s="4" t="s">
        <v>95</v>
      </c>
      <c r="D459" s="5">
        <v>24582.0</v>
      </c>
      <c r="E459" s="7" t="str">
        <f t="shared" si="2"/>
        <v>D</v>
      </c>
      <c r="F459" s="7" t="str">
        <f t="shared" si="3"/>
        <v>A</v>
      </c>
      <c r="G459" s="7" t="str">
        <f t="shared" si="4"/>
        <v>Transformative change</v>
      </c>
      <c r="H459" s="7">
        <f t="shared" ref="H459:J459" si="468">ROUND(RAND(),2)</f>
        <v>0.14</v>
      </c>
      <c r="I459" s="7">
        <f t="shared" si="468"/>
        <v>0.79</v>
      </c>
      <c r="J459" s="7">
        <f t="shared" si="468"/>
        <v>0.51</v>
      </c>
      <c r="K459" s="7" t="str">
        <f t="shared" si="6"/>
        <v>High</v>
      </c>
      <c r="L459" s="7">
        <f t="shared" si="7"/>
        <v>739952</v>
      </c>
      <c r="M459" s="7">
        <f t="shared" si="8"/>
        <v>670384.8128</v>
      </c>
      <c r="N459" s="7">
        <f t="shared" si="9"/>
        <v>319566</v>
      </c>
      <c r="O459" s="7">
        <f t="shared" si="13"/>
        <v>429286</v>
      </c>
      <c r="P459" s="7">
        <f t="shared" si="10"/>
        <v>894</v>
      </c>
      <c r="Q459" s="7">
        <f t="shared" si="11"/>
        <v>0.05</v>
      </c>
    </row>
    <row r="460">
      <c r="A460" s="4" t="s">
        <v>1287</v>
      </c>
      <c r="B460" s="4" t="s">
        <v>1288</v>
      </c>
      <c r="C460" s="4" t="s">
        <v>95</v>
      </c>
      <c r="D460" s="5">
        <v>7169.0</v>
      </c>
      <c r="E460" s="7" t="str">
        <f t="shared" si="2"/>
        <v>E</v>
      </c>
      <c r="F460" s="7" t="str">
        <f t="shared" si="3"/>
        <v>C</v>
      </c>
      <c r="G460" s="7" t="str">
        <f t="shared" si="4"/>
        <v>Transformative change</v>
      </c>
      <c r="H460" s="7">
        <f t="shared" ref="H460:J460" si="469">ROUND(RAND(),2)</f>
        <v>0.76</v>
      </c>
      <c r="I460" s="7">
        <f t="shared" si="469"/>
        <v>0.23</v>
      </c>
      <c r="J460" s="7">
        <f t="shared" si="469"/>
        <v>0.22</v>
      </c>
      <c r="K460" s="7" t="str">
        <f t="shared" si="6"/>
        <v>High</v>
      </c>
      <c r="L460" s="7">
        <f t="shared" si="7"/>
        <v>639350</v>
      </c>
      <c r="M460" s="7">
        <f t="shared" si="8"/>
        <v>224715.1947</v>
      </c>
      <c r="N460" s="7">
        <f t="shared" si="9"/>
        <v>93197</v>
      </c>
      <c r="O460" s="7">
        <f t="shared" si="13"/>
        <v>145662</v>
      </c>
      <c r="P460" s="7">
        <f t="shared" si="10"/>
        <v>850</v>
      </c>
      <c r="Q460" s="7">
        <f t="shared" si="11"/>
        <v>0.06</v>
      </c>
    </row>
    <row r="461">
      <c r="A461" s="4" t="s">
        <v>1289</v>
      </c>
      <c r="B461" s="4" t="s">
        <v>1290</v>
      </c>
      <c r="C461" s="4" t="s">
        <v>1291</v>
      </c>
      <c r="D461" s="5">
        <v>9052.0</v>
      </c>
      <c r="E461" s="7" t="str">
        <f t="shared" si="2"/>
        <v>B</v>
      </c>
      <c r="F461" s="7" t="str">
        <f t="shared" si="3"/>
        <v>C</v>
      </c>
      <c r="G461" s="7" t="str">
        <f t="shared" si="4"/>
        <v>Transformative change</v>
      </c>
      <c r="H461" s="7">
        <f t="shared" ref="H461:J461" si="470">ROUND(RAND(),2)</f>
        <v>0.77</v>
      </c>
      <c r="I461" s="7">
        <f t="shared" si="470"/>
        <v>0.78</v>
      </c>
      <c r="J461" s="7">
        <f t="shared" si="470"/>
        <v>0.11</v>
      </c>
      <c r="K461" s="7" t="str">
        <f t="shared" si="6"/>
        <v>Medium</v>
      </c>
      <c r="L461" s="7">
        <f t="shared" si="7"/>
        <v>3262128</v>
      </c>
      <c r="M461" s="7">
        <f t="shared" si="8"/>
        <v>2352646.941</v>
      </c>
      <c r="N461" s="7">
        <f t="shared" si="9"/>
        <v>81468</v>
      </c>
      <c r="O461" s="7">
        <f t="shared" si="13"/>
        <v>189913</v>
      </c>
      <c r="P461" s="7">
        <f t="shared" si="10"/>
        <v>850</v>
      </c>
      <c r="Q461" s="7">
        <f t="shared" si="11"/>
        <v>0.24</v>
      </c>
    </row>
    <row r="462">
      <c r="A462" s="4" t="s">
        <v>1292</v>
      </c>
      <c r="B462" s="4" t="s">
        <v>1293</v>
      </c>
      <c r="C462" s="4" t="s">
        <v>1294</v>
      </c>
      <c r="D462" s="5">
        <v>8289.0</v>
      </c>
      <c r="E462" s="7" t="str">
        <f t="shared" si="2"/>
        <v>A</v>
      </c>
      <c r="F462" s="7" t="str">
        <f t="shared" si="3"/>
        <v>A</v>
      </c>
      <c r="G462" s="7" t="str">
        <f t="shared" si="4"/>
        <v>High ambition</v>
      </c>
      <c r="H462" s="7">
        <f t="shared" ref="H462:J462" si="471">ROUND(RAND(),2)</f>
        <v>1</v>
      </c>
      <c r="I462" s="7">
        <f t="shared" si="471"/>
        <v>0.68</v>
      </c>
      <c r="J462" s="7">
        <f t="shared" si="471"/>
        <v>0.8</v>
      </c>
      <c r="K462" s="7" t="str">
        <f t="shared" si="6"/>
        <v>Medium</v>
      </c>
      <c r="L462" s="7">
        <f t="shared" si="7"/>
        <v>3338293</v>
      </c>
      <c r="M462" s="7">
        <f t="shared" si="8"/>
        <v>2376837.265</v>
      </c>
      <c r="N462" s="7">
        <f t="shared" si="9"/>
        <v>116046</v>
      </c>
      <c r="O462" s="7">
        <f t="shared" si="13"/>
        <v>311318</v>
      </c>
      <c r="P462" s="7">
        <f t="shared" si="10"/>
        <v>814</v>
      </c>
      <c r="Q462" s="7">
        <f t="shared" si="11"/>
        <v>0.13</v>
      </c>
    </row>
    <row r="463">
      <c r="A463" s="4" t="s">
        <v>1295</v>
      </c>
      <c r="B463" s="4" t="s">
        <v>1296</v>
      </c>
      <c r="C463" s="4" t="s">
        <v>95</v>
      </c>
      <c r="D463" s="5">
        <v>12674.0</v>
      </c>
      <c r="E463" s="7" t="str">
        <f t="shared" si="2"/>
        <v>F</v>
      </c>
      <c r="F463" s="7" t="str">
        <f t="shared" si="3"/>
        <v>A</v>
      </c>
      <c r="G463" s="7" t="str">
        <f t="shared" si="4"/>
        <v>Transformative change</v>
      </c>
      <c r="H463" s="7">
        <f t="shared" ref="H463:J463" si="472">ROUND(RAND(),2)</f>
        <v>0.7</v>
      </c>
      <c r="I463" s="7">
        <f t="shared" si="472"/>
        <v>0.28</v>
      </c>
      <c r="J463" s="7">
        <f t="shared" si="472"/>
        <v>0.17</v>
      </c>
      <c r="K463" s="7" t="str">
        <f t="shared" si="6"/>
        <v>High</v>
      </c>
      <c r="L463" s="7">
        <f t="shared" si="7"/>
        <v>414947</v>
      </c>
      <c r="M463" s="7">
        <f t="shared" si="8"/>
        <v>250544.3083</v>
      </c>
      <c r="N463" s="7">
        <f t="shared" si="9"/>
        <v>126740</v>
      </c>
      <c r="O463" s="7">
        <f t="shared" si="13"/>
        <v>306679</v>
      </c>
      <c r="P463" s="7">
        <f t="shared" si="10"/>
        <v>929</v>
      </c>
      <c r="Q463" s="7">
        <f t="shared" si="11"/>
        <v>0.09</v>
      </c>
    </row>
    <row r="464">
      <c r="A464" s="4" t="s">
        <v>684</v>
      </c>
      <c r="B464" s="4" t="s">
        <v>1297</v>
      </c>
      <c r="C464" s="4" t="s">
        <v>1298</v>
      </c>
      <c r="D464" s="5">
        <v>19759.0</v>
      </c>
      <c r="E464" s="7" t="str">
        <f t="shared" si="2"/>
        <v>E</v>
      </c>
      <c r="F464" s="7" t="str">
        <f t="shared" si="3"/>
        <v>A</v>
      </c>
      <c r="G464" s="7" t="str">
        <f t="shared" si="4"/>
        <v>Transformative change</v>
      </c>
      <c r="H464" s="7">
        <f t="shared" ref="H464:J464" si="473">ROUND(RAND(),2)</f>
        <v>0.82</v>
      </c>
      <c r="I464" s="7">
        <f t="shared" si="473"/>
        <v>0.55</v>
      </c>
      <c r="J464" s="7">
        <f t="shared" si="473"/>
        <v>0.17</v>
      </c>
      <c r="K464" s="7" t="str">
        <f t="shared" si="6"/>
        <v>Low</v>
      </c>
      <c r="L464" s="7">
        <f t="shared" si="7"/>
        <v>1129327</v>
      </c>
      <c r="M464" s="7">
        <f t="shared" si="8"/>
        <v>968856.4325</v>
      </c>
      <c r="N464" s="7">
        <f t="shared" si="9"/>
        <v>256867</v>
      </c>
      <c r="O464" s="7">
        <f t="shared" si="13"/>
        <v>380443</v>
      </c>
      <c r="P464" s="7">
        <f t="shared" si="10"/>
        <v>862</v>
      </c>
      <c r="Q464" s="7">
        <f t="shared" si="11"/>
        <v>0.18</v>
      </c>
    </row>
    <row r="465">
      <c r="A465" s="4" t="s">
        <v>1299</v>
      </c>
      <c r="B465" s="4" t="s">
        <v>952</v>
      </c>
      <c r="C465" s="4" t="s">
        <v>1300</v>
      </c>
      <c r="D465" s="5">
        <v>8746.0</v>
      </c>
      <c r="E465" s="7" t="str">
        <f t="shared" si="2"/>
        <v>D</v>
      </c>
      <c r="F465" s="7" t="str">
        <f t="shared" si="3"/>
        <v>C</v>
      </c>
      <c r="G465" s="7" t="str">
        <f t="shared" si="4"/>
        <v>Transformative change</v>
      </c>
      <c r="H465" s="7">
        <f t="shared" ref="H465:J465" si="474">ROUND(RAND(),2)</f>
        <v>0.56</v>
      </c>
      <c r="I465" s="7">
        <f t="shared" si="474"/>
        <v>0.66</v>
      </c>
      <c r="J465" s="7">
        <f t="shared" si="474"/>
        <v>0.47</v>
      </c>
      <c r="K465" s="7" t="str">
        <f t="shared" si="6"/>
        <v>High</v>
      </c>
      <c r="L465" s="7">
        <f t="shared" si="7"/>
        <v>2234849</v>
      </c>
      <c r="M465" s="7">
        <f t="shared" si="8"/>
        <v>1917488.908</v>
      </c>
      <c r="N465" s="7">
        <f t="shared" si="9"/>
        <v>69968</v>
      </c>
      <c r="O465" s="7">
        <f t="shared" si="13"/>
        <v>137884</v>
      </c>
      <c r="P465" s="7">
        <f t="shared" si="10"/>
        <v>1032</v>
      </c>
      <c r="Q465" s="7">
        <f t="shared" si="11"/>
        <v>0.24</v>
      </c>
    </row>
    <row r="466">
      <c r="A466" s="4" t="s">
        <v>1301</v>
      </c>
      <c r="B466" s="4" t="s">
        <v>1302</v>
      </c>
      <c r="C466" s="4" t="s">
        <v>1303</v>
      </c>
      <c r="D466" s="5">
        <v>61543.0</v>
      </c>
      <c r="E466" s="7" t="str">
        <f t="shared" si="2"/>
        <v>C</v>
      </c>
      <c r="F466" s="7" t="str">
        <f t="shared" si="3"/>
        <v>B</v>
      </c>
      <c r="G466" s="7" t="str">
        <f t="shared" si="4"/>
        <v>High ambition</v>
      </c>
      <c r="H466" s="7">
        <f t="shared" ref="H466:J466" si="475">ROUND(RAND(),2)</f>
        <v>0.86</v>
      </c>
      <c r="I466" s="7">
        <f t="shared" si="475"/>
        <v>0.03</v>
      </c>
      <c r="J466" s="7">
        <f t="shared" si="475"/>
        <v>0.73</v>
      </c>
      <c r="K466" s="7" t="str">
        <f t="shared" si="6"/>
        <v>High</v>
      </c>
      <c r="L466" s="7">
        <f t="shared" si="7"/>
        <v>3047053</v>
      </c>
      <c r="M466" s="7">
        <f t="shared" si="8"/>
        <v>308547.5065</v>
      </c>
      <c r="N466" s="7">
        <f t="shared" si="9"/>
        <v>738516</v>
      </c>
      <c r="O466" s="7">
        <f t="shared" si="13"/>
        <v>825604</v>
      </c>
      <c r="P466" s="7">
        <f t="shared" si="10"/>
        <v>2637.56</v>
      </c>
      <c r="Q466" s="7">
        <f t="shared" si="11"/>
        <v>0.11</v>
      </c>
    </row>
    <row r="467">
      <c r="A467" s="4" t="s">
        <v>1304</v>
      </c>
      <c r="B467" s="4" t="s">
        <v>1305</v>
      </c>
      <c r="C467" s="4" t="s">
        <v>1169</v>
      </c>
      <c r="D467" s="5">
        <v>16008.0</v>
      </c>
      <c r="E467" s="7" t="str">
        <f t="shared" si="2"/>
        <v>D</v>
      </c>
      <c r="F467" s="7" t="str">
        <f t="shared" si="3"/>
        <v>B</v>
      </c>
      <c r="G467" s="7" t="str">
        <f t="shared" si="4"/>
        <v>Transformative change</v>
      </c>
      <c r="H467" s="7">
        <f t="shared" ref="H467:J467" si="476">ROUND(RAND(),2)</f>
        <v>0.87</v>
      </c>
      <c r="I467" s="7">
        <f t="shared" si="476"/>
        <v>0.98</v>
      </c>
      <c r="J467" s="7">
        <f t="shared" si="476"/>
        <v>0.51</v>
      </c>
      <c r="K467" s="7" t="str">
        <f t="shared" si="6"/>
        <v>High</v>
      </c>
      <c r="L467" s="7">
        <f t="shared" si="7"/>
        <v>550576</v>
      </c>
      <c r="M467" s="7">
        <f t="shared" si="8"/>
        <v>327260.3489</v>
      </c>
      <c r="N467" s="7">
        <f t="shared" si="9"/>
        <v>64032</v>
      </c>
      <c r="O467" s="7">
        <f t="shared" si="13"/>
        <v>248574</v>
      </c>
      <c r="P467" s="7">
        <f t="shared" si="10"/>
        <v>226.26</v>
      </c>
      <c r="Q467" s="7">
        <f t="shared" si="11"/>
        <v>0.1</v>
      </c>
    </row>
    <row r="468">
      <c r="A468" s="4" t="s">
        <v>1306</v>
      </c>
      <c r="B468" s="4" t="s">
        <v>1307</v>
      </c>
      <c r="C468" s="4" t="s">
        <v>1308</v>
      </c>
      <c r="D468" s="5">
        <v>271828.0</v>
      </c>
      <c r="E468" s="7" t="str">
        <f t="shared" si="2"/>
        <v>A</v>
      </c>
      <c r="F468" s="7" t="str">
        <f t="shared" si="3"/>
        <v>C</v>
      </c>
      <c r="G468" s="7" t="str">
        <f t="shared" si="4"/>
        <v>Transformative change</v>
      </c>
      <c r="H468" s="7">
        <f t="shared" ref="H468:J468" si="477">ROUND(RAND(),2)</f>
        <v>0.81</v>
      </c>
      <c r="I468" s="7">
        <f t="shared" si="477"/>
        <v>0.62</v>
      </c>
      <c r="J468" s="7">
        <f t="shared" si="477"/>
        <v>0.26</v>
      </c>
      <c r="K468" s="7" t="str">
        <f t="shared" si="6"/>
        <v>Medium</v>
      </c>
      <c r="L468" s="7">
        <f t="shared" si="7"/>
        <v>1280753</v>
      </c>
      <c r="M468" s="7">
        <f t="shared" si="8"/>
        <v>890804.2001</v>
      </c>
      <c r="N468" s="7">
        <f t="shared" si="9"/>
        <v>1630968</v>
      </c>
      <c r="O468" s="7">
        <f t="shared" si="13"/>
        <v>1741164</v>
      </c>
      <c r="P468" s="7">
        <f t="shared" si="10"/>
        <v>7346.7</v>
      </c>
      <c r="Q468" s="7">
        <f t="shared" si="11"/>
        <v>0.02</v>
      </c>
    </row>
    <row r="469">
      <c r="A469" s="4" t="s">
        <v>1309</v>
      </c>
      <c r="B469" s="4" t="s">
        <v>1310</v>
      </c>
      <c r="C469" s="4" t="s">
        <v>1311</v>
      </c>
      <c r="D469" s="5">
        <v>16445.0</v>
      </c>
      <c r="E469" s="7" t="str">
        <f t="shared" si="2"/>
        <v>C</v>
      </c>
      <c r="F469" s="7" t="str">
        <f t="shared" si="3"/>
        <v>B</v>
      </c>
      <c r="G469" s="7" t="str">
        <f t="shared" si="4"/>
        <v>Transformative change</v>
      </c>
      <c r="H469" s="7">
        <f t="shared" ref="H469:J469" si="478">ROUND(RAND(),2)</f>
        <v>0.27</v>
      </c>
      <c r="I469" s="7">
        <f t="shared" si="478"/>
        <v>0.48</v>
      </c>
      <c r="J469" s="7">
        <f t="shared" si="478"/>
        <v>0.26</v>
      </c>
      <c r="K469" s="7" t="str">
        <f t="shared" si="6"/>
        <v>Medium</v>
      </c>
      <c r="L469" s="7">
        <f t="shared" si="7"/>
        <v>1156316</v>
      </c>
      <c r="M469" s="7">
        <f t="shared" si="8"/>
        <v>769405.6919</v>
      </c>
      <c r="N469" s="7">
        <f t="shared" si="9"/>
        <v>197340</v>
      </c>
      <c r="O469" s="7">
        <f t="shared" si="13"/>
        <v>350600</v>
      </c>
      <c r="P469" s="7">
        <f t="shared" si="10"/>
        <v>5193.16</v>
      </c>
      <c r="Q469" s="7">
        <f t="shared" si="11"/>
        <v>0.18</v>
      </c>
    </row>
    <row r="470">
      <c r="A470" s="4" t="s">
        <v>856</v>
      </c>
      <c r="B470" s="4" t="s">
        <v>1312</v>
      </c>
      <c r="C470" s="4" t="s">
        <v>1313</v>
      </c>
      <c r="D470" s="5">
        <v>13125.0</v>
      </c>
      <c r="E470" s="7" t="str">
        <f t="shared" si="2"/>
        <v>F</v>
      </c>
      <c r="F470" s="7" t="str">
        <f t="shared" si="3"/>
        <v>B</v>
      </c>
      <c r="G470" s="7" t="str">
        <f t="shared" si="4"/>
        <v>Transformative change</v>
      </c>
      <c r="H470" s="7">
        <f t="shared" ref="H470:J470" si="479">ROUND(RAND(),2)</f>
        <v>0.26</v>
      </c>
      <c r="I470" s="7">
        <f t="shared" si="479"/>
        <v>0.33</v>
      </c>
      <c r="J470" s="7">
        <f t="shared" si="479"/>
        <v>0.6</v>
      </c>
      <c r="K470" s="7" t="str">
        <f t="shared" si="6"/>
        <v>Low</v>
      </c>
      <c r="L470" s="7">
        <f t="shared" si="7"/>
        <v>3641225</v>
      </c>
      <c r="M470" s="7">
        <f t="shared" si="8"/>
        <v>1521477.427</v>
      </c>
      <c r="N470" s="7">
        <f t="shared" si="9"/>
        <v>91875</v>
      </c>
      <c r="O470" s="7">
        <f t="shared" si="13"/>
        <v>174643</v>
      </c>
      <c r="P470" s="7">
        <f t="shared" si="10"/>
        <v>971</v>
      </c>
      <c r="Q470" s="7">
        <f t="shared" si="11"/>
        <v>0.24</v>
      </c>
    </row>
    <row r="471">
      <c r="A471" s="4" t="s">
        <v>1314</v>
      </c>
      <c r="B471" s="4" t="s">
        <v>1315</v>
      </c>
      <c r="C471" s="4" t="s">
        <v>1316</v>
      </c>
      <c r="D471" s="5">
        <v>317778.0</v>
      </c>
      <c r="E471" s="7" t="str">
        <f t="shared" si="2"/>
        <v>A</v>
      </c>
      <c r="F471" s="7" t="str">
        <f t="shared" si="3"/>
        <v>A</v>
      </c>
      <c r="G471" s="7" t="str">
        <f t="shared" si="4"/>
        <v>Transformative change</v>
      </c>
      <c r="H471" s="7">
        <f t="shared" ref="H471:J471" si="480">ROUND(RAND(),2)</f>
        <v>0.34</v>
      </c>
      <c r="I471" s="7">
        <f t="shared" si="480"/>
        <v>0.25</v>
      </c>
      <c r="J471" s="7">
        <f t="shared" si="480"/>
        <v>0.25</v>
      </c>
      <c r="K471" s="7" t="str">
        <f t="shared" si="6"/>
        <v>Low</v>
      </c>
      <c r="L471" s="7">
        <f t="shared" si="7"/>
        <v>507520</v>
      </c>
      <c r="M471" s="7">
        <f t="shared" si="8"/>
        <v>244876.6981</v>
      </c>
      <c r="N471" s="7">
        <f t="shared" si="9"/>
        <v>3495558</v>
      </c>
      <c r="O471" s="7">
        <f t="shared" si="13"/>
        <v>3537874</v>
      </c>
      <c r="P471" s="7">
        <f t="shared" si="10"/>
        <v>34270.18</v>
      </c>
      <c r="Q471" s="7">
        <f t="shared" si="11"/>
        <v>0.27</v>
      </c>
    </row>
    <row r="472">
      <c r="A472" s="4" t="s">
        <v>455</v>
      </c>
      <c r="B472" s="4" t="s">
        <v>1317</v>
      </c>
      <c r="C472" s="4" t="s">
        <v>1318</v>
      </c>
      <c r="D472" s="5">
        <v>7501.0</v>
      </c>
      <c r="E472" s="7" t="str">
        <f t="shared" si="2"/>
        <v>A</v>
      </c>
      <c r="F472" s="7" t="str">
        <f t="shared" si="3"/>
        <v>B</v>
      </c>
      <c r="G472" s="7" t="str">
        <f t="shared" si="4"/>
        <v>High ambition</v>
      </c>
      <c r="H472" s="7">
        <f t="shared" ref="H472:J472" si="481">ROUND(RAND(),2)</f>
        <v>0.1</v>
      </c>
      <c r="I472" s="7">
        <f t="shared" si="481"/>
        <v>0.86</v>
      </c>
      <c r="J472" s="7">
        <f t="shared" si="481"/>
        <v>0.33</v>
      </c>
      <c r="K472" s="7" t="str">
        <f t="shared" si="6"/>
        <v>Low</v>
      </c>
      <c r="L472" s="7">
        <f t="shared" si="7"/>
        <v>1286617</v>
      </c>
      <c r="M472" s="7">
        <f t="shared" si="8"/>
        <v>994331.9716</v>
      </c>
      <c r="N472" s="7">
        <f t="shared" si="9"/>
        <v>112515</v>
      </c>
      <c r="O472" s="7">
        <f t="shared" si="13"/>
        <v>135587</v>
      </c>
      <c r="P472" s="7">
        <f t="shared" si="10"/>
        <v>1010</v>
      </c>
      <c r="Q472" s="7">
        <f t="shared" si="11"/>
        <v>0.25</v>
      </c>
    </row>
    <row r="473">
      <c r="A473" s="4" t="s">
        <v>317</v>
      </c>
      <c r="B473" s="4" t="s">
        <v>1319</v>
      </c>
      <c r="C473" s="4" t="s">
        <v>1320</v>
      </c>
      <c r="D473" s="5">
        <v>5838.0</v>
      </c>
      <c r="E473" s="7" t="str">
        <f t="shared" si="2"/>
        <v>A</v>
      </c>
      <c r="F473" s="7" t="str">
        <f t="shared" si="3"/>
        <v>A</v>
      </c>
      <c r="G473" s="7" t="str">
        <f t="shared" si="4"/>
        <v>Transformative change</v>
      </c>
      <c r="H473" s="7">
        <f t="shared" ref="H473:J473" si="482">ROUND(RAND(),2)</f>
        <v>0.93</v>
      </c>
      <c r="I473" s="7">
        <f t="shared" si="482"/>
        <v>0.27</v>
      </c>
      <c r="J473" s="7">
        <f t="shared" si="482"/>
        <v>0.86</v>
      </c>
      <c r="K473" s="7" t="str">
        <f t="shared" si="6"/>
        <v>Low</v>
      </c>
      <c r="L473" s="7">
        <f t="shared" si="7"/>
        <v>1168610</v>
      </c>
      <c r="M473" s="7">
        <f t="shared" si="8"/>
        <v>90010.69464</v>
      </c>
      <c r="N473" s="7">
        <f t="shared" si="9"/>
        <v>29190</v>
      </c>
      <c r="O473" s="7">
        <f t="shared" si="13"/>
        <v>113429</v>
      </c>
      <c r="P473" s="7">
        <f t="shared" si="10"/>
        <v>830</v>
      </c>
      <c r="Q473" s="7">
        <f t="shared" si="11"/>
        <v>0.05</v>
      </c>
    </row>
    <row r="474">
      <c r="A474" s="4" t="s">
        <v>1321</v>
      </c>
      <c r="B474" s="4" t="s">
        <v>1255</v>
      </c>
      <c r="C474" s="4" t="s">
        <v>1322</v>
      </c>
      <c r="D474" s="5">
        <v>16667.0</v>
      </c>
      <c r="E474" s="7" t="str">
        <f t="shared" si="2"/>
        <v>C</v>
      </c>
      <c r="F474" s="7" t="str">
        <f t="shared" si="3"/>
        <v>B</v>
      </c>
      <c r="G474" s="7" t="str">
        <f t="shared" si="4"/>
        <v>Transformative change</v>
      </c>
      <c r="H474" s="7">
        <f t="shared" ref="H474:J474" si="483">ROUND(RAND(),2)</f>
        <v>0.52</v>
      </c>
      <c r="I474" s="7">
        <f t="shared" si="483"/>
        <v>0.99</v>
      </c>
      <c r="J474" s="7">
        <f t="shared" si="483"/>
        <v>0.59</v>
      </c>
      <c r="K474" s="7" t="str">
        <f t="shared" si="6"/>
        <v>Low</v>
      </c>
      <c r="L474" s="7">
        <f t="shared" si="7"/>
        <v>3148512</v>
      </c>
      <c r="M474" s="7">
        <f t="shared" si="8"/>
        <v>351265.3985</v>
      </c>
      <c r="N474" s="7">
        <f t="shared" si="9"/>
        <v>83335</v>
      </c>
      <c r="O474" s="7">
        <f t="shared" si="13"/>
        <v>216447</v>
      </c>
      <c r="P474" s="7">
        <f t="shared" si="10"/>
        <v>807</v>
      </c>
      <c r="Q474" s="7">
        <f t="shared" si="11"/>
        <v>0.27</v>
      </c>
    </row>
    <row r="475">
      <c r="A475" s="4" t="s">
        <v>1323</v>
      </c>
      <c r="B475" s="4" t="s">
        <v>1324</v>
      </c>
      <c r="C475" s="4" t="s">
        <v>1325</v>
      </c>
      <c r="D475" s="5">
        <v>82527.0</v>
      </c>
      <c r="E475" s="7" t="str">
        <f t="shared" si="2"/>
        <v>F</v>
      </c>
      <c r="F475" s="7" t="str">
        <f t="shared" si="3"/>
        <v>B</v>
      </c>
      <c r="G475" s="7" t="str">
        <f t="shared" si="4"/>
        <v>Transformative change</v>
      </c>
      <c r="H475" s="7">
        <f t="shared" ref="H475:J475" si="484">ROUND(RAND(),2)</f>
        <v>0.29</v>
      </c>
      <c r="I475" s="7">
        <f t="shared" si="484"/>
        <v>0.79</v>
      </c>
      <c r="J475" s="7">
        <f t="shared" si="484"/>
        <v>0.06</v>
      </c>
      <c r="K475" s="7" t="str">
        <f t="shared" si="6"/>
        <v>High</v>
      </c>
      <c r="L475" s="7">
        <f t="shared" si="7"/>
        <v>1861146</v>
      </c>
      <c r="M475" s="7">
        <f t="shared" si="8"/>
        <v>1448478.989</v>
      </c>
      <c r="N475" s="7">
        <f t="shared" si="9"/>
        <v>1155378</v>
      </c>
      <c r="O475" s="7">
        <f t="shared" si="13"/>
        <v>1198119</v>
      </c>
      <c r="P475" s="7">
        <f t="shared" si="10"/>
        <v>10899.79</v>
      </c>
      <c r="Q475" s="7">
        <f t="shared" si="11"/>
        <v>0.29</v>
      </c>
    </row>
    <row r="476">
      <c r="A476" s="4" t="s">
        <v>1326</v>
      </c>
      <c r="B476" s="4" t="s">
        <v>1327</v>
      </c>
      <c r="C476" s="4" t="s">
        <v>1328</v>
      </c>
      <c r="D476" s="5">
        <v>7692.0</v>
      </c>
      <c r="E476" s="7" t="str">
        <f t="shared" si="2"/>
        <v>A</v>
      </c>
      <c r="F476" s="7" t="str">
        <f t="shared" si="3"/>
        <v>B</v>
      </c>
      <c r="G476" s="7" t="str">
        <f t="shared" si="4"/>
        <v>Transformative change</v>
      </c>
      <c r="H476" s="7">
        <f t="shared" ref="H476:J476" si="485">ROUND(RAND(),2)</f>
        <v>0.8</v>
      </c>
      <c r="I476" s="7">
        <f t="shared" si="485"/>
        <v>0.04</v>
      </c>
      <c r="J476" s="7">
        <f t="shared" si="485"/>
        <v>0</v>
      </c>
      <c r="K476" s="7" t="str">
        <f t="shared" si="6"/>
        <v>Medium</v>
      </c>
      <c r="L476" s="7">
        <f t="shared" si="7"/>
        <v>3384436</v>
      </c>
      <c r="M476" s="7">
        <f t="shared" si="8"/>
        <v>3025377.731</v>
      </c>
      <c r="N476" s="7">
        <f t="shared" si="9"/>
        <v>38460</v>
      </c>
      <c r="O476" s="7">
        <f t="shared" si="13"/>
        <v>233033</v>
      </c>
      <c r="P476" s="7">
        <f t="shared" si="10"/>
        <v>119.44</v>
      </c>
      <c r="Q476" s="7">
        <f t="shared" si="11"/>
        <v>0.3</v>
      </c>
    </row>
    <row r="477">
      <c r="A477" s="4" t="s">
        <v>1329</v>
      </c>
      <c r="B477" s="4" t="s">
        <v>1330</v>
      </c>
      <c r="C477" s="4" t="s">
        <v>1331</v>
      </c>
      <c r="D477" s="5">
        <v>8147.0</v>
      </c>
      <c r="E477" s="7" t="str">
        <f t="shared" si="2"/>
        <v>B</v>
      </c>
      <c r="F477" s="7" t="str">
        <f t="shared" si="3"/>
        <v>C</v>
      </c>
      <c r="G477" s="7" t="str">
        <f t="shared" si="4"/>
        <v>Transformative change</v>
      </c>
      <c r="H477" s="7">
        <f t="shared" ref="H477:J477" si="486">ROUND(RAND(),2)</f>
        <v>0.37</v>
      </c>
      <c r="I477" s="7">
        <f t="shared" si="486"/>
        <v>0.05</v>
      </c>
      <c r="J477" s="7">
        <f t="shared" si="486"/>
        <v>0.26</v>
      </c>
      <c r="K477" s="7" t="str">
        <f t="shared" si="6"/>
        <v>Low</v>
      </c>
      <c r="L477" s="7">
        <f t="shared" si="7"/>
        <v>2301585</v>
      </c>
      <c r="M477" s="7">
        <f t="shared" si="8"/>
        <v>2277927.08</v>
      </c>
      <c r="N477" s="7">
        <f t="shared" si="9"/>
        <v>81470</v>
      </c>
      <c r="O477" s="7">
        <f t="shared" si="13"/>
        <v>178345</v>
      </c>
      <c r="P477" s="7">
        <f t="shared" si="10"/>
        <v>945</v>
      </c>
      <c r="Q477" s="7">
        <f t="shared" si="11"/>
        <v>0.24</v>
      </c>
    </row>
    <row r="478">
      <c r="A478" s="4" t="s">
        <v>1332</v>
      </c>
      <c r="B478" s="4" t="s">
        <v>1333</v>
      </c>
      <c r="C478" s="4" t="s">
        <v>95</v>
      </c>
      <c r="D478" s="5">
        <v>7035.0</v>
      </c>
      <c r="E478" s="7" t="str">
        <f t="shared" si="2"/>
        <v>G</v>
      </c>
      <c r="F478" s="7" t="str">
        <f t="shared" si="3"/>
        <v>C</v>
      </c>
      <c r="G478" s="7" t="str">
        <f t="shared" si="4"/>
        <v>Transformative change</v>
      </c>
      <c r="H478" s="7">
        <f t="shared" ref="H478:J478" si="487">ROUND(RAND(),2)</f>
        <v>0.23</v>
      </c>
      <c r="I478" s="7">
        <f t="shared" si="487"/>
        <v>0.7</v>
      </c>
      <c r="J478" s="7">
        <f t="shared" si="487"/>
        <v>0.53</v>
      </c>
      <c r="K478" s="7" t="str">
        <f t="shared" si="6"/>
        <v>Low</v>
      </c>
      <c r="L478" s="7">
        <f t="shared" si="7"/>
        <v>1209218</v>
      </c>
      <c r="M478" s="7">
        <f t="shared" si="8"/>
        <v>1028361.151</v>
      </c>
      <c r="N478" s="7">
        <f t="shared" si="9"/>
        <v>98490</v>
      </c>
      <c r="O478" s="7">
        <f t="shared" si="13"/>
        <v>286594</v>
      </c>
      <c r="P478" s="7">
        <f t="shared" si="10"/>
        <v>832</v>
      </c>
      <c r="Q478" s="7">
        <f t="shared" si="11"/>
        <v>0.21</v>
      </c>
    </row>
    <row r="479">
      <c r="A479" s="4" t="s">
        <v>1334</v>
      </c>
      <c r="B479" s="4" t="s">
        <v>431</v>
      </c>
      <c r="C479" s="4" t="s">
        <v>1335</v>
      </c>
      <c r="D479" s="5">
        <v>16799.0</v>
      </c>
      <c r="E479" s="7" t="str">
        <f t="shared" si="2"/>
        <v>A</v>
      </c>
      <c r="F479" s="7" t="str">
        <f t="shared" si="3"/>
        <v>C</v>
      </c>
      <c r="G479" s="7" t="str">
        <f t="shared" si="4"/>
        <v>Transformative change</v>
      </c>
      <c r="H479" s="7">
        <f t="shared" ref="H479:J479" si="488">ROUND(RAND(),2)</f>
        <v>0.81</v>
      </c>
      <c r="I479" s="7">
        <f t="shared" si="488"/>
        <v>0.31</v>
      </c>
      <c r="J479" s="7">
        <f t="shared" si="488"/>
        <v>0.86</v>
      </c>
      <c r="K479" s="7" t="str">
        <f t="shared" si="6"/>
        <v>Medium</v>
      </c>
      <c r="L479" s="7">
        <f t="shared" si="7"/>
        <v>2399608</v>
      </c>
      <c r="M479" s="7">
        <f t="shared" si="8"/>
        <v>1785355.669</v>
      </c>
      <c r="N479" s="7">
        <f t="shared" si="9"/>
        <v>235186</v>
      </c>
      <c r="O479" s="7">
        <f t="shared" si="13"/>
        <v>402949</v>
      </c>
      <c r="P479" s="7">
        <f t="shared" si="10"/>
        <v>836.96</v>
      </c>
      <c r="Q479" s="7">
        <f t="shared" si="11"/>
        <v>0.25</v>
      </c>
    </row>
    <row r="480">
      <c r="A480" s="4" t="s">
        <v>1336</v>
      </c>
      <c r="B480" s="4" t="s">
        <v>1337</v>
      </c>
      <c r="C480" s="4" t="s">
        <v>1338</v>
      </c>
      <c r="D480" s="5">
        <v>10922.0</v>
      </c>
      <c r="E480" s="7" t="str">
        <f t="shared" si="2"/>
        <v>G</v>
      </c>
      <c r="F480" s="7" t="str">
        <f t="shared" si="3"/>
        <v>C</v>
      </c>
      <c r="G480" s="7" t="str">
        <f t="shared" si="4"/>
        <v>Transformative change</v>
      </c>
      <c r="H480" s="7">
        <f t="shared" ref="H480:J480" si="489">ROUND(RAND(),2)</f>
        <v>0.08</v>
      </c>
      <c r="I480" s="7">
        <f t="shared" si="489"/>
        <v>0.51</v>
      </c>
      <c r="J480" s="7">
        <f t="shared" si="489"/>
        <v>0.77</v>
      </c>
      <c r="K480" s="7" t="str">
        <f t="shared" si="6"/>
        <v>Medium</v>
      </c>
      <c r="L480" s="7">
        <f t="shared" si="7"/>
        <v>1345039</v>
      </c>
      <c r="M480" s="7">
        <f t="shared" si="8"/>
        <v>1241020.177</v>
      </c>
      <c r="N480" s="7">
        <f t="shared" si="9"/>
        <v>54610</v>
      </c>
      <c r="O480" s="7">
        <f t="shared" si="13"/>
        <v>58524</v>
      </c>
      <c r="P480" s="7">
        <f t="shared" si="10"/>
        <v>890</v>
      </c>
      <c r="Q480" s="7">
        <f t="shared" si="11"/>
        <v>0.1</v>
      </c>
    </row>
    <row r="481">
      <c r="A481" s="4" t="s">
        <v>1339</v>
      </c>
      <c r="B481" s="4" t="s">
        <v>1340</v>
      </c>
      <c r="C481" s="4" t="s">
        <v>1341</v>
      </c>
      <c r="D481" s="5">
        <v>15337.0</v>
      </c>
      <c r="E481" s="7" t="str">
        <f t="shared" si="2"/>
        <v>F</v>
      </c>
      <c r="F481" s="7" t="str">
        <f t="shared" si="3"/>
        <v>C</v>
      </c>
      <c r="G481" s="7" t="str">
        <f t="shared" si="4"/>
        <v>Transformative change</v>
      </c>
      <c r="H481" s="7">
        <f t="shared" ref="H481:J481" si="490">ROUND(RAND(),2)</f>
        <v>0.01</v>
      </c>
      <c r="I481" s="7">
        <f t="shared" si="490"/>
        <v>0.42</v>
      </c>
      <c r="J481" s="7">
        <f t="shared" si="490"/>
        <v>0.18</v>
      </c>
      <c r="K481" s="7" t="str">
        <f t="shared" si="6"/>
        <v>Low</v>
      </c>
      <c r="L481" s="7">
        <f t="shared" si="7"/>
        <v>3251092</v>
      </c>
      <c r="M481" s="7">
        <f t="shared" si="8"/>
        <v>37311.61774</v>
      </c>
      <c r="N481" s="7">
        <f t="shared" si="9"/>
        <v>76685</v>
      </c>
      <c r="O481" s="7">
        <f t="shared" si="13"/>
        <v>211587</v>
      </c>
      <c r="P481" s="7">
        <f t="shared" si="10"/>
        <v>1094</v>
      </c>
      <c r="Q481" s="7">
        <f t="shared" si="11"/>
        <v>0.2</v>
      </c>
    </row>
    <row r="482">
      <c r="A482" s="4" t="s">
        <v>1342</v>
      </c>
      <c r="B482" s="4" t="s">
        <v>1343</v>
      </c>
      <c r="C482" s="4" t="s">
        <v>1344</v>
      </c>
      <c r="D482" s="5">
        <v>5357.0</v>
      </c>
      <c r="E482" s="7" t="str">
        <f t="shared" si="2"/>
        <v>C</v>
      </c>
      <c r="F482" s="7" t="str">
        <f t="shared" si="3"/>
        <v>C</v>
      </c>
      <c r="G482" s="7" t="str">
        <f t="shared" si="4"/>
        <v>Transformative change</v>
      </c>
      <c r="H482" s="7">
        <f t="shared" ref="H482:J482" si="491">ROUND(RAND(),2)</f>
        <v>0.54</v>
      </c>
      <c r="I482" s="7">
        <f t="shared" si="491"/>
        <v>0.82</v>
      </c>
      <c r="J482" s="7">
        <f t="shared" si="491"/>
        <v>0.74</v>
      </c>
      <c r="K482" s="7" t="str">
        <f t="shared" si="6"/>
        <v>High</v>
      </c>
      <c r="L482" s="7">
        <f t="shared" si="7"/>
        <v>878767</v>
      </c>
      <c r="M482" s="7">
        <f t="shared" si="8"/>
        <v>506021.321</v>
      </c>
      <c r="N482" s="7">
        <f t="shared" si="9"/>
        <v>48213</v>
      </c>
      <c r="O482" s="7">
        <f t="shared" si="13"/>
        <v>123716</v>
      </c>
      <c r="P482" s="7">
        <f t="shared" si="10"/>
        <v>848</v>
      </c>
      <c r="Q482" s="7">
        <f t="shared" si="11"/>
        <v>0.12</v>
      </c>
    </row>
    <row r="483">
      <c r="A483" s="4" t="s">
        <v>1345</v>
      </c>
      <c r="B483" s="4" t="s">
        <v>1346</v>
      </c>
      <c r="C483" s="4" t="s">
        <v>1347</v>
      </c>
      <c r="D483" s="5">
        <v>19536.0</v>
      </c>
      <c r="E483" s="7" t="str">
        <f t="shared" si="2"/>
        <v>F</v>
      </c>
      <c r="F483" s="7" t="str">
        <f t="shared" si="3"/>
        <v>C</v>
      </c>
      <c r="G483" s="7" t="str">
        <f t="shared" si="4"/>
        <v>Transformative change</v>
      </c>
      <c r="H483" s="7">
        <f t="shared" ref="H483:J483" si="492">ROUND(RAND(),2)</f>
        <v>0.22</v>
      </c>
      <c r="I483" s="7">
        <f t="shared" si="492"/>
        <v>0.23</v>
      </c>
      <c r="J483" s="7">
        <f t="shared" si="492"/>
        <v>0.22</v>
      </c>
      <c r="K483" s="7" t="str">
        <f t="shared" si="6"/>
        <v>Medium</v>
      </c>
      <c r="L483" s="7">
        <f t="shared" si="7"/>
        <v>3024102</v>
      </c>
      <c r="M483" s="7">
        <f t="shared" si="8"/>
        <v>376285.3</v>
      </c>
      <c r="N483" s="7">
        <f t="shared" si="9"/>
        <v>214896</v>
      </c>
      <c r="O483" s="7">
        <f t="shared" si="13"/>
        <v>288779</v>
      </c>
      <c r="P483" s="7">
        <f t="shared" si="10"/>
        <v>1318.38</v>
      </c>
      <c r="Q483" s="7">
        <f t="shared" si="11"/>
        <v>0.3</v>
      </c>
    </row>
    <row r="484">
      <c r="A484" s="4" t="s">
        <v>1348</v>
      </c>
      <c r="B484" s="4" t="s">
        <v>1349</v>
      </c>
      <c r="C484" s="4" t="s">
        <v>1350</v>
      </c>
      <c r="D484" s="5">
        <v>59418.0</v>
      </c>
      <c r="E484" s="7" t="str">
        <f t="shared" si="2"/>
        <v>B</v>
      </c>
      <c r="F484" s="7" t="str">
        <f t="shared" si="3"/>
        <v>C</v>
      </c>
      <c r="G484" s="7" t="str">
        <f t="shared" si="4"/>
        <v>Transformative change</v>
      </c>
      <c r="H484" s="7">
        <f t="shared" ref="H484:J484" si="493">ROUND(RAND(),2)</f>
        <v>0.72</v>
      </c>
      <c r="I484" s="7">
        <f t="shared" si="493"/>
        <v>0.06</v>
      </c>
      <c r="J484" s="7">
        <f t="shared" si="493"/>
        <v>0.31</v>
      </c>
      <c r="K484" s="7" t="str">
        <f t="shared" si="6"/>
        <v>High</v>
      </c>
      <c r="L484" s="7">
        <f t="shared" si="7"/>
        <v>1685103</v>
      </c>
      <c r="M484" s="7">
        <f t="shared" si="8"/>
        <v>653986.3412</v>
      </c>
      <c r="N484" s="7">
        <f t="shared" si="9"/>
        <v>475344</v>
      </c>
      <c r="O484" s="7">
        <f t="shared" si="13"/>
        <v>669219</v>
      </c>
      <c r="P484" s="7">
        <f t="shared" si="10"/>
        <v>4442.47</v>
      </c>
      <c r="Q484" s="7">
        <f t="shared" si="11"/>
        <v>0.2</v>
      </c>
    </row>
    <row r="485">
      <c r="A485" s="4" t="s">
        <v>1351</v>
      </c>
      <c r="B485" s="4" t="s">
        <v>1352</v>
      </c>
      <c r="C485" s="4" t="s">
        <v>95</v>
      </c>
      <c r="D485" s="5">
        <v>19598.0</v>
      </c>
      <c r="E485" s="7" t="str">
        <f t="shared" si="2"/>
        <v>E</v>
      </c>
      <c r="F485" s="7" t="str">
        <f t="shared" si="3"/>
        <v>A</v>
      </c>
      <c r="G485" s="7" t="str">
        <f t="shared" si="4"/>
        <v>Transformative change</v>
      </c>
      <c r="H485" s="7">
        <f t="shared" ref="H485:J485" si="494">ROUND(RAND(),2)</f>
        <v>0.57</v>
      </c>
      <c r="I485" s="7">
        <f t="shared" si="494"/>
        <v>0.6</v>
      </c>
      <c r="J485" s="7">
        <f t="shared" si="494"/>
        <v>0.27</v>
      </c>
      <c r="K485" s="7" t="str">
        <f t="shared" si="6"/>
        <v>Low</v>
      </c>
      <c r="L485" s="7">
        <f t="shared" si="7"/>
        <v>3501924</v>
      </c>
      <c r="M485" s="7">
        <f t="shared" si="8"/>
        <v>565011.4262</v>
      </c>
      <c r="N485" s="7">
        <f t="shared" si="9"/>
        <v>78392</v>
      </c>
      <c r="O485" s="7">
        <f t="shared" si="13"/>
        <v>110686</v>
      </c>
      <c r="P485" s="7">
        <f t="shared" si="10"/>
        <v>259.58</v>
      </c>
      <c r="Q485" s="7">
        <f t="shared" si="11"/>
        <v>0.21</v>
      </c>
    </row>
    <row r="486">
      <c r="A486" s="4" t="s">
        <v>1353</v>
      </c>
      <c r="B486" s="4" t="s">
        <v>1354</v>
      </c>
      <c r="C486" s="4" t="s">
        <v>1355</v>
      </c>
      <c r="D486" s="5">
        <v>5871.0</v>
      </c>
      <c r="E486" s="7" t="str">
        <f t="shared" si="2"/>
        <v>E</v>
      </c>
      <c r="F486" s="7" t="str">
        <f t="shared" si="3"/>
        <v>B</v>
      </c>
      <c r="G486" s="7" t="str">
        <f t="shared" si="4"/>
        <v>High ambition</v>
      </c>
      <c r="H486" s="7">
        <f t="shared" ref="H486:J486" si="495">ROUND(RAND(),2)</f>
        <v>0.38</v>
      </c>
      <c r="I486" s="7">
        <f t="shared" si="495"/>
        <v>0.38</v>
      </c>
      <c r="J486" s="7">
        <f t="shared" si="495"/>
        <v>0.12</v>
      </c>
      <c r="K486" s="7" t="str">
        <f t="shared" si="6"/>
        <v>Medium</v>
      </c>
      <c r="L486" s="7">
        <f t="shared" si="7"/>
        <v>1525288</v>
      </c>
      <c r="M486" s="7">
        <f t="shared" si="8"/>
        <v>1103492.48</v>
      </c>
      <c r="N486" s="7">
        <f t="shared" si="9"/>
        <v>82194</v>
      </c>
      <c r="O486" s="7">
        <f t="shared" si="13"/>
        <v>230977</v>
      </c>
      <c r="P486" s="7">
        <f t="shared" si="10"/>
        <v>1047</v>
      </c>
      <c r="Q486" s="7">
        <f t="shared" si="11"/>
        <v>0.19</v>
      </c>
    </row>
    <row r="487">
      <c r="A487" s="4" t="s">
        <v>1356</v>
      </c>
      <c r="B487" s="4" t="s">
        <v>1357</v>
      </c>
      <c r="C487" s="4" t="s">
        <v>95</v>
      </c>
      <c r="D487" s="5">
        <v>8190.0</v>
      </c>
      <c r="E487" s="7" t="str">
        <f t="shared" si="2"/>
        <v>F</v>
      </c>
      <c r="F487" s="7" t="str">
        <f t="shared" si="3"/>
        <v>C</v>
      </c>
      <c r="G487" s="7" t="str">
        <f t="shared" si="4"/>
        <v>Transformative change</v>
      </c>
      <c r="H487" s="7">
        <f t="shared" ref="H487:J487" si="496">ROUND(RAND(),2)</f>
        <v>0.78</v>
      </c>
      <c r="I487" s="7">
        <f t="shared" si="496"/>
        <v>0.11</v>
      </c>
      <c r="J487" s="7">
        <f t="shared" si="496"/>
        <v>0.06</v>
      </c>
      <c r="K487" s="7" t="str">
        <f t="shared" si="6"/>
        <v>High</v>
      </c>
      <c r="L487" s="7">
        <f t="shared" si="7"/>
        <v>3713919</v>
      </c>
      <c r="M487" s="7">
        <f t="shared" si="8"/>
        <v>2635708.452</v>
      </c>
      <c r="N487" s="7">
        <f t="shared" si="9"/>
        <v>90090</v>
      </c>
      <c r="O487" s="7">
        <f t="shared" si="13"/>
        <v>249870</v>
      </c>
      <c r="P487" s="7">
        <f t="shared" si="10"/>
        <v>1015</v>
      </c>
      <c r="Q487" s="7">
        <f t="shared" si="11"/>
        <v>0.29</v>
      </c>
    </row>
    <row r="488">
      <c r="A488" s="4" t="s">
        <v>1358</v>
      </c>
      <c r="B488" s="4" t="s">
        <v>1359</v>
      </c>
      <c r="C488" s="4" t="s">
        <v>1360</v>
      </c>
      <c r="D488" s="5">
        <v>11180.0</v>
      </c>
      <c r="E488" s="7" t="str">
        <f t="shared" si="2"/>
        <v>E</v>
      </c>
      <c r="F488" s="7" t="str">
        <f t="shared" si="3"/>
        <v>B</v>
      </c>
      <c r="G488" s="7" t="str">
        <f t="shared" si="4"/>
        <v>Transformative change</v>
      </c>
      <c r="H488" s="7">
        <f t="shared" ref="H488:J488" si="497">ROUND(RAND(),2)</f>
        <v>0.39</v>
      </c>
      <c r="I488" s="7">
        <f t="shared" si="497"/>
        <v>0.19</v>
      </c>
      <c r="J488" s="7">
        <f t="shared" si="497"/>
        <v>0.18</v>
      </c>
      <c r="K488" s="7" t="str">
        <f t="shared" si="6"/>
        <v>High</v>
      </c>
      <c r="L488" s="7">
        <f t="shared" si="7"/>
        <v>543583</v>
      </c>
      <c r="M488" s="7">
        <f t="shared" si="8"/>
        <v>430857.3784</v>
      </c>
      <c r="N488" s="7">
        <f t="shared" si="9"/>
        <v>89440</v>
      </c>
      <c r="O488" s="7">
        <f t="shared" si="13"/>
        <v>201825</v>
      </c>
      <c r="P488" s="7">
        <f t="shared" si="10"/>
        <v>1056</v>
      </c>
      <c r="Q488" s="7">
        <f t="shared" si="11"/>
        <v>0.11</v>
      </c>
    </row>
    <row r="489">
      <c r="A489" s="4" t="s">
        <v>1361</v>
      </c>
      <c r="B489" s="4" t="s">
        <v>1362</v>
      </c>
      <c r="C489" s="4" t="s">
        <v>95</v>
      </c>
      <c r="D489" s="5">
        <v>19622.0</v>
      </c>
      <c r="E489" s="7" t="str">
        <f t="shared" si="2"/>
        <v>E</v>
      </c>
      <c r="F489" s="7" t="str">
        <f t="shared" si="3"/>
        <v>B</v>
      </c>
      <c r="G489" s="7" t="str">
        <f t="shared" si="4"/>
        <v>High ambition</v>
      </c>
      <c r="H489" s="7">
        <f t="shared" ref="H489:J489" si="498">ROUND(RAND(),2)</f>
        <v>0.14</v>
      </c>
      <c r="I489" s="7">
        <f t="shared" si="498"/>
        <v>0.15</v>
      </c>
      <c r="J489" s="7">
        <f t="shared" si="498"/>
        <v>0.22</v>
      </c>
      <c r="K489" s="7" t="str">
        <f t="shared" si="6"/>
        <v>High</v>
      </c>
      <c r="L489" s="7">
        <f t="shared" si="7"/>
        <v>2273144</v>
      </c>
      <c r="M489" s="7">
        <f t="shared" si="8"/>
        <v>217147.7844</v>
      </c>
      <c r="N489" s="7">
        <f t="shared" si="9"/>
        <v>156976</v>
      </c>
      <c r="O489" s="7">
        <f t="shared" si="13"/>
        <v>199434</v>
      </c>
      <c r="P489" s="7">
        <f t="shared" si="10"/>
        <v>968</v>
      </c>
      <c r="Q489" s="7">
        <f t="shared" si="11"/>
        <v>0.13</v>
      </c>
    </row>
    <row r="490">
      <c r="A490" s="4" t="s">
        <v>1363</v>
      </c>
      <c r="B490" s="4" t="s">
        <v>1364</v>
      </c>
      <c r="C490" s="4" t="s">
        <v>1365</v>
      </c>
      <c r="D490" s="5">
        <v>9021.0</v>
      </c>
      <c r="E490" s="7" t="str">
        <f t="shared" si="2"/>
        <v>F</v>
      </c>
      <c r="F490" s="7" t="str">
        <f t="shared" si="3"/>
        <v>B</v>
      </c>
      <c r="G490" s="7" t="str">
        <f t="shared" si="4"/>
        <v>Transformative change</v>
      </c>
      <c r="H490" s="7">
        <f t="shared" ref="H490:J490" si="499">ROUND(RAND(),2)</f>
        <v>0.46</v>
      </c>
      <c r="I490" s="7">
        <f t="shared" si="499"/>
        <v>0.21</v>
      </c>
      <c r="J490" s="7">
        <f t="shared" si="499"/>
        <v>0.03</v>
      </c>
      <c r="K490" s="7" t="str">
        <f t="shared" si="6"/>
        <v>Low</v>
      </c>
      <c r="L490" s="7">
        <f t="shared" si="7"/>
        <v>317435</v>
      </c>
      <c r="M490" s="7">
        <f t="shared" si="8"/>
        <v>157738.2815</v>
      </c>
      <c r="N490" s="7">
        <f t="shared" si="9"/>
        <v>63147</v>
      </c>
      <c r="O490" s="7">
        <f t="shared" si="13"/>
        <v>195310</v>
      </c>
      <c r="P490" s="7">
        <f t="shared" si="10"/>
        <v>187.94</v>
      </c>
      <c r="Q490" s="7">
        <f t="shared" si="11"/>
        <v>0.12</v>
      </c>
    </row>
    <row r="491">
      <c r="A491" s="4" t="s">
        <v>1366</v>
      </c>
      <c r="B491" s="4" t="s">
        <v>1367</v>
      </c>
      <c r="C491" s="4" t="s">
        <v>1368</v>
      </c>
      <c r="D491" s="5">
        <v>375458.0</v>
      </c>
      <c r="E491" s="7" t="str">
        <f t="shared" si="2"/>
        <v>G</v>
      </c>
      <c r="F491" s="7" t="str">
        <f t="shared" si="3"/>
        <v>A</v>
      </c>
      <c r="G491" s="7" t="str">
        <f t="shared" si="4"/>
        <v>Transformative change</v>
      </c>
      <c r="H491" s="7">
        <f t="shared" ref="H491:J491" si="500">ROUND(RAND(),2)</f>
        <v>0.94</v>
      </c>
      <c r="I491" s="7">
        <f t="shared" si="500"/>
        <v>0.59</v>
      </c>
      <c r="J491" s="7">
        <f t="shared" si="500"/>
        <v>0.23</v>
      </c>
      <c r="K491" s="7" t="str">
        <f t="shared" si="6"/>
        <v>Medium</v>
      </c>
      <c r="L491" s="7">
        <f t="shared" si="7"/>
        <v>1348957</v>
      </c>
      <c r="M491" s="7">
        <f t="shared" si="8"/>
        <v>1255344.729</v>
      </c>
      <c r="N491" s="7">
        <f t="shared" si="9"/>
        <v>4880954</v>
      </c>
      <c r="O491" s="7">
        <f t="shared" si="13"/>
        <v>4896352</v>
      </c>
      <c r="P491" s="7">
        <f t="shared" si="10"/>
        <v>122023.85</v>
      </c>
      <c r="Q491" s="7">
        <f t="shared" si="11"/>
        <v>0.08</v>
      </c>
    </row>
    <row r="492">
      <c r="A492" s="4" t="s">
        <v>1369</v>
      </c>
      <c r="B492" s="4" t="s">
        <v>1370</v>
      </c>
      <c r="C492" s="4" t="s">
        <v>905</v>
      </c>
      <c r="D492" s="5">
        <v>82336.0</v>
      </c>
      <c r="E492" s="7" t="str">
        <f t="shared" si="2"/>
        <v>G</v>
      </c>
      <c r="F492" s="7" t="str">
        <f t="shared" si="3"/>
        <v>A</v>
      </c>
      <c r="G492" s="7" t="str">
        <f t="shared" si="4"/>
        <v>Transformative change</v>
      </c>
      <c r="H492" s="7">
        <f t="shared" ref="H492:J492" si="501">ROUND(RAND(),2)</f>
        <v>0.34</v>
      </c>
      <c r="I492" s="7">
        <f t="shared" si="501"/>
        <v>0.99</v>
      </c>
      <c r="J492" s="7">
        <f t="shared" si="501"/>
        <v>0.19</v>
      </c>
      <c r="K492" s="7" t="str">
        <f t="shared" si="6"/>
        <v>High</v>
      </c>
      <c r="L492" s="7">
        <f t="shared" si="7"/>
        <v>3512214</v>
      </c>
      <c r="M492" s="7">
        <f t="shared" si="8"/>
        <v>474215.3477</v>
      </c>
      <c r="N492" s="7">
        <f t="shared" si="9"/>
        <v>1235040</v>
      </c>
      <c r="O492" s="7">
        <f t="shared" si="13"/>
        <v>1402190</v>
      </c>
      <c r="P492" s="7">
        <f t="shared" si="10"/>
        <v>10929.56</v>
      </c>
      <c r="Q492" s="7">
        <f t="shared" si="11"/>
        <v>0.27</v>
      </c>
    </row>
    <row r="493">
      <c r="A493" s="4" t="s">
        <v>1371</v>
      </c>
      <c r="B493" s="4" t="s">
        <v>1372</v>
      </c>
      <c r="C493" s="4" t="s">
        <v>1373</v>
      </c>
      <c r="D493" s="5">
        <v>9169.0</v>
      </c>
      <c r="E493" s="7" t="str">
        <f t="shared" si="2"/>
        <v>C</v>
      </c>
      <c r="F493" s="7" t="str">
        <f t="shared" si="3"/>
        <v>C</v>
      </c>
      <c r="G493" s="7" t="str">
        <f t="shared" si="4"/>
        <v>Transformative change</v>
      </c>
      <c r="H493" s="7">
        <f t="shared" ref="H493:J493" si="502">ROUND(RAND(),2)</f>
        <v>0.95</v>
      </c>
      <c r="I493" s="7">
        <f t="shared" si="502"/>
        <v>0.95</v>
      </c>
      <c r="J493" s="7">
        <f t="shared" si="502"/>
        <v>0.99</v>
      </c>
      <c r="K493" s="7" t="str">
        <f t="shared" si="6"/>
        <v>High</v>
      </c>
      <c r="L493" s="7">
        <f t="shared" si="7"/>
        <v>1633447</v>
      </c>
      <c r="M493" s="7">
        <f t="shared" si="8"/>
        <v>1117091.755</v>
      </c>
      <c r="N493" s="7">
        <f t="shared" si="9"/>
        <v>45845</v>
      </c>
      <c r="O493" s="7">
        <f t="shared" si="13"/>
        <v>170259</v>
      </c>
      <c r="P493" s="7">
        <f t="shared" si="10"/>
        <v>944</v>
      </c>
      <c r="Q493" s="7">
        <f t="shared" si="11"/>
        <v>0.2</v>
      </c>
    </row>
    <row r="494">
      <c r="A494" s="4" t="s">
        <v>1374</v>
      </c>
      <c r="B494" s="4" t="s">
        <v>1375</v>
      </c>
      <c r="C494" s="4" t="s">
        <v>1376</v>
      </c>
      <c r="D494" s="5">
        <v>15479.0</v>
      </c>
      <c r="E494" s="7" t="str">
        <f t="shared" si="2"/>
        <v>E</v>
      </c>
      <c r="F494" s="7" t="str">
        <f t="shared" si="3"/>
        <v>B</v>
      </c>
      <c r="G494" s="7" t="str">
        <f t="shared" si="4"/>
        <v>Transformative change</v>
      </c>
      <c r="H494" s="7">
        <f t="shared" ref="H494:J494" si="503">ROUND(RAND(),2)</f>
        <v>0.59</v>
      </c>
      <c r="I494" s="7">
        <f t="shared" si="503"/>
        <v>0.98</v>
      </c>
      <c r="J494" s="7">
        <f t="shared" si="503"/>
        <v>0.05</v>
      </c>
      <c r="K494" s="7" t="str">
        <f t="shared" si="6"/>
        <v>Low</v>
      </c>
      <c r="L494" s="7">
        <f t="shared" si="7"/>
        <v>987602</v>
      </c>
      <c r="M494" s="7">
        <f t="shared" si="8"/>
        <v>326332.9119</v>
      </c>
      <c r="N494" s="7">
        <f t="shared" si="9"/>
        <v>77395</v>
      </c>
      <c r="O494" s="7">
        <f t="shared" si="13"/>
        <v>85677</v>
      </c>
      <c r="P494" s="7">
        <f t="shared" si="10"/>
        <v>839</v>
      </c>
      <c r="Q494" s="7">
        <f t="shared" si="11"/>
        <v>0.01</v>
      </c>
    </row>
    <row r="495">
      <c r="A495" s="4" t="s">
        <v>1377</v>
      </c>
      <c r="B495" s="4" t="s">
        <v>1378</v>
      </c>
      <c r="C495" s="4" t="s">
        <v>1379</v>
      </c>
      <c r="D495" s="5">
        <v>251125.0</v>
      </c>
      <c r="E495" s="7" t="str">
        <f t="shared" si="2"/>
        <v>A</v>
      </c>
      <c r="F495" s="7" t="str">
        <f t="shared" si="3"/>
        <v>A</v>
      </c>
      <c r="G495" s="7" t="str">
        <f t="shared" si="4"/>
        <v>Transformative change</v>
      </c>
      <c r="H495" s="7">
        <f t="shared" ref="H495:J495" si="504">ROUND(RAND(),2)</f>
        <v>0.85</v>
      </c>
      <c r="I495" s="7">
        <f t="shared" si="504"/>
        <v>0.95</v>
      </c>
      <c r="J495" s="7">
        <f t="shared" si="504"/>
        <v>0.77</v>
      </c>
      <c r="K495" s="7" t="str">
        <f t="shared" si="6"/>
        <v>High</v>
      </c>
      <c r="L495" s="7">
        <f t="shared" si="7"/>
        <v>3172352</v>
      </c>
      <c r="M495" s="7">
        <f t="shared" si="8"/>
        <v>2966295.586</v>
      </c>
      <c r="N495" s="7">
        <f t="shared" si="9"/>
        <v>1255625</v>
      </c>
      <c r="O495" s="7">
        <f t="shared" si="13"/>
        <v>1405866</v>
      </c>
      <c r="P495" s="7">
        <f t="shared" si="10"/>
        <v>3295.6</v>
      </c>
      <c r="Q495" s="7">
        <f t="shared" si="11"/>
        <v>0.11</v>
      </c>
    </row>
    <row r="496">
      <c r="A496" s="4" t="s">
        <v>1380</v>
      </c>
      <c r="B496" s="4" t="s">
        <v>1381</v>
      </c>
      <c r="C496" s="4" t="s">
        <v>1382</v>
      </c>
      <c r="D496" s="5">
        <v>447956.0</v>
      </c>
      <c r="E496" s="7" t="str">
        <f t="shared" si="2"/>
        <v>A</v>
      </c>
      <c r="F496" s="7" t="str">
        <f t="shared" si="3"/>
        <v>C</v>
      </c>
      <c r="G496" s="7" t="str">
        <f t="shared" si="4"/>
        <v>High ambition</v>
      </c>
      <c r="H496" s="7">
        <f t="shared" ref="H496:J496" si="505">ROUND(RAND(),2)</f>
        <v>0.4</v>
      </c>
      <c r="I496" s="7">
        <f t="shared" si="505"/>
        <v>0.13</v>
      </c>
      <c r="J496" s="7">
        <f t="shared" si="505"/>
        <v>0.06</v>
      </c>
      <c r="K496" s="7" t="str">
        <f t="shared" si="6"/>
        <v>High</v>
      </c>
      <c r="L496" s="7">
        <f t="shared" si="7"/>
        <v>2460215</v>
      </c>
      <c r="M496" s="7">
        <f t="shared" si="8"/>
        <v>1008073.048</v>
      </c>
      <c r="N496" s="7">
        <f t="shared" si="9"/>
        <v>3135692</v>
      </c>
      <c r="O496" s="7">
        <f t="shared" si="13"/>
        <v>3265874</v>
      </c>
      <c r="P496" s="7">
        <f t="shared" si="10"/>
        <v>19721.33</v>
      </c>
      <c r="Q496" s="7">
        <f t="shared" si="11"/>
        <v>0.05</v>
      </c>
    </row>
    <row r="497">
      <c r="A497" s="4" t="s">
        <v>1383</v>
      </c>
      <c r="B497" s="4" t="s">
        <v>1384</v>
      </c>
      <c r="C497" s="4" t="s">
        <v>1385</v>
      </c>
      <c r="D497" s="5">
        <v>18006.0</v>
      </c>
      <c r="E497" s="7" t="str">
        <f t="shared" si="2"/>
        <v>D</v>
      </c>
      <c r="F497" s="7" t="str">
        <f t="shared" si="3"/>
        <v>C</v>
      </c>
      <c r="G497" s="7" t="str">
        <f t="shared" si="4"/>
        <v>Transformative change</v>
      </c>
      <c r="H497" s="7">
        <f t="shared" ref="H497:J497" si="506">ROUND(RAND(),2)</f>
        <v>0.6</v>
      </c>
      <c r="I497" s="7">
        <f t="shared" si="506"/>
        <v>0.89</v>
      </c>
      <c r="J497" s="7">
        <f t="shared" si="506"/>
        <v>0.58</v>
      </c>
      <c r="K497" s="7" t="str">
        <f t="shared" si="6"/>
        <v>Medium</v>
      </c>
      <c r="L497" s="7">
        <f t="shared" si="7"/>
        <v>2324216</v>
      </c>
      <c r="M497" s="7">
        <f t="shared" si="8"/>
        <v>25663.18829</v>
      </c>
      <c r="N497" s="7">
        <f t="shared" si="9"/>
        <v>180060</v>
      </c>
      <c r="O497" s="7">
        <f t="shared" si="13"/>
        <v>208103</v>
      </c>
      <c r="P497" s="7">
        <f t="shared" si="10"/>
        <v>867</v>
      </c>
      <c r="Q497" s="7">
        <f t="shared" si="11"/>
        <v>0.03</v>
      </c>
    </row>
    <row r="498">
      <c r="A498" s="4" t="s">
        <v>1386</v>
      </c>
      <c r="B498" s="4" t="s">
        <v>1387</v>
      </c>
      <c r="C498" s="4" t="s">
        <v>95</v>
      </c>
      <c r="D498" s="5">
        <v>14980.0</v>
      </c>
      <c r="E498" s="7" t="str">
        <f t="shared" si="2"/>
        <v>G</v>
      </c>
      <c r="F498" s="7" t="str">
        <f t="shared" si="3"/>
        <v>C</v>
      </c>
      <c r="G498" s="7" t="str">
        <f t="shared" si="4"/>
        <v>Transformative change</v>
      </c>
      <c r="H498" s="7">
        <f t="shared" ref="H498:J498" si="507">ROUND(RAND(),2)</f>
        <v>0.64</v>
      </c>
      <c r="I498" s="7">
        <f t="shared" si="507"/>
        <v>0.12</v>
      </c>
      <c r="J498" s="7">
        <f t="shared" si="507"/>
        <v>0.79</v>
      </c>
      <c r="K498" s="7" t="str">
        <f t="shared" si="6"/>
        <v>High</v>
      </c>
      <c r="L498" s="7">
        <f t="shared" si="7"/>
        <v>1825671</v>
      </c>
      <c r="M498" s="7">
        <f t="shared" si="8"/>
        <v>1693704.504</v>
      </c>
      <c r="N498" s="7">
        <f t="shared" si="9"/>
        <v>209720</v>
      </c>
      <c r="O498" s="7">
        <f t="shared" si="13"/>
        <v>287488</v>
      </c>
      <c r="P498" s="7">
        <f t="shared" si="10"/>
        <v>5825.56</v>
      </c>
      <c r="Q498" s="7">
        <f t="shared" si="11"/>
        <v>0.22</v>
      </c>
    </row>
    <row r="499">
      <c r="A499" s="4" t="s">
        <v>1388</v>
      </c>
      <c r="B499" s="4" t="s">
        <v>1389</v>
      </c>
      <c r="C499" s="4" t="s">
        <v>1390</v>
      </c>
      <c r="D499" s="5">
        <v>7118.0</v>
      </c>
      <c r="E499" s="7" t="str">
        <f t="shared" si="2"/>
        <v>A</v>
      </c>
      <c r="F499" s="7" t="str">
        <f t="shared" si="3"/>
        <v>A</v>
      </c>
      <c r="G499" s="7" t="str">
        <f t="shared" si="4"/>
        <v>Transformative change</v>
      </c>
      <c r="H499" s="7">
        <f t="shared" ref="H499:J499" si="508">ROUND(RAND(),2)</f>
        <v>0.81</v>
      </c>
      <c r="I499" s="7">
        <f t="shared" si="508"/>
        <v>0.57</v>
      </c>
      <c r="J499" s="7">
        <f t="shared" si="508"/>
        <v>0.81</v>
      </c>
      <c r="K499" s="7" t="str">
        <f t="shared" si="6"/>
        <v>High</v>
      </c>
      <c r="L499" s="7">
        <f t="shared" si="7"/>
        <v>3345872</v>
      </c>
      <c r="M499" s="7">
        <f t="shared" si="8"/>
        <v>2826561.514</v>
      </c>
      <c r="N499" s="7">
        <f t="shared" si="9"/>
        <v>71180</v>
      </c>
      <c r="O499" s="7">
        <f t="shared" si="13"/>
        <v>84470</v>
      </c>
      <c r="P499" s="7">
        <f t="shared" si="10"/>
        <v>1082</v>
      </c>
      <c r="Q499" s="7">
        <f t="shared" si="11"/>
        <v>0.29</v>
      </c>
    </row>
    <row r="500">
      <c r="A500" s="4" t="s">
        <v>1391</v>
      </c>
      <c r="B500" s="4" t="s">
        <v>1392</v>
      </c>
      <c r="C500" s="4" t="s">
        <v>1393</v>
      </c>
      <c r="D500" s="5">
        <v>7291.0</v>
      </c>
      <c r="E500" s="7" t="str">
        <f t="shared" si="2"/>
        <v>E</v>
      </c>
      <c r="F500" s="7" t="str">
        <f t="shared" si="3"/>
        <v>A</v>
      </c>
      <c r="G500" s="7" t="str">
        <f t="shared" si="4"/>
        <v>Transformative change</v>
      </c>
      <c r="H500" s="7">
        <f t="shared" ref="H500:J500" si="509">ROUND(RAND(),2)</f>
        <v>0.34</v>
      </c>
      <c r="I500" s="7">
        <f t="shared" si="509"/>
        <v>0.32</v>
      </c>
      <c r="J500" s="7">
        <f t="shared" si="509"/>
        <v>0.31</v>
      </c>
      <c r="K500" s="7" t="str">
        <f t="shared" si="6"/>
        <v>Low</v>
      </c>
      <c r="L500" s="7">
        <f t="shared" si="7"/>
        <v>2583382</v>
      </c>
      <c r="M500" s="7">
        <f t="shared" si="8"/>
        <v>243896.4971</v>
      </c>
      <c r="N500" s="7">
        <f t="shared" si="9"/>
        <v>102074</v>
      </c>
      <c r="O500" s="7">
        <f t="shared" si="13"/>
        <v>199983</v>
      </c>
      <c r="P500" s="7">
        <f t="shared" si="10"/>
        <v>950</v>
      </c>
      <c r="Q500" s="7">
        <f t="shared" si="11"/>
        <v>0.05</v>
      </c>
    </row>
    <row r="501">
      <c r="A501" s="4" t="s">
        <v>1394</v>
      </c>
      <c r="B501" s="4" t="s">
        <v>1395</v>
      </c>
      <c r="C501" s="4" t="s">
        <v>95</v>
      </c>
      <c r="D501" s="5">
        <v>87736.0</v>
      </c>
      <c r="E501" s="7" t="str">
        <f t="shared" si="2"/>
        <v>E</v>
      </c>
      <c r="F501" s="7" t="str">
        <f t="shared" si="3"/>
        <v>C</v>
      </c>
      <c r="G501" s="7" t="str">
        <f t="shared" si="4"/>
        <v>Transformative change</v>
      </c>
      <c r="H501" s="7">
        <f t="shared" ref="H501:J501" si="510">ROUND(RAND(),2)</f>
        <v>0.81</v>
      </c>
      <c r="I501" s="7">
        <f t="shared" si="510"/>
        <v>0.47</v>
      </c>
      <c r="J501" s="7">
        <f t="shared" si="510"/>
        <v>1</v>
      </c>
      <c r="K501" s="7" t="str">
        <f t="shared" si="6"/>
        <v>High</v>
      </c>
      <c r="L501" s="7">
        <f t="shared" si="7"/>
        <v>1617926</v>
      </c>
      <c r="M501" s="7">
        <f t="shared" si="8"/>
        <v>204408.7197</v>
      </c>
      <c r="N501" s="7">
        <f t="shared" si="9"/>
        <v>701888</v>
      </c>
      <c r="O501" s="7">
        <f t="shared" si="13"/>
        <v>783143</v>
      </c>
      <c r="P501" s="7">
        <f t="shared" si="10"/>
        <v>9358.51</v>
      </c>
      <c r="Q501" s="7">
        <f t="shared" si="11"/>
        <v>0.17</v>
      </c>
    </row>
  </sheetData>
  <drawing r:id="rId1"/>
</worksheet>
</file>