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calRisk" sheetId="1" r:id="rId4"/>
    <sheet state="visible" name="TransitionRisk" sheetId="2" r:id="rId5"/>
  </sheets>
  <definedNames/>
  <calcPr/>
</workbook>
</file>

<file path=xl/sharedStrings.xml><?xml version="1.0" encoding="utf-8"?>
<sst xmlns="http://schemas.openxmlformats.org/spreadsheetml/2006/main" count="3023" uniqueCount="1378">
  <si>
    <t>pickup_longitude</t>
  </si>
  <si>
    <t>pickup_latitude</t>
  </si>
  <si>
    <t>Adress</t>
  </si>
  <si>
    <t>Cost</t>
  </si>
  <si>
    <t>Flood_Score</t>
  </si>
  <si>
    <t>CostofFloodRisk_2day</t>
  </si>
  <si>
    <t>CostofFloodRisk_future</t>
  </si>
  <si>
    <t>EPC</t>
  </si>
  <si>
    <t>Scenario</t>
  </si>
  <si>
    <t>Risk</t>
  </si>
  <si>
    <t>Outstanding loan</t>
  </si>
  <si>
    <t>ECL</t>
  </si>
  <si>
    <t>-73.9777679443359</t>
  </si>
  <si>
    <t>40.7740783691406</t>
  </si>
  <si>
    <t>88 Central Park West, New York, NY 10023, USA</t>
  </si>
  <si>
    <t>-73.9565048217773</t>
  </si>
  <si>
    <t>40.7712783813477</t>
  </si>
  <si>
    <t>1454 2nd Ave, New York, NY 10021, USA</t>
  </si>
  <si>
    <t>-74.0036392211914</t>
  </si>
  <si>
    <t>40.7136192321777</t>
  </si>
  <si>
    <t>25 Centre St, New York, NY 10013, USA</t>
  </si>
  <si>
    <t>-73.9994812011719</t>
  </si>
  <si>
    <t>40.7232666015625</t>
  </si>
  <si>
    <t>96 Spring St, New York, NY 10012, USA</t>
  </si>
  <si>
    <t>-73.9677886962891</t>
  </si>
  <si>
    <t>40.7626991271973</t>
  </si>
  <si>
    <t>759-765 Lexington Ave, New York, NY 10065, USA</t>
  </si>
  <si>
    <t>-73.9548873901367</t>
  </si>
  <si>
    <t>40.7732963562012</t>
  </si>
  <si>
    <t>301 E 79th St, New York, NY 10075, USA</t>
  </si>
  <si>
    <t>-73.9602355957031</t>
  </si>
  <si>
    <t>40.7622299194336</t>
  </si>
  <si>
    <t>353-399 E 63rd St, New York, NY 10065, USA</t>
  </si>
  <si>
    <t>-73.9530715942383</t>
  </si>
  <si>
    <t>40.7827758789062</t>
  </si>
  <si>
    <t>1385 Lexington Ave, New York, NY 10128, USA</t>
  </si>
  <si>
    <t>-73.9922027587891</t>
  </si>
  <si>
    <t>40.7449684143066</t>
  </si>
  <si>
    <t>110 W 26th St, New York, NY 10001, USA</t>
  </si>
  <si>
    <t>-73.9823379516602</t>
  </si>
  <si>
    <t>40.762809753418</t>
  </si>
  <si>
    <t>810 Seventh Avenue, New York, NY 10019, USA</t>
  </si>
  <si>
    <t>-73.9935531616211</t>
  </si>
  <si>
    <t>40.7471733093262</t>
  </si>
  <si>
    <t>200 W 28th St, New York, NY 10001, USA</t>
  </si>
  <si>
    <t>-73.9547500610352</t>
  </si>
  <si>
    <t>40.7655143737793</t>
  </si>
  <si>
    <t>1305-1309 York Ave, New York, NY 10021, USA</t>
  </si>
  <si>
    <t>-73.9820404052734</t>
  </si>
  <si>
    <t>40.7596778869629</t>
  </si>
  <si>
    <t>122 W 49th St, New York, NY 10019, USA</t>
  </si>
  <si>
    <t>-73.9769821166992</t>
  </si>
  <si>
    <t>40.750301361084</t>
  </si>
  <si>
    <t>354 Lexington Ave, New York, NY 10017, USA</t>
  </si>
  <si>
    <t>-73.9808807373047</t>
  </si>
  <si>
    <t>40.7843360900879</t>
  </si>
  <si>
    <t>265-299 W 79th St, New York, NY 10024, USA</t>
  </si>
  <si>
    <t>-73.9744567871094</t>
  </si>
  <si>
    <t>40.7569274902344</t>
  </si>
  <si>
    <t>300 Park Ave, New York, NY 10022, USA</t>
  </si>
  <si>
    <t>-73.9457550048828</t>
  </si>
  <si>
    <t>40.773681640625</t>
  </si>
  <si>
    <t>100 East End Ave, New York, NY 10028, USA</t>
  </si>
  <si>
    <t>-73.954345703125</t>
  </si>
  <si>
    <t>40.786922454834</t>
  </si>
  <si>
    <t>1371 Madison Ave, New York, NY 10128, USA</t>
  </si>
  <si>
    <t>-73.9751892089844</t>
  </si>
  <si>
    <t>40.7650718688965</t>
  </si>
  <si>
    <t>36 C P South, New York, NY 10019, USA</t>
  </si>
  <si>
    <t>-73.9715270996094</t>
  </si>
  <si>
    <t>40.7953987121582</t>
  </si>
  <si>
    <t>240-250 W 97th St, New York, NY 10025, USA</t>
  </si>
  <si>
    <t>-73.9826278686523</t>
  </si>
  <si>
    <t>40.7621116638184</t>
  </si>
  <si>
    <t>NA</t>
  </si>
  <si>
    <t>-73.9803161621094</t>
  </si>
  <si>
    <t>40.7588500976562</t>
  </si>
  <si>
    <t>New York, NY 10020, USA</t>
  </si>
  <si>
    <t>-73.9725799560547</t>
  </si>
  <si>
    <t>40.7489051818848</t>
  </si>
  <si>
    <t>-73.9948501586914</t>
  </si>
  <si>
    <t>40.7187805175781</t>
  </si>
  <si>
    <t>126 Bowery, New York, NY 10013, USA</t>
  </si>
  <si>
    <t>-74.0055465698242</t>
  </si>
  <si>
    <t>40.7092628479004</t>
  </si>
  <si>
    <t>150 William St, New York, NY 10038, USA</t>
  </si>
  <si>
    <t>-73.9827499389648</t>
  </si>
  <si>
    <t>40.7541542053223</t>
  </si>
  <si>
    <t>West Presbyterian Church, New York, NY 10018, USA</t>
  </si>
  <si>
    <t>-73.8708190917969</t>
  </si>
  <si>
    <t>40.773738861084</t>
  </si>
  <si>
    <t>1 Central Terminal Dr, Flushing, NY 11371, USA</t>
  </si>
  <si>
    <t>-73.9581069946289</t>
  </si>
  <si>
    <t>40.7421684265137</t>
  </si>
  <si>
    <t>-73.9955444335938</t>
  </si>
  <si>
    <t>40.744010925293</t>
  </si>
  <si>
    <t>170-198 W 23rd St, New York, NY 10011, USA</t>
  </si>
  <si>
    <t>-73.9894943237305</t>
  </si>
  <si>
    <t>40.7536773681641</t>
  </si>
  <si>
    <t>216 W 38th St, New York, NY 10018, USA</t>
  </si>
  <si>
    <t>-73.9972534179688</t>
  </si>
  <si>
    <t>40.717960357666</t>
  </si>
  <si>
    <t>177 Hester St, New York, NY 10013, USA</t>
  </si>
  <si>
    <t>-73.9824905395508</t>
  </si>
  <si>
    <t>40.7625694274902</t>
  </si>
  <si>
    <t>-73.9880294799805</t>
  </si>
  <si>
    <t>40.7378196716309</t>
  </si>
  <si>
    <t>235 Park Ave S, New York, NY 10003, USA</t>
  </si>
  <si>
    <t>-73.978271484375</t>
  </si>
  <si>
    <t>40.7456550598145</t>
  </si>
  <si>
    <t>502 3rd Ave, New York, NY 10016, USA</t>
  </si>
  <si>
    <t>-73.9878692626953</t>
  </si>
  <si>
    <t>40.7650985717773</t>
  </si>
  <si>
    <t>781 9th Ave, New York, NY 10019, USA</t>
  </si>
  <si>
    <t>-73.9680786132812</t>
  </si>
  <si>
    <t>40.7593765258789</t>
  </si>
  <si>
    <t>919-933 3rd Ave, New York, NY 10022, USA</t>
  </si>
  <si>
    <t>-73.952522277832</t>
  </si>
  <si>
    <t>40.7662696838379</t>
  </si>
  <si>
    <t>520-524 E 72nd St, New York, NY 10021, USA</t>
  </si>
  <si>
    <t>-73.9501266479492</t>
  </si>
  <si>
    <t>40.780086517334</t>
  </si>
  <si>
    <t>1720-1724 2nd Ave, New York, NY 10128, USA</t>
  </si>
  <si>
    <t>-73.9863052368164</t>
  </si>
  <si>
    <t>40.7770233154297</t>
  </si>
  <si>
    <t>160-168 West End Ave, New York, NY 10023, USA</t>
  </si>
  <si>
    <t>-74.0088424682617</t>
  </si>
  <si>
    <t>40.7136611938477</t>
  </si>
  <si>
    <t>113 Church St, New York, NY 10007, USA</t>
  </si>
  <si>
    <t>-73.9982681274414</t>
  </si>
  <si>
    <t>40.7200393676758</t>
  </si>
  <si>
    <t>230-240 Centre St, New York, NY 10013, USA</t>
  </si>
  <si>
    <t>-74.0039291381836</t>
  </si>
  <si>
    <t>40.7257957458496</t>
  </si>
  <si>
    <t>166-168 6th Ave, New York, NY 10013, USA</t>
  </si>
  <si>
    <t>-73.9657516479492</t>
  </si>
  <si>
    <t>40.7595748901367</t>
  </si>
  <si>
    <t>-73.9837646484375</t>
  </si>
  <si>
    <t>40.7498741149902</t>
  </si>
  <si>
    <t>1-3 W 36th St, New York, NY 10018, USA</t>
  </si>
  <si>
    <t>-73.9881973266602</t>
  </si>
  <si>
    <t>40.764289855957</t>
  </si>
  <si>
    <t>-74.0001220703125</t>
  </si>
  <si>
    <t>40.7178497314453</t>
  </si>
  <si>
    <t>159 Centre St, New York, NY 10013, USA</t>
  </si>
  <si>
    <t>-74.0089950561523</t>
  </si>
  <si>
    <t>40.712589263916</t>
  </si>
  <si>
    <t>99 Church St, New York, NY 10007, USA</t>
  </si>
  <si>
    <t>-73.9851913452148</t>
  </si>
  <si>
    <t>40.7290916442871</t>
  </si>
  <si>
    <t>228-238 E 10th St, New York, NY 10003, USA</t>
  </si>
  <si>
    <t>-73.9991683959961</t>
  </si>
  <si>
    <t>40.7496109008789</t>
  </si>
  <si>
    <t>303-309 9th Ave, New York, NY 10001, USA</t>
  </si>
  <si>
    <t>-73.966796875</t>
  </si>
  <si>
    <t>40.7670097351074</t>
  </si>
  <si>
    <t>635 Park Ave, New York, NY 10065, USA</t>
  </si>
  <si>
    <t>-73.9560394287109</t>
  </si>
  <si>
    <t>40.7676086425781</t>
  </si>
  <si>
    <t>1338 1st Avenue, New York, NY 10021, USA</t>
  </si>
  <si>
    <t>-73.9495239257812</t>
  </si>
  <si>
    <t>40.776611328125</t>
  </si>
  <si>
    <t>1646 1st Avenue, New York, NY 10028, USA</t>
  </si>
  <si>
    <t>-73.9953842163086</t>
  </si>
  <si>
    <t>40.7492980957031</t>
  </si>
  <si>
    <t>390 8th Ave, New York, NY 10001, USA</t>
  </si>
  <si>
    <t>-74.0101623535156</t>
  </si>
  <si>
    <t>40.7199211120605</t>
  </si>
  <si>
    <t>378 1/2 Greenwich St, New York, NY 10013, USA</t>
  </si>
  <si>
    <t>-73.9671325683594</t>
  </si>
  <si>
    <t>40.7934646606445</t>
  </si>
  <si>
    <t>752-758 Columbus Ave, New York, NY 10025, USA</t>
  </si>
  <si>
    <t>-73.8840408325195</t>
  </si>
  <si>
    <t>40.7476081848145</t>
  </si>
  <si>
    <t>81-20-81-98 Roosevelt Ave, Jackson Heights, NY 11372, USA</t>
  </si>
  <si>
    <t>-73.984375</t>
  </si>
  <si>
    <t>40.7696876525879</t>
  </si>
  <si>
    <t>1-19 Columbus Ave, New York, NY 10023, USA</t>
  </si>
  <si>
    <t>-73.9790878295898</t>
  </si>
  <si>
    <t>40.7594985961914</t>
  </si>
  <si>
    <t>45 Rockefeller Plaza, New York, NY 10020, USA</t>
  </si>
  <si>
    <t>-73.9759826660156</t>
  </si>
  <si>
    <t>40.7577476501465</t>
  </si>
  <si>
    <t>444 Madison Ave, New York, NY 10022, USA</t>
  </si>
  <si>
    <t>-73.9806976318359</t>
  </si>
  <si>
    <t>40.7299461364746</t>
  </si>
  <si>
    <t>211-215 Avenue A, New York, NY 10009, USA</t>
  </si>
  <si>
    <t>-73.9887313842773</t>
  </si>
  <si>
    <t>40.7488403320312</t>
  </si>
  <si>
    <t>Manhattan Mall, New York, NY 10001, USA</t>
  </si>
  <si>
    <t>-73.9670181274414</t>
  </si>
  <si>
    <t>40.7530059814453</t>
  </si>
  <si>
    <t>865 1st Avenue, New York, NY 10017, USA</t>
  </si>
  <si>
    <t>-74.008659362793</t>
  </si>
  <si>
    <t>40.7196083068848</t>
  </si>
  <si>
    <t>-73.9777526855469</t>
  </si>
  <si>
    <t>40.7546310424805</t>
  </si>
  <si>
    <t>38 E 45th St, New York, NY 10017, USA</t>
  </si>
  <si>
    <t>-73.9821548461914</t>
  </si>
  <si>
    <t>40.767936706543</t>
  </si>
  <si>
    <t>4 Columbus Cir, New York, NY 10019, USA</t>
  </si>
  <si>
    <t>-74.0043716430664</t>
  </si>
  <si>
    <t>40.7423477172852</t>
  </si>
  <si>
    <t>-74.0097122192383</t>
  </si>
  <si>
    <t>40.7203903198242</t>
  </si>
  <si>
    <t>387 Greenwich St, New York, NY 10013, USA</t>
  </si>
  <si>
    <t>-73.9828720092773</t>
  </si>
  <si>
    <t>40.744987487793</t>
  </si>
  <si>
    <t>456-460 Park Ave S, New York, NY 10016, USA</t>
  </si>
  <si>
    <t>-73.978645324707</t>
  </si>
  <si>
    <t>40.7409324645996</t>
  </si>
  <si>
    <t>486-498 2nd Ave, New York, NY 10016, USA</t>
  </si>
  <si>
    <t>40.7480354309082</t>
  </si>
  <si>
    <t>276-288 Lexington Ave, New York, NY 10016, USA</t>
  </si>
  <si>
    <t>-73.9619445800781</t>
  </si>
  <si>
    <t>40.7645416259766</t>
  </si>
  <si>
    <t>265 E 65th St, New York, NY 10065, USA</t>
  </si>
  <si>
    <t>-73.9715576171875</t>
  </si>
  <si>
    <t>40.7506294250488</t>
  </si>
  <si>
    <t>810 2nd Ave, New York, NY 10017, USA</t>
  </si>
  <si>
    <t>-73.9555358886719</t>
  </si>
  <si>
    <t>40.7796936035156</t>
  </si>
  <si>
    <t>-73.9844512939453</t>
  </si>
  <si>
    <t>40.724967956543</t>
  </si>
  <si>
    <t>81a Avenue A, New York, NY 10009, USA</t>
  </si>
  <si>
    <t>-73.8696823120117</t>
  </si>
  <si>
    <t>40.7725486755371</t>
  </si>
  <si>
    <t>LaGuardia Ext, East Elmhurst, NY 11371, USA</t>
  </si>
  <si>
    <t>-73.9879684448242</t>
  </si>
  <si>
    <t>40.7282257080078</t>
  </si>
  <si>
    <t>-73.9616775512695</t>
  </si>
  <si>
    <t>40.7711791992188</t>
  </si>
  <si>
    <t>1024 Lexington Ave, New York, NY 10021, USA</t>
  </si>
  <si>
    <t>-74.0058364868164</t>
  </si>
  <si>
    <t>40.745475769043</t>
  </si>
  <si>
    <t>153-161 10th Ave, New York, NY 10011, USA</t>
  </si>
  <si>
    <t>-73.8636779785156</t>
  </si>
  <si>
    <t>40.7697715759277</t>
  </si>
  <si>
    <t>E End Rd, East Elmhurst, NY 11371, USA</t>
  </si>
  <si>
    <t>-73.9921951293945</t>
  </si>
  <si>
    <t>40.7272262573242</t>
  </si>
  <si>
    <t>38 E 4th St, New York, NY 10003, USA</t>
  </si>
  <si>
    <t>-73.9803695678711</t>
  </si>
  <si>
    <t>40.7424201965332</t>
  </si>
  <si>
    <t>407 3rd Ave, New York, NY 10016, USA</t>
  </si>
  <si>
    <t>-73.7862167358398</t>
  </si>
  <si>
    <t>40.6452865600586</t>
  </si>
  <si>
    <t>space B18 Van Wyck Expy, Jamaica, NY 11430, USA</t>
  </si>
  <si>
    <t>-73.7881317138672</t>
  </si>
  <si>
    <t>40.6414604187012</t>
  </si>
  <si>
    <t>4 Central Terminal Area, Jamaica, NY 11430, USA</t>
  </si>
  <si>
    <t>-73.9905471801758</t>
  </si>
  <si>
    <t>40.7458610534668</t>
  </si>
  <si>
    <t>812 6th Ave, New York, NY 10001, USA</t>
  </si>
  <si>
    <t>-73.9802780151367</t>
  </si>
  <si>
    <t>40.770191192627</t>
  </si>
  <si>
    <t>-73.8084869384766</t>
  </si>
  <si>
    <t>40.6873359680176</t>
  </si>
  <si>
    <t>10740-10744 Van Wyck Expy, South Richmond Hill, NY 11419, USA</t>
  </si>
  <si>
    <t>-73.9843597412109</t>
  </si>
  <si>
    <t>40.7489852905273</t>
  </si>
  <si>
    <t>2 W 35th St, New York, NY 10001, USA</t>
  </si>
  <si>
    <t>-73.9796447753906</t>
  </si>
  <si>
    <t>40.739631652832</t>
  </si>
  <si>
    <t>444-458 2nd Ave, New York, NY 10010, USA</t>
  </si>
  <si>
    <t>-73.9594116210938</t>
  </si>
  <si>
    <t>40.774227142334</t>
  </si>
  <si>
    <t>-73.9843826293945</t>
  </si>
  <si>
    <t>40.7701263427734</t>
  </si>
  <si>
    <t>20-38 Columbus Ave, New York, NY 10023, USA</t>
  </si>
  <si>
    <t>-73.9869689941406</t>
  </si>
  <si>
    <t>40.7428512573242</t>
  </si>
  <si>
    <t>Chester Alan Arthur Monument, New York, NY 10010, USA</t>
  </si>
  <si>
    <t>-73.9918212890625</t>
  </si>
  <si>
    <t>40.7500762939453</t>
  </si>
  <si>
    <t>2 Pennsylvania Plaza, New York, NY 10121, USA</t>
  </si>
  <si>
    <t>-73.8633804321289</t>
  </si>
  <si>
    <t>40.769889831543</t>
  </si>
  <si>
    <t>Terminal C, East Elmhurst, NY 11371, USA</t>
  </si>
  <si>
    <t>-73.9839859008789</t>
  </si>
  <si>
    <t>40.7378730773926</t>
  </si>
  <si>
    <t>266 3rd Ave, New York, NY 10010, USA</t>
  </si>
  <si>
    <t>-73.9983749389648</t>
  </si>
  <si>
    <t>40.7259254455566</t>
  </si>
  <si>
    <t>148 Greene St, New York, NY 10012, USA</t>
  </si>
  <si>
    <t>-73.9800262451172</t>
  </si>
  <si>
    <t>40.7659683227539</t>
  </si>
  <si>
    <t>205 W 57th St, New York, NY 10019, USA</t>
  </si>
  <si>
    <t>-73.9900512695312</t>
  </si>
  <si>
    <t>40.7380104064941</t>
  </si>
  <si>
    <t>880 Broadway, New York, NY 10003, USA</t>
  </si>
  <si>
    <t>-73.9970779418945</t>
  </si>
  <si>
    <t>40.7206382751465</t>
  </si>
  <si>
    <t>394 Broome St, New York, NY 10013, USA</t>
  </si>
  <si>
    <t>-73.862663269043</t>
  </si>
  <si>
    <t>40.7687683105469</t>
  </si>
  <si>
    <t>-73.9443588256836</t>
  </si>
  <si>
    <t>40.7144889831543</t>
  </si>
  <si>
    <t>336a Graham Ave, Brooklyn, NY 11211, USA</t>
  </si>
  <si>
    <t>-73.9751586914062</t>
  </si>
  <si>
    <t>40.7591819763184</t>
  </si>
  <si>
    <t>16 E 52nd St, New York, NY 10022, USA</t>
  </si>
  <si>
    <t>-73.9705810546875</t>
  </si>
  <si>
    <t>40.758731842041</t>
  </si>
  <si>
    <t>619 Lexington Ave, New York, NY 10022, USA</t>
  </si>
  <si>
    <t>-74.0082473754883</t>
  </si>
  <si>
    <t>40.7473526000977</t>
  </si>
  <si>
    <t>-73.9776153564453</t>
  </si>
  <si>
    <t>40.7635726928711</t>
  </si>
  <si>
    <t>62-98 W 56th St, New York, NY 10019, USA</t>
  </si>
  <si>
    <t>-73.9848480224609</t>
  </si>
  <si>
    <t>40.7243347167969</t>
  </si>
  <si>
    <t>59-63 Avenue A, New York, NY 10009, USA</t>
  </si>
  <si>
    <t>-73.9686584472656</t>
  </si>
  <si>
    <t>40.7645072937012</t>
  </si>
  <si>
    <t>544 Park Ave, New York, NY 10065, USA</t>
  </si>
  <si>
    <t>-74.0142517089844</t>
  </si>
  <si>
    <t>40.7139129638672</t>
  </si>
  <si>
    <t>222-224 Vesey St, New York, NY 10282, USA</t>
  </si>
  <si>
    <t>-73.9899826049805</t>
  </si>
  <si>
    <t>40.7515983581543</t>
  </si>
  <si>
    <t>186-198 W 35th St, New York, NY 10001, USA</t>
  </si>
  <si>
    <t>-73.9826507568359</t>
  </si>
  <si>
    <t>40.7638397216797</t>
  </si>
  <si>
    <t>1701 Broadway, New York, NY 10019, USA</t>
  </si>
  <si>
    <t>-73.9908218383789</t>
  </si>
  <si>
    <t>40.7557525634766</t>
  </si>
  <si>
    <t>-73.9919891357422</t>
  </si>
  <si>
    <t>40.7437934875488</t>
  </si>
  <si>
    <t>750 6th Ave, New York, NY 10010, USA</t>
  </si>
  <si>
    <t>-73.9552154541016</t>
  </si>
  <si>
    <t>40.7802467346191</t>
  </si>
  <si>
    <t>145 E 87th St, New York, NY 10128, USA</t>
  </si>
  <si>
    <t>-73.9537506103516</t>
  </si>
  <si>
    <t>40.7852058410645</t>
  </si>
  <si>
    <t>1190 Park Ave, New York, NY 10128, USA</t>
  </si>
  <si>
    <t>-73.9675140380859</t>
  </si>
  <si>
    <t>40.7661552429199</t>
  </si>
  <si>
    <t>600 Park Ave, New York, NY 10065, USA</t>
  </si>
  <si>
    <t>-73.9786987304688</t>
  </si>
  <si>
    <t>40.7552108764648</t>
  </si>
  <si>
    <t>551 5th Ave, New York, NY 10176, USA</t>
  </si>
  <si>
    <t>-73.9891357421875</t>
  </si>
  <si>
    <t>40.7750205993652</t>
  </si>
  <si>
    <t>120 Thelonius Monk Circle, New York, NY 10069, USA</t>
  </si>
  <si>
    <t>-73.9779815673828</t>
  </si>
  <si>
    <t>40.6847801208496</t>
  </si>
  <si>
    <t>122 Flatbush Ave, Brooklyn, NY 11217, USA</t>
  </si>
  <si>
    <t>-73.9755401611328</t>
  </si>
  <si>
    <t>40.7356300354004</t>
  </si>
  <si>
    <t>599 E 23rd St, New York, NY 10010, USA</t>
  </si>
  <si>
    <t>-73.9692459106445</t>
  </si>
  <si>
    <t>40.7668991088867</t>
  </si>
  <si>
    <t>740 Madison Ave, New York, NY 10065, USA</t>
  </si>
  <si>
    <t>-73.9539794921875</t>
  </si>
  <si>
    <t>40.763858795166</t>
  </si>
  <si>
    <t>541 E 68th St, New York, NY 10065, USA</t>
  </si>
  <si>
    <t>-73.9889755249023</t>
  </si>
  <si>
    <t>40.759204864502</t>
  </si>
  <si>
    <t>302 W 45th St, New York, NY 10036, USA</t>
  </si>
  <si>
    <t>-73.9692153930664</t>
  </si>
  <si>
    <t>40.754093170166</t>
  </si>
  <si>
    <t>258 E 49th St, New York, NY 10017, USA</t>
  </si>
  <si>
    <t>40.7213325500488</t>
  </si>
  <si>
    <t>179 Chrystie St, New York, NY 10002, USA</t>
  </si>
  <si>
    <t>-73.992301940918</t>
  </si>
  <si>
    <t>40.7503356933594</t>
  </si>
  <si>
    <t>-73.9790267944336</t>
  </si>
  <si>
    <t>40.7639389038086</t>
  </si>
  <si>
    <t>-73.9809265136719</t>
  </si>
  <si>
    <t>40.755241394043</t>
  </si>
  <si>
    <t>19 W 44th St, New York, NY 10036, USA</t>
  </si>
  <si>
    <t>-73.9758605957031</t>
  </si>
  <si>
    <t>40.7572402954102</t>
  </si>
  <si>
    <t>31-45 E 49th St, New York, NY 10017, USA</t>
  </si>
  <si>
    <t>-73.9541320800781</t>
  </si>
  <si>
    <t>40.7747840881348</t>
  </si>
  <si>
    <t>-73.9688262939453</t>
  </si>
  <si>
    <t>40.7541961669922</t>
  </si>
  <si>
    <t>301e E 49th St, New York, NY 10017, USA</t>
  </si>
  <si>
    <t>-74.0014266967773</t>
  </si>
  <si>
    <t>40.7310066223145</t>
  </si>
  <si>
    <t>304-318 6th Ave, New York, NY 10014, USA</t>
  </si>
  <si>
    <t>-73.9883880615234</t>
  </si>
  <si>
    <t>40.7200241088867</t>
  </si>
  <si>
    <t>127-131 Ludlow St, New York, NY 10002, USA</t>
  </si>
  <si>
    <t>-73.981819152832</t>
  </si>
  <si>
    <t>40.7689628601074</t>
  </si>
  <si>
    <t>1 Central Park West, New York, NY 10023, USA</t>
  </si>
  <si>
    <t>-73.9555130004883</t>
  </si>
  <si>
    <t>40.7685928344727</t>
  </si>
  <si>
    <t>1361 1st Avenue, New York, NY 10021, USA</t>
  </si>
  <si>
    <t>-73.9903106689453</t>
  </si>
  <si>
    <t>40.7565803527832</t>
  </si>
  <si>
    <t>301-327 W 41st St, New York, NY 10036, USA</t>
  </si>
  <si>
    <t>-74.0139541625977</t>
  </si>
  <si>
    <t>40.712833404541</t>
  </si>
  <si>
    <t>116-118 West St, New York, NY 10080, USA</t>
  </si>
  <si>
    <t>-73.9621124267578</t>
  </si>
  <si>
    <t>40.7761001586914</t>
  </si>
  <si>
    <t>-73.9945831298828</t>
  </si>
  <si>
    <t>40.7029991149902</t>
  </si>
  <si>
    <t>8 Old Fulton St, Brooklyn, NY 11201, USA</t>
  </si>
  <si>
    <t>-73.9728546142578</t>
  </si>
  <si>
    <t>40.7644004821777</t>
  </si>
  <si>
    <t>779-781 5th Ave, New York, NY 10022, USA</t>
  </si>
  <si>
    <t>-73.9754180908203</t>
  </si>
  <si>
    <t>40.7870750427246</t>
  </si>
  <si>
    <t>521 Amsterdam Ave, New York, NY 10024, USA</t>
  </si>
  <si>
    <t>-74.0023880004883</t>
  </si>
  <si>
    <t>40.7495536804199</t>
  </si>
  <si>
    <t>459-499 W 26th St, New York, NY 10001, USA</t>
  </si>
  <si>
    <t>-73.9734649658203</t>
  </si>
  <si>
    <t>40.7608795166016</t>
  </si>
  <si>
    <t>540 Madison Ave, New York, NY 10022, USA</t>
  </si>
  <si>
    <t>-73.9781265258789</t>
  </si>
  <si>
    <t>40.7583427429199</t>
  </si>
  <si>
    <t>-73.9764709472656</t>
  </si>
  <si>
    <t>40.7397804260254</t>
  </si>
  <si>
    <t>471-477 1st Avenue, New York, NY 10016, USA</t>
  </si>
  <si>
    <t>-73.974723815918</t>
  </si>
  <si>
    <t>40.7511367797852</t>
  </si>
  <si>
    <t>-73.9621887207031</t>
  </si>
  <si>
    <t>40.7591323852539</t>
  </si>
  <si>
    <t>1068 1st Avenue, New York, NY 10022, USA</t>
  </si>
  <si>
    <t>-74.0010070800781</t>
  </si>
  <si>
    <t>40.7317810058594</t>
  </si>
  <si>
    <t>157 West 4th Street, New York, NY 10014, USA</t>
  </si>
  <si>
    <t>-73.9866790771484</t>
  </si>
  <si>
    <t>40.7258491516113</t>
  </si>
  <si>
    <t>345 E 5th St, New York, NY 10003, USA</t>
  </si>
  <si>
    <t>-73.9868621826172</t>
  </si>
  <si>
    <t>40.7509613037109</t>
  </si>
  <si>
    <t>974 6th Ave, New York, NY 10018, USA</t>
  </si>
  <si>
    <t>-73.9911575317383</t>
  </si>
  <si>
    <t>40.7340812683105</t>
  </si>
  <si>
    <t>-73.955192565918</t>
  </si>
  <si>
    <t>40.7799911499023</t>
  </si>
  <si>
    <t>1291 Lexington Ave, New York, NY 10028, USA</t>
  </si>
  <si>
    <t>-73.982536315918</t>
  </si>
  <si>
    <t>40.7750816345215</t>
  </si>
  <si>
    <t>-73.9835739135742</t>
  </si>
  <si>
    <t>40.7384185791016</t>
  </si>
  <si>
    <t>-73.9913635253906</t>
  </si>
  <si>
    <t>40.7499313354492</t>
  </si>
  <si>
    <t>-73.9871215820312</t>
  </si>
  <si>
    <t>40.7684745788574</t>
  </si>
  <si>
    <t>420 W 57th St, New York, NY 10019, USA</t>
  </si>
  <si>
    <t>-73.972297668457</t>
  </si>
  <si>
    <t>40.7560653686523</t>
  </si>
  <si>
    <t>541 Lexington Ave, New York, NY 10022, USA</t>
  </si>
  <si>
    <t>-73.9972076416016</t>
  </si>
  <si>
    <t>40.7240715026855</t>
  </si>
  <si>
    <t>69 Prince St, New York, NY 10012, USA</t>
  </si>
  <si>
    <t>-73.9940414428711</t>
  </si>
  <si>
    <t>8 Pennsylvania Plaza, New York, NY 10001, USA</t>
  </si>
  <si>
    <t>-73.9789505004883</t>
  </si>
  <si>
    <t>40.7509307861328</t>
  </si>
  <si>
    <t>40 E 40th St, New York, NY 10016, USA</t>
  </si>
  <si>
    <t>-73.9957733154297</t>
  </si>
  <si>
    <t>40.7425689697266</t>
  </si>
  <si>
    <t>155 W 21st St, New York, NY 10011, USA</t>
  </si>
  <si>
    <t>-73.947151184082</t>
  </si>
  <si>
    <t>40.7761878967285</t>
  </si>
  <si>
    <t>-73.9702835083008</t>
  </si>
  <si>
    <t>40.7648315429688</t>
  </si>
  <si>
    <t>673a Madison Ave, New York, NY 10065, USA</t>
  </si>
  <si>
    <t>-73.9870681762695</t>
  </si>
  <si>
    <t>40.7566337585449</t>
  </si>
  <si>
    <t>3 Times Square, New York, NY 10036, USA</t>
  </si>
  <si>
    <t>-73.9754333496094</t>
  </si>
  <si>
    <t>40.7521324157715</t>
  </si>
  <si>
    <t>129-141 E 43rd St, New York, NY 10017, USA</t>
  </si>
  <si>
    <t>-73.9612045288086</t>
  </si>
  <si>
    <t>40.7605590820312</t>
  </si>
  <si>
    <t>1100 1st Avenue, New York, NY 10065, USA</t>
  </si>
  <si>
    <t>-73.9515151977539</t>
  </si>
  <si>
    <t>40.7702484130859</t>
  </si>
  <si>
    <t>445 E 77th St, New York, NY 10075, USA</t>
  </si>
  <si>
    <t>-73.9554595947266</t>
  </si>
  <si>
    <t>40.7673072814941</t>
  </si>
  <si>
    <t>420 E 72nd St, New York, NY 10021, USA</t>
  </si>
  <si>
    <t>-74.0173034667969</t>
  </si>
  <si>
    <t>40.7053604125977</t>
  </si>
  <si>
    <t>2 Little W St, New York, NY 10281, USA</t>
  </si>
  <si>
    <t>-73.9654083251953</t>
  </si>
  <si>
    <t>40.7953796386719</t>
  </si>
  <si>
    <t>81-99 W 100th St, New York, NY 10025, USA</t>
  </si>
  <si>
    <t>-74.0067977905273</t>
  </si>
  <si>
    <t>40.7060737609863</t>
  </si>
  <si>
    <t>146 Water St, New York, NY 10005, USA</t>
  </si>
  <si>
    <t>-73.9923248291016</t>
  </si>
  <si>
    <t>40.7307205200195</t>
  </si>
  <si>
    <t>757 Broadway, New York, NY 10003, USA</t>
  </si>
  <si>
    <t>-73.9962692260742</t>
  </si>
  <si>
    <t>40.7498512268066</t>
  </si>
  <si>
    <t>320 W 30th St, New York, NY 10001, USA</t>
  </si>
  <si>
    <t>-74.0018005371094</t>
  </si>
  <si>
    <t>40.7261352539062</t>
  </si>
  <si>
    <t>174 Prince St, New York, NY 10012, USA</t>
  </si>
  <si>
    <t>-73.9584350585938</t>
  </si>
  <si>
    <t>40.713191986084</t>
  </si>
  <si>
    <t>-73.986930847168</t>
  </si>
  <si>
    <t>-74.0063095092773</t>
  </si>
  <si>
    <t>40.7446823120117</t>
  </si>
  <si>
    <t>130 10th Ave, New York, NY 10011, USA</t>
  </si>
  <si>
    <t>-73.9546966552734</t>
  </si>
  <si>
    <t>40.7739791870117</t>
  </si>
  <si>
    <t>1535 2nd Ave, New York, NY 10075, USA</t>
  </si>
  <si>
    <t>-74.0077209472656</t>
  </si>
  <si>
    <t>40.7430038452148</t>
  </si>
  <si>
    <t>85 10th Ave, New York, NY 10001, USA</t>
  </si>
  <si>
    <t>-73.9992980957031</t>
  </si>
  <si>
    <t>40.7495346069336</t>
  </si>
  <si>
    <t>-73.9497833251953</t>
  </si>
  <si>
    <t>40.7805671691895</t>
  </si>
  <si>
    <t>1732 2nd Ave, New York, NY 10128, USA</t>
  </si>
  <si>
    <t>-73.9849395751953</t>
  </si>
  <si>
    <t>40.7518577575684</t>
  </si>
  <si>
    <t>-73.9813995361328</t>
  </si>
  <si>
    <t>40.7787933349609</t>
  </si>
  <si>
    <t>-73.9853820800781</t>
  </si>
  <si>
    <t>40.7502517700195</t>
  </si>
  <si>
    <t>-74.0100402832031</t>
  </si>
  <si>
    <t>40.719970703125</t>
  </si>
  <si>
    <t>40.718864440918</t>
  </si>
  <si>
    <t>-73.9938583374023</t>
  </si>
  <si>
    <t>40.7357978820801</t>
  </si>
  <si>
    <t>76 5th Ave, New York, NY 10011, USA</t>
  </si>
  <si>
    <t>-73.9919738769531</t>
  </si>
  <si>
    <t>40.7499961853027</t>
  </si>
  <si>
    <t>-74.0097045898438</t>
  </si>
  <si>
    <t>40.7396545410156</t>
  </si>
  <si>
    <t>NY-9A, New York, NY 10014, USA</t>
  </si>
  <si>
    <t>-73.9898910522461</t>
  </si>
  <si>
    <t>40.7471580505371</t>
  </si>
  <si>
    <t>849 6th Ave, New York, NY 10001, USA</t>
  </si>
  <si>
    <t>-73.9644927978516</t>
  </si>
  <si>
    <t>40.7639503479004</t>
  </si>
  <si>
    <t>200 E 63rd St, New York, NY 10065, USA</t>
  </si>
  <si>
    <t>-73.995002746582</t>
  </si>
  <si>
    <t>40.7400245666504</t>
  </si>
  <si>
    <t>629 6th Ave, New York, NY 10011, USA</t>
  </si>
  <si>
    <t>-73.9740142822266</t>
  </si>
  <si>
    <t>40.757152557373</t>
  </si>
  <si>
    <t>98 E 50th St, New York, NY 10022, USA</t>
  </si>
  <si>
    <t>-73.9888381958008</t>
  </si>
  <si>
    <t>40.7689018249512</t>
  </si>
  <si>
    <t>855 10th Ave, New York, NY 10019, USA</t>
  </si>
  <si>
    <t>-73.9816589355469</t>
  </si>
  <si>
    <t>40.7789726257324</t>
  </si>
  <si>
    <t>262-278 Amsterdam Ave, New York, NY 10023, USA</t>
  </si>
  <si>
    <t>-73.9601211547852</t>
  </si>
  <si>
    <t>40.7819519042969</t>
  </si>
  <si>
    <t>1055-1056 5th Ave, New York, NY 10028, USA</t>
  </si>
  <si>
    <t>-73.9797897338867</t>
  </si>
  <si>
    <t>40.7812652587891</t>
  </si>
  <si>
    <t>40.7796974182129</t>
  </si>
  <si>
    <t>280-288 Amsterdam Ave, New York, NY 10023, USA</t>
  </si>
  <si>
    <t>-74.0044784545898</t>
  </si>
  <si>
    <t>40.7226905822754</t>
  </si>
  <si>
    <t>21 Thompson St, New York, NY 10013, USA</t>
  </si>
  <si>
    <t>-73.9654693603516</t>
  </si>
  <si>
    <t>40.7658462524414</t>
  </si>
  <si>
    <t>859 Lexington Ave, New York, NY 10065, USA</t>
  </si>
  <si>
    <t>-73.9851379394531</t>
  </si>
  <si>
    <t>40.7321929931641</t>
  </si>
  <si>
    <t>-74.0130004882812</t>
  </si>
  <si>
    <t>40.7024383544922</t>
  </si>
  <si>
    <t>-73.9709396362305</t>
  </si>
  <si>
    <t>40.7616691589355</t>
  </si>
  <si>
    <t>82 E 57th St, New York, NY 10022, USA</t>
  </si>
  <si>
    <t>-73.991813659668</t>
  </si>
  <si>
    <t>40.7437782287598</t>
  </si>
  <si>
    <t>-73.9689788818359</t>
  </si>
  <si>
    <t>40.7578506469727</t>
  </si>
  <si>
    <t>Lipstick Building, New York, NY 10022, USA</t>
  </si>
  <si>
    <t>-73.9847106933594</t>
  </si>
  <si>
    <t>40.760181427002</t>
  </si>
  <si>
    <t>1600 Broadway, New York, NY 10019, USA</t>
  </si>
  <si>
    <t>-74.0050277709961</t>
  </si>
  <si>
    <t>40.746452331543</t>
  </si>
  <si>
    <t>-73.9802856445312</t>
  </si>
  <si>
    <t>40.7344284057617</t>
  </si>
  <si>
    <t>330 1st Avenue, New York, NY 10010, USA</t>
  </si>
  <si>
    <t>-73.9822845458984</t>
  </si>
  <si>
    <t>40.7788124084473</t>
  </si>
  <si>
    <t>212 W 72nd St, New York, NY 10023, USA</t>
  </si>
  <si>
    <t>40.7552299499512</t>
  </si>
  <si>
    <t>124-132 E 48th St, New York, NY 10017, USA</t>
  </si>
  <si>
    <t>-73.9912872314453</t>
  </si>
  <si>
    <t>40.7237091064453</t>
  </si>
  <si>
    <t>10 2nd Ave, New York, NY 10003, USA</t>
  </si>
  <si>
    <t>-73.9599227905273</t>
  </si>
  <si>
    <t>40.7585105895996</t>
  </si>
  <si>
    <t>60 Sutton Pl, New York, NY 10022, USA</t>
  </si>
  <si>
    <t>-73.9772720336914</t>
  </si>
  <si>
    <t>40.7573509216309</t>
  </si>
  <si>
    <t>609 5th Ave, New York, NY 10017, USA</t>
  </si>
  <si>
    <t>-73.9936676025391</t>
  </si>
  <si>
    <t>40.7418785095215</t>
  </si>
  <si>
    <t>675 6th Ave, New York, NY 10011, USA</t>
  </si>
  <si>
    <t>-73.9861221313477</t>
  </si>
  <si>
    <t>40.7264289855957</t>
  </si>
  <si>
    <t>100 1st Avenue, New York, NY 10009, USA</t>
  </si>
  <si>
    <t>-73.9893798828125</t>
  </si>
  <si>
    <t>40.7198257446289</t>
  </si>
  <si>
    <t>135 Orchard St, New York, NY 10002, USA</t>
  </si>
  <si>
    <t>-74.003288269043</t>
  </si>
  <si>
    <t>40.7269706726074</t>
  </si>
  <si>
    <t>-73.9758758544922</t>
  </si>
  <si>
    <t>40.7608947753906</t>
  </si>
  <si>
    <t>680 5th Ave, New York, NY 10019, USA</t>
  </si>
  <si>
    <t>-73.9668807983398</t>
  </si>
  <si>
    <t>40.7886810302734</t>
  </si>
  <si>
    <t>315-320 Central Park West, New York, NY 10025, USA</t>
  </si>
  <si>
    <t>-73.9847717285156</t>
  </si>
  <si>
    <t>40.7105712890625</t>
  </si>
  <si>
    <t>-73.9476928710938</t>
  </si>
  <si>
    <t>40.7832984924316</t>
  </si>
  <si>
    <t>1832 2nd Ave, New York, NY 10128, USA</t>
  </si>
  <si>
    <t>-73.9990921020508</t>
  </si>
  <si>
    <t>40.745491027832</t>
  </si>
  <si>
    <t>316 W 23rd St, New York, NY 10011, USA</t>
  </si>
  <si>
    <t>-73.7928924560547</t>
  </si>
  <si>
    <t>40.6578788757324</t>
  </si>
  <si>
    <t>JFK Expressway, Jamaica, NY 11430, USA</t>
  </si>
  <si>
    <t>40.784553527832</t>
  </si>
  <si>
    <t>73 W 83rd St, New York, NY 10024, USA</t>
  </si>
  <si>
    <t>-74.002571105957</t>
  </si>
  <si>
    <t>40.7393112182617</t>
  </si>
  <si>
    <t>122 Greenwich Ave, New York, NY 10011, USA</t>
  </si>
  <si>
    <t>-73.9957275390625</t>
  </si>
  <si>
    <t>40.7540817260742</t>
  </si>
  <si>
    <t>371-399 W 35th St, New York, NY 10001, USA</t>
  </si>
  <si>
    <t>-73.9504928588867</t>
  </si>
  <si>
    <t>40.7712669372559</t>
  </si>
  <si>
    <t>1494 York Ave, New York, NY 10075, USA</t>
  </si>
  <si>
    <t>-73.9741973876953</t>
  </si>
  <si>
    <t>40.757495880127</t>
  </si>
  <si>
    <t>320 Park Ave, New York, NY 10022, USA</t>
  </si>
  <si>
    <t>-73.9690170288086</t>
  </si>
  <si>
    <t>40.7578392028809</t>
  </si>
  <si>
    <t>-73.9821166992188</t>
  </si>
  <si>
    <t>40.7563514709473</t>
  </si>
  <si>
    <t>70 W 45th St, New York, NY 10036, USA</t>
  </si>
  <si>
    <t>-73.9647216796875</t>
  </si>
  <si>
    <t>40.8066062927246</t>
  </si>
  <si>
    <t>-73.9610824584961</t>
  </si>
  <si>
    <t>40.7691192626953</t>
  </si>
  <si>
    <t>1230 3rd Ave, New York, NY 10021, USA</t>
  </si>
  <si>
    <t>-73.9761123657227</t>
  </si>
  <si>
    <t>40.7761497497559</t>
  </si>
  <si>
    <t>115 Central Park West, New York, NY 10023, USA</t>
  </si>
  <si>
    <t>-73.9679565429688</t>
  </si>
  <si>
    <t>40.768741607666</t>
  </si>
  <si>
    <t>23 E 67th St, New York, NY 10065, USA</t>
  </si>
  <si>
    <t>-74.005500793457</t>
  </si>
  <si>
    <t>40.7065887451172</t>
  </si>
  <si>
    <t>160 Water St, New York, NY 10038, USA</t>
  </si>
  <si>
    <t>-74.006706237793</t>
  </si>
  <si>
    <t>40.7055549621582</t>
  </si>
  <si>
    <t>795 Pine St, New York, NY 10005, USA</t>
  </si>
  <si>
    <t>-74.0039825439453</t>
  </si>
  <si>
    <t>40.7484703063965</t>
  </si>
  <si>
    <t>-73.9810485839844</t>
  </si>
  <si>
    <t>40.7443389892578</t>
  </si>
  <si>
    <t>175 Lexington Ave, New York, NY 10016, USA</t>
  </si>
  <si>
    <t>-73.8627777099609</t>
  </si>
  <si>
    <t>40.7693138122559</t>
  </si>
  <si>
    <t>Delta Departures Rd, East Elmhurst, NY 11371, USA</t>
  </si>
  <si>
    <t>-74.0028381347656</t>
  </si>
  <si>
    <t>40.7603607177734</t>
  </si>
  <si>
    <t>Lincoln Tunnel, New York, NY 10018, USA</t>
  </si>
  <si>
    <t>40.7342338562012</t>
  </si>
  <si>
    <t>421 6th Ave, New York, NY 10011, USA</t>
  </si>
  <si>
    <t>-73.9811782836914</t>
  </si>
  <si>
    <t>40.7209014892578</t>
  </si>
  <si>
    <t>12 Avenue C, New York, NY 10009, USA</t>
  </si>
  <si>
    <t>-73.9818649291992</t>
  </si>
  <si>
    <t>40.7587738037109</t>
  </si>
  <si>
    <t>116 W 48th St, New York, NY 10036, USA</t>
  </si>
  <si>
    <t>-73.994255065918</t>
  </si>
  <si>
    <t>40.7458038330078</t>
  </si>
  <si>
    <t>275 7th Ave, New York, NY 10011, USA</t>
  </si>
  <si>
    <t>-73.9900817871094</t>
  </si>
  <si>
    <t>40.7567367553711</t>
  </si>
  <si>
    <t>646 8th Ave, New York, NY 10036, USA</t>
  </si>
  <si>
    <t>-73.9764862060547</t>
  </si>
  <si>
    <t>40.7549896240234</t>
  </si>
  <si>
    <t>51 E 46th St, New York, NY 10017, USA</t>
  </si>
  <si>
    <t>-73.9885482788086</t>
  </si>
  <si>
    <t>40.745979309082</t>
  </si>
  <si>
    <t>-73.9767990112305</t>
  </si>
  <si>
    <t>40.7499504089355</t>
  </si>
  <si>
    <t>-73.9915008544922</t>
  </si>
  <si>
    <t>40.7448921203613</t>
  </si>
  <si>
    <t>101 W 26th St, New York, NY 10001, USA</t>
  </si>
  <si>
    <t>-73.9527435302734</t>
  </si>
  <si>
    <t>40.7722587585449</t>
  </si>
  <si>
    <t>-73.9731674194336</t>
  </si>
  <si>
    <t>40.7556991577148</t>
  </si>
  <si>
    <t>111 E 48th St, New York, NY 10017, USA</t>
  </si>
  <si>
    <t>-73.9674377441406</t>
  </si>
  <si>
    <t>40.759349822998</t>
  </si>
  <si>
    <t>-73.9787979125977</t>
  </si>
  <si>
    <t>40.766731262207</t>
  </si>
  <si>
    <t>-73.9821395874023</t>
  </si>
  <si>
    <t>40.7753257751465</t>
  </si>
  <si>
    <t>1998 Broadway, New York, NY 10023, USA</t>
  </si>
  <si>
    <t>-74.0010299682617</t>
  </si>
  <si>
    <t>40.7566528320312</t>
  </si>
  <si>
    <t>416-426 11th Ave, New York, NY 10018, USA</t>
  </si>
  <si>
    <t>-73.981559753418</t>
  </si>
  <si>
    <t>40.7663269042969</t>
  </si>
  <si>
    <t>1776 Broadway, New York, NY 10019, USA</t>
  </si>
  <si>
    <t>-74.0074996948242</t>
  </si>
  <si>
    <t>40.7409515380859</t>
  </si>
  <si>
    <t>851 Washington St, New York, NY 10014, USA</t>
  </si>
  <si>
    <t>-73.9611206054688</t>
  </si>
  <si>
    <t>40.7719688415527</t>
  </si>
  <si>
    <t>-73.9801025390625</t>
  </si>
  <si>
    <t>40.7537040710449</t>
  </si>
  <si>
    <t>4 E 43rd St, New York, NY 10017, USA</t>
  </si>
  <si>
    <t>-73.7824249267578</t>
  </si>
  <si>
    <t>40.644287109375</t>
  </si>
  <si>
    <t>Van Wyck Expy, Jamaica, NY 11430, USA</t>
  </si>
  <si>
    <t>-73.987434387207</t>
  </si>
  <si>
    <t>40.760139465332</t>
  </si>
  <si>
    <t>40.731071472168</t>
  </si>
  <si>
    <t>449 1/2 Hudson St, New York, NY 10014, USA</t>
  </si>
  <si>
    <t>-73.9793548583984</t>
  </si>
  <si>
    <t>40.7561912536621</t>
  </si>
  <si>
    <t>1-3 W 46th St, New York, NY 10036, USA</t>
  </si>
  <si>
    <t>-73.9851150512695</t>
  </si>
  <si>
    <t>40.768726348877</t>
  </si>
  <si>
    <t>900-910 9th Ave, New York, NY 10019, USA</t>
  </si>
  <si>
    <t>-73.9868316650391</t>
  </si>
  <si>
    <t>40.7618293762207</t>
  </si>
  <si>
    <t>825 8th Ave, New York, NY 10019, USA</t>
  </si>
  <si>
    <t>-73.9977493286133</t>
  </si>
  <si>
    <t>40.756649017334</t>
  </si>
  <si>
    <t>485 10th Ave, New York, NY 10018, USA</t>
  </si>
  <si>
    <t>-73.9812774658203</t>
  </si>
  <si>
    <t>40.7803611755371</t>
  </si>
  <si>
    <t>2120 Broadway, New York, NY 10023, USA</t>
  </si>
  <si>
    <t>-73.9803848266602</t>
  </si>
  <si>
    <t>40.7656440734863</t>
  </si>
  <si>
    <t>210 W 57th St, New York, NY 10106, USA</t>
  </si>
  <si>
    <t>-73.9510879516602</t>
  </si>
  <si>
    <t>40.7110633850098</t>
  </si>
  <si>
    <t>354-362 Union Ave, Brooklyn, NY 11211, USA</t>
  </si>
  <si>
    <t>-73.9658813476562</t>
  </si>
  <si>
    <t>40.7628402709961</t>
  </si>
  <si>
    <t>172 E 61st St, New York, NY 10065, USA</t>
  </si>
  <si>
    <t>40.7383995056152</t>
  </si>
  <si>
    <t>158 W 14th St, New York, NY 10011, USA</t>
  </si>
  <si>
    <t>-73.9440383911133</t>
  </si>
  <si>
    <t>40.7115783691406</t>
  </si>
  <si>
    <t>720-724 Grand St, Brooklyn, NY 11211, USA</t>
  </si>
  <si>
    <t>-73.9735717773438</t>
  </si>
  <si>
    <t>40.7521667480469</t>
  </si>
  <si>
    <t>-73.9583969116211</t>
  </si>
  <si>
    <t>40.7726287841797</t>
  </si>
  <si>
    <t>1337 3rd Ave, New York, NY 10021, USA</t>
  </si>
  <si>
    <t>-73.9537200927734</t>
  </si>
  <si>
    <t>40.7752952575684</t>
  </si>
  <si>
    <t>240 E 82nd St, New York, NY 10028, USA</t>
  </si>
  <si>
    <t>-74.0061187744141</t>
  </si>
  <si>
    <t>40.7179183959961</t>
  </si>
  <si>
    <t>250 Church St, New York, NY 10013, USA</t>
  </si>
  <si>
    <t>-74.0164794921875</t>
  </si>
  <si>
    <t>40.7154083251953</t>
  </si>
  <si>
    <t>6 River Terrace, New York, NY 10282, USA</t>
  </si>
  <si>
    <t>-73.9621810913086</t>
  </si>
  <si>
    <t>40.8107261657715</t>
  </si>
  <si>
    <t>-73.9922332763672</t>
  </si>
  <si>
    <t>40.7442817687988</t>
  </si>
  <si>
    <t>108 W 25th St, New York, NY 10001, USA</t>
  </si>
  <si>
    <t>-73.9515762329102</t>
  </si>
  <si>
    <t>40.7664680480957</t>
  </si>
  <si>
    <t>530 E 73rd St, New York, NY 10021, USA</t>
  </si>
  <si>
    <t>-73.9782104492188</t>
  </si>
  <si>
    <t>40.7771606445312</t>
  </si>
  <si>
    <t>44-50 W 72nd St, New York, NY 10023, USA</t>
  </si>
  <si>
    <t>-73.8634719848633</t>
  </si>
  <si>
    <t>40.7698173522949</t>
  </si>
  <si>
    <t>-73.9695358276367</t>
  </si>
  <si>
    <t>40.7552185058594</t>
  </si>
  <si>
    <t>236 E 50th St, New York, NY 10022, USA</t>
  </si>
  <si>
    <t>-73.990364074707</t>
  </si>
  <si>
    <t>40.7562408447266</t>
  </si>
  <si>
    <t>628 8th Ave, New York, NY 10018, USA</t>
  </si>
  <si>
    <t>-73.9905166625977</t>
  </si>
  <si>
    <t>40.7305793762207</t>
  </si>
  <si>
    <t>91 Wanamaker Pl, New York, NY 10003, USA</t>
  </si>
  <si>
    <t>-74.0062942504883</t>
  </si>
  <si>
    <t>40.7499046325684</t>
  </si>
  <si>
    <t>210 11th Ave, New York, NY 10001, USA</t>
  </si>
  <si>
    <t>-73.9849853515625</t>
  </si>
  <si>
    <t>40.7485809326172</t>
  </si>
  <si>
    <t>8 W 34th St, New York, NY 10001, USA</t>
  </si>
  <si>
    <t>-73.9786605834961</t>
  </si>
  <si>
    <t>40.7563018798828</t>
  </si>
  <si>
    <t>575 5th Ave, New York, NY 10037, USA</t>
  </si>
  <si>
    <t>-73.956657409668</t>
  </si>
  <si>
    <t>40.7807693481445</t>
  </si>
  <si>
    <t>1057 Park Ave, New York, NY 10028, USA</t>
  </si>
  <si>
    <t>-74.0074462890625</t>
  </si>
  <si>
    <t>40.733512878418</t>
  </si>
  <si>
    <t>40.739917755127</t>
  </si>
  <si>
    <t>-73.9902496337891</t>
  </si>
  <si>
    <t>40.7572860717773</t>
  </si>
  <si>
    <t>-73.9619522094727</t>
  </si>
  <si>
    <t>40.8004455566406</t>
  </si>
  <si>
    <t>975-977 Columbus Ave, New York, NY 10025, USA</t>
  </si>
  <si>
    <t>-73.9788284301758</t>
  </si>
  <si>
    <t>40.7528038024902</t>
  </si>
  <si>
    <t>51 E 42nd St, New York, NY 10017, USA</t>
  </si>
  <si>
    <t>-73.7771835327148</t>
  </si>
  <si>
    <t>40.6464996337891</t>
  </si>
  <si>
    <t>JFK Access Rd, Jamaica, NY 11430, USA</t>
  </si>
  <si>
    <t>-73.9631805419922</t>
  </si>
  <si>
    <t>40.7742309570312</t>
  </si>
  <si>
    <t>35 E 76th St, New York, NY 10021, USA</t>
  </si>
  <si>
    <t>-73.9940948486328</t>
  </si>
  <si>
    <t>40.7615509033203</t>
  </si>
  <si>
    <t>500-502 W 45th St, New York, NY 10036, USA</t>
  </si>
  <si>
    <t>-73.9615173339844</t>
  </si>
  <si>
    <t>40.7660217285156</t>
  </si>
  <si>
    <t>-73.9828491210938</t>
  </si>
  <si>
    <t>40.74462890625</t>
  </si>
  <si>
    <t>443 Park Ave S, New York, NY 10016, USA</t>
  </si>
  <si>
    <t>-73.8637847900391</t>
  </si>
  <si>
    <t>40.7697448730469</t>
  </si>
  <si>
    <t>-73.9945373535156</t>
  </si>
  <si>
    <t>40.7660255432129</t>
  </si>
  <si>
    <t>701-707 11th Ave, New York, NY 10019, USA</t>
  </si>
  <si>
    <t>-73.9923706054688</t>
  </si>
  <si>
    <t>40.7375144958496</t>
  </si>
  <si>
    <t>91 5th Ave, New York, NY 10003, USA</t>
  </si>
  <si>
    <t>-73.939826965332</t>
  </si>
  <si>
    <t>40.6995620727539</t>
  </si>
  <si>
    <t>811-815 Broadway, Brooklyn, NY 11206, USA</t>
  </si>
  <si>
    <t>-74.0163269042969</t>
  </si>
  <si>
    <t>40.7049903869629</t>
  </si>
  <si>
    <t>-73.9611663818359</t>
  </si>
  <si>
    <t>40.77783203125</t>
  </si>
  <si>
    <t>1076 Madison Ave, New York, NY 10028, USA</t>
  </si>
  <si>
    <t>-73.9828567504883</t>
  </si>
  <si>
    <t>40.7421951293945</t>
  </si>
  <si>
    <t>100-102 Lexington Ave, New York, NY 10016, USA</t>
  </si>
  <si>
    <t>-74.0024337768555</t>
  </si>
  <si>
    <t>40.7171669006348</t>
  </si>
  <si>
    <t>48 Franklin St, New York, NY 10013, USA</t>
  </si>
  <si>
    <t>-74.0077819824219</t>
  </si>
  <si>
    <t>40.7409439086914</t>
  </si>
  <si>
    <t>438-454 W 13th St, New York, NY 10014, USA</t>
  </si>
  <si>
    <t>-73.9348831176758</t>
  </si>
  <si>
    <t>40.8010101318359</t>
  </si>
  <si>
    <t>2383 2nd Ave, New York, NY 10035, USA</t>
  </si>
  <si>
    <t>-73.9720993041992</t>
  </si>
  <si>
    <t>40.7822074890137</t>
  </si>
  <si>
    <t>1 W 81st St, New York, NY 10024, USA</t>
  </si>
  <si>
    <t>-74.0029830932617</t>
  </si>
  <si>
    <t>40.7233123779297</t>
  </si>
  <si>
    <t>367 W Broadway, New York, NY 10013, USA</t>
  </si>
  <si>
    <t>-73.9779052734375</t>
  </si>
  <si>
    <t>40.7548713684082</t>
  </si>
  <si>
    <t>360 Madison Ave, New York, NY 10017, USA</t>
  </si>
  <si>
    <t>-73.9942169189453</t>
  </si>
  <si>
    <t>40.713306427002</t>
  </si>
  <si>
    <t>Manhattan Bridge Pedestrian Path, New York, NY 10002, USA</t>
  </si>
  <si>
    <t>-74.0079650878906</t>
  </si>
  <si>
    <t>40.7150993347168</t>
  </si>
  <si>
    <t>105 Chambers St, New York, NY 10007, USA</t>
  </si>
  <si>
    <t>-73.9483032226562</t>
  </si>
  <si>
    <t>40.7744369506836</t>
  </si>
  <si>
    <t>1575-1577 York Ave, New York, NY 10028, USA</t>
  </si>
  <si>
    <t>-73.98388671875</t>
  </si>
  <si>
    <t>40.7381973266602</t>
  </si>
  <si>
    <t>160-198 E 22nd St, New York, NY 10010, USA</t>
  </si>
  <si>
    <t>-73.8852310180664</t>
  </si>
  <si>
    <t>40.7729415893555</t>
  </si>
  <si>
    <t>Marine Terminal Rd, East Elmhurst, NY 11371, USA</t>
  </si>
  <si>
    <t>-73.9551467895508</t>
  </si>
  <si>
    <t>40.7825546264648</t>
  </si>
  <si>
    <t>-73.9925003051758</t>
  </si>
  <si>
    <t>40.7404441833496</t>
  </si>
  <si>
    <t>-73.9837951660156</t>
  </si>
  <si>
    <t>40.7507057189941</t>
  </si>
  <si>
    <t>1 W 37th St, New York, NY 10018, USA</t>
  </si>
  <si>
    <t>-73.9904174804688</t>
  </si>
  <si>
    <t>40.7568817138672</t>
  </si>
  <si>
    <t>-73.9651107788086</t>
  </si>
  <si>
    <t>40.775089263916</t>
  </si>
  <si>
    <t>-74.0166397094727</t>
  </si>
  <si>
    <t>40.7098579406738</t>
  </si>
  <si>
    <t>300 Albany St, New York, NY 10280, USA</t>
  </si>
  <si>
    <t>-73.954475402832</t>
  </si>
  <si>
    <t>40.7836952209473</t>
  </si>
  <si>
    <t>1153 Park Ave, New York, NY 10128, USA</t>
  </si>
  <si>
    <t>-73.9909057617188</t>
  </si>
  <si>
    <t>40.7562713623047</t>
  </si>
  <si>
    <t>301-331 W 40th St, New York, NY 10018, USA</t>
  </si>
  <si>
    <t>-73.9760284423828</t>
  </si>
  <si>
    <t>40.7761268615723</t>
  </si>
  <si>
    <t>-73.9899597167969</t>
  </si>
  <si>
    <t>40.741081237793</t>
  </si>
  <si>
    <t>176 5th Ave, New York, NY 10010, USA</t>
  </si>
  <si>
    <t>-73.9869079589844</t>
  </si>
  <si>
    <t>40.7616081237793</t>
  </si>
  <si>
    <t>811 8th Ave, New York, NY 10019, USA</t>
  </si>
  <si>
    <t>-73.9704666137695</t>
  </si>
  <si>
    <t>40.7991752624512</t>
  </si>
  <si>
    <t>861-865 West End Ave, New York, NY 10025, USA</t>
  </si>
  <si>
    <t>-73.9727935791016</t>
  </si>
  <si>
    <t>40.7555961608887</t>
  </si>
  <si>
    <t>525 Lexington Ave, New York, NY 10017, USA</t>
  </si>
  <si>
    <t>-73.9814147949219</t>
  </si>
  <si>
    <t>40.7567329406738</t>
  </si>
  <si>
    <t>48w W 46th St, New York, NY 10036, USA</t>
  </si>
  <si>
    <t>-73.9965667724609</t>
  </si>
  <si>
    <t>40.7319755554199</t>
  </si>
  <si>
    <t>1-3 5th Ave, New York, NY 10003, USA</t>
  </si>
  <si>
    <t>-73.9910583496094</t>
  </si>
  <si>
    <t>40.7395706176758</t>
  </si>
  <si>
    <t>150 5th Ave, New York, NY 10011, USA</t>
  </si>
  <si>
    <t>-73.9847869873047</t>
  </si>
  <si>
    <t>40.7430152893066</t>
  </si>
  <si>
    <t>386 Park Ave S, New York, NY 10016, USA</t>
  </si>
  <si>
    <t>40.7756614685059</t>
  </si>
  <si>
    <t>143-155 W 68th St, New York, NY 10023, USA</t>
  </si>
  <si>
    <t>-73.9958648681641</t>
  </si>
  <si>
    <t>40.7588119506836</t>
  </si>
  <si>
    <t>554 10th Ave, New York, NY 10018, USA</t>
  </si>
  <si>
    <t>-73.9887237548828</t>
  </si>
  <si>
    <t>40.7369766235352</t>
  </si>
  <si>
    <t>220 Park Ave S, New York, NY 10003, USA</t>
  </si>
  <si>
    <t>-73.7822341918945</t>
  </si>
  <si>
    <t>40.6445732116699</t>
  </si>
  <si>
    <t>-73.971923828125</t>
  </si>
  <si>
    <t>40.7919044494629</t>
  </si>
  <si>
    <t>669 Amsterdam Ave, New York, NY 10025, USA</t>
  </si>
  <si>
    <t>40.7759666442871</t>
  </si>
  <si>
    <t>1025 Madison Ave, New York, NY 10075, USA</t>
  </si>
  <si>
    <t>-74.0041351318359</t>
  </si>
  <si>
    <t>40.7428092956543</t>
  </si>
  <si>
    <t>97-103 9th Ave, New York, NY 10011, USA</t>
  </si>
  <si>
    <t>-73.9555206298828</t>
  </si>
  <si>
    <t>40.7792778015137</t>
  </si>
  <si>
    <t>-73.9730529785156</t>
  </si>
  <si>
    <t>40.7932090759277</t>
  </si>
  <si>
    <t>2519 Broadway, New York, NY 10025, USA</t>
  </si>
  <si>
    <t>-73.9629821777344</t>
  </si>
  <si>
    <t>40.7566795349121</t>
  </si>
  <si>
    <t>409-417 E 55th St, New York, NY 10022, USA</t>
  </si>
  <si>
    <t>-73.9892730712891</t>
  </si>
  <si>
    <t>40.7564888000488</t>
  </si>
  <si>
    <t>258 W 42nd St, New York, NY 10036, USA</t>
  </si>
  <si>
    <t>-73.8628463745117</t>
  </si>
  <si>
    <t>40.7690658569336</t>
  </si>
  <si>
    <t>-73.7818603515625</t>
  </si>
  <si>
    <t>40.6446838378906</t>
  </si>
  <si>
    <t>-74.0033721923828</t>
  </si>
  <si>
    <t>40.7488288879395</t>
  </si>
  <si>
    <t>255 10th Ave, New York, NY 10001, USA</t>
  </si>
  <si>
    <t>-73.9560623168945</t>
  </si>
  <si>
    <t>40.7641525268555</t>
  </si>
  <si>
    <t>1275 York Ave, New York, NY 10065, USA</t>
  </si>
  <si>
    <t>-73.9544982910156</t>
  </si>
  <si>
    <t>40.7668075561523</t>
  </si>
  <si>
    <t>434 E 72nd St, New York, NY 10021, USA</t>
  </si>
  <si>
    <t>-74.0063247680664</t>
  </si>
  <si>
    <t>40.7333908081055</t>
  </si>
  <si>
    <t>508-510 Hudson St, New York, NY 10014, USA</t>
  </si>
  <si>
    <t>-73.8788223266602</t>
  </si>
  <si>
    <t>40.7401962280273</t>
  </si>
  <si>
    <t>83-34-83-98 Broadway, Elmhurst, NY 11373, USA</t>
  </si>
  <si>
    <t>-74.0010375976562</t>
  </si>
  <si>
    <t>40.7415199279785</t>
  </si>
  <si>
    <t>-73.9552612304688</t>
  </si>
  <si>
    <t>40.7802429199219</t>
  </si>
  <si>
    <t>120-144 E 87th St, New York, NY 10128, USA</t>
  </si>
  <si>
    <t>-74.0014114379883</t>
  </si>
  <si>
    <t>40.7614326477051</t>
  </si>
  <si>
    <t>624-660 W 42nd St, New York, NY 10036, USA</t>
  </si>
  <si>
    <t>-73.9758071899414</t>
  </si>
  <si>
    <t>40.760627746582</t>
  </si>
  <si>
    <t>5 W 53rd St, New York, NY 10019, USA</t>
  </si>
  <si>
    <t>-73.9863891601562</t>
  </si>
  <si>
    <t>40.7566146850586</t>
  </si>
  <si>
    <t>-73.9523010253906</t>
  </si>
  <si>
    <t>40.7839088439941</t>
  </si>
  <si>
    <t>150 E 93rd St, New York, NY 10128, USA</t>
  </si>
  <si>
    <t>-73.9968185424805</t>
  </si>
  <si>
    <t>40.7528610229492</t>
  </si>
  <si>
    <t>413 9th Ave, New York, NY 10001, USA</t>
  </si>
  <si>
    <t>-73.9695663452148</t>
  </si>
  <si>
    <t>40.7691650390625</t>
  </si>
  <si>
    <t>856 5th Ave, New York, NY 10065, USA</t>
  </si>
  <si>
    <t>-73.790153503418</t>
  </si>
  <si>
    <t>40.646614074707</t>
  </si>
  <si>
    <t>-73.9619674682617</t>
  </si>
  <si>
    <t>40.7700805664062</t>
  </si>
  <si>
    <t>-73.9760360717773</t>
  </si>
  <si>
    <t>40.7761726379395</t>
  </si>
  <si>
    <t>-73.982307434082</t>
  </si>
  <si>
    <t>40.7750396728516</t>
  </si>
  <si>
    <t>1981 Broadway, New York, NY 10023, USA</t>
  </si>
  <si>
    <t>-73.9452972412109</t>
  </si>
  <si>
    <t>40.7743492126465</t>
  </si>
  <si>
    <t>130 East End Ave, New York, NY 10028, USA</t>
  </si>
  <si>
    <t>-73.9547882080078</t>
  </si>
  <si>
    <t>40.7779655456543</t>
  </si>
  <si>
    <t>-73.9819107055664</t>
  </si>
  <si>
    <t>40.7668800354004</t>
  </si>
  <si>
    <t>1769-1773 Broadway, New York, NY 10019, USA</t>
  </si>
  <si>
    <t>-73.9975204467773</t>
  </si>
  <si>
    <t>40.7212409973145</t>
  </si>
  <si>
    <t>2 Cleveland Pl, New York, NY 10012, USA</t>
  </si>
  <si>
    <t>-73.9568786621094</t>
  </si>
  <si>
    <t>40.7748718261719</t>
  </si>
  <si>
    <t>1404-1406 3rd Ave, New York, NY 10075, USA</t>
  </si>
  <si>
    <t>-73.9726867675781</t>
  </si>
  <si>
    <t>40.7558631896973</t>
  </si>
  <si>
    <t>123-143 E 49th St, New York, NY 10017, USA</t>
  </si>
  <si>
    <t>-74.0066909790039</t>
  </si>
  <si>
    <t>40.7376403808594</t>
  </si>
  <si>
    <t>802 Greenwich St, New York, NY 10014, USA</t>
  </si>
  <si>
    <t>-73.9817504882812</t>
  </si>
  <si>
    <t>40.7685699462891</t>
  </si>
  <si>
    <t>1008 8th Ave, New York, NY 10023, USA</t>
  </si>
  <si>
    <t>-74.0111694335938</t>
  </si>
  <si>
    <t>40.7036056518555</t>
  </si>
  <si>
    <t>63 Pearl St, New York, NY 10004, USA</t>
  </si>
  <si>
    <t>-74.0012512207031</t>
  </si>
  <si>
    <t>40.7363243103027</t>
  </si>
  <si>
    <t>177-199 7th Ave S, New York, NY 10014, USA</t>
  </si>
  <si>
    <t>-73.9626083374023</t>
  </si>
  <si>
    <t>40.7588272094727</t>
  </si>
  <si>
    <t>1063 1st Avenue, New York, NY 10022, USA</t>
  </si>
  <si>
    <t>40.7255096435547</t>
  </si>
  <si>
    <t>3-15 W Houston St, New York, NY 10012, USA</t>
  </si>
  <si>
    <t>-73.9871444702148</t>
  </si>
  <si>
    <t>40.7294998168945</t>
  </si>
  <si>
    <t>149-151 2nd Ave, New York, NY 10003, USA</t>
  </si>
  <si>
    <t>-73.8643188476562</t>
  </si>
  <si>
    <t>40.7698287963867</t>
  </si>
  <si>
    <t>Parking, Lga, East Elmhurst, NY 11371, USA</t>
  </si>
  <si>
    <t>-73.9908981323242</t>
  </si>
  <si>
    <t>40.7506637573242</t>
  </si>
  <si>
    <t>420 7th Ave, New York, NY 10119, USA</t>
  </si>
  <si>
    <t>-73.9846496582031</t>
  </si>
  <si>
    <t>22-26 E 31st St, New York, NY 10016, USA</t>
  </si>
  <si>
    <t>-73.9678802490234</t>
  </si>
  <si>
    <t>40.7598114013672</t>
  </si>
  <si>
    <t>938-940 3rd Ave, New York, NY 10022, USA</t>
  </si>
  <si>
    <t>-73.9850692749023</t>
  </si>
  <si>
    <t>40.7322044372559</t>
  </si>
  <si>
    <t>223-227 2nd Ave, New York, NY 10003, USA</t>
  </si>
  <si>
    <t>-73.952880859375</t>
  </si>
  <si>
    <t>-73.9789810180664</t>
  </si>
  <si>
    <t>40.756519317627</t>
  </si>
  <si>
    <t>574 5th Ave, New York, NY 10036, USA</t>
  </si>
  <si>
    <t>-73.9904098510742</t>
  </si>
  <si>
    <t>40.7187957763672</t>
  </si>
  <si>
    <t>102 Allen St, New York, NY 10002, USA</t>
  </si>
  <si>
    <t>-74.004035949707</t>
  </si>
  <si>
    <t>40.7419738769531</t>
  </si>
  <si>
    <t>-73.870735168457</t>
  </si>
  <si>
    <t>40.7736587524414</t>
  </si>
  <si>
    <t>-73.9768295288086</t>
  </si>
  <si>
    <t>40.7882118225098</t>
  </si>
  <si>
    <t>2349 Broadway, New York, NY 10024, USA</t>
  </si>
  <si>
    <t>-73.9948806762695</t>
  </si>
  <si>
    <t>40.7502136230469</t>
  </si>
  <si>
    <t>-73.9853591918945</t>
  </si>
  <si>
    <t>40.738410949707</t>
  </si>
  <si>
    <t>1 Lexington Ave, New York, NY 10010, USA</t>
  </si>
  <si>
    <t>-73.9626770019531</t>
  </si>
  <si>
    <t>28-38 E 78th St, New York, NY 10075, USA</t>
  </si>
  <si>
    <t>-73.9916152954102</t>
  </si>
  <si>
    <t>40.7597618103027</t>
  </si>
  <si>
    <t>622 9th Ave, New York, NY 10036, USA</t>
  </si>
  <si>
    <t>-73.8730087280273</t>
  </si>
  <si>
    <t>40.7741203308105</t>
  </si>
  <si>
    <t>-73.9936370849609</t>
  </si>
  <si>
    <t>40.7342185974121</t>
  </si>
  <si>
    <t>12-16 E 12th St, New York, NY 10003, USA</t>
  </si>
  <si>
    <t>-73.983283996582</t>
  </si>
  <si>
    <t>40.7737426757812</t>
  </si>
  <si>
    <t>155 W 65th St, New York, NY 10023, USA</t>
  </si>
  <si>
    <t>-73.9529418945312</t>
  </si>
  <si>
    <t>40.810188293457</t>
  </si>
  <si>
    <t>280 St Nicholas Ave, New York, NY 10027, USA</t>
  </si>
  <si>
    <t>-73.9369430541992</t>
  </si>
  <si>
    <t>40.7982330322266</t>
  </si>
  <si>
    <t>-73.9899978637695</t>
  </si>
  <si>
    <t>40.7197608947754</t>
  </si>
  <si>
    <t>126 Allen St, New York, NY 10002, USA</t>
  </si>
  <si>
    <t>-73.9759979248047</t>
  </si>
  <si>
    <t>375 Lexington Ave, New York, NY 10017, USA</t>
  </si>
  <si>
    <t>-73.9531173706055</t>
  </si>
  <si>
    <t>40.771800994873</t>
  </si>
  <si>
    <t>-73.9866638183594</t>
  </si>
  <si>
    <t>40.7216835021973</t>
  </si>
  <si>
    <t>167-179 Essex St, New York, NY 10002, USA</t>
  </si>
  <si>
    <t>-74.0100784301758</t>
  </si>
  <si>
    <t>40.7209510803223</t>
  </si>
  <si>
    <t>390-406 Greenwich St, New York, NY 10013, USA</t>
  </si>
  <si>
    <t>-73.9825592041016</t>
  </si>
  <si>
    <t>40.7423515319824</t>
  </si>
  <si>
    <t>109 Lexington Ave, New York, NY 10016, USA</t>
  </si>
  <si>
    <t>-73.9534225463867</t>
  </si>
  <si>
    <t>40.7676582336426</t>
  </si>
  <si>
    <t>431-499 E 73rd St, New York, NY 10021, USA</t>
  </si>
  <si>
    <t>-73.8669128417969</t>
  </si>
  <si>
    <t>40.7718772888184</t>
  </si>
  <si>
    <t>-73.987190246582</t>
  </si>
  <si>
    <t>40.7507438659668</t>
  </si>
  <si>
    <t>961-977 6th Ave, New York, NY 10018, USA</t>
  </si>
  <si>
    <t>-73.9945602416992</t>
  </si>
  <si>
    <t>40.7505264282227</t>
  </si>
  <si>
    <t>420 8th Ave, New York, NY 10001, USA</t>
  </si>
  <si>
    <t>-73.9980621337891</t>
  </si>
  <si>
    <t>40.6748085021973</t>
  </si>
  <si>
    <t>202-210 W 9th St, Brooklyn, NY 11231, USA</t>
  </si>
  <si>
    <t>-73.9692764282227</t>
  </si>
  <si>
    <t>40.797779083252</t>
  </si>
  <si>
    <t>215 W 101st St, New York, NY 10025, USA</t>
  </si>
  <si>
    <t>-73.9619750976562</t>
  </si>
  <si>
    <t>40.7677345275879</t>
  </si>
  <si>
    <t>200 E 69th St, New York, NY 10021, USA</t>
  </si>
  <si>
    <t>-73.9737167358398</t>
  </si>
  <si>
    <t>40.7946968078613</t>
  </si>
  <si>
    <t>717-725 West End Ave, New York, NY 10025, USA</t>
  </si>
  <si>
    <t>-73.9944839477539</t>
  </si>
  <si>
    <t>40.7450866699219</t>
  </si>
  <si>
    <t>-74.0069122314453</t>
  </si>
  <si>
    <t>40.7303619384766</t>
  </si>
  <si>
    <t>425-435 Hudson St, New York, NY 10014, USA</t>
  </si>
  <si>
    <t>-73.9854965209961</t>
  </si>
  <si>
    <t>40.7474517822266</t>
  </si>
  <si>
    <t>40.7427101135254</t>
  </si>
  <si>
    <t>387 Park Ave S, New York, NY 10016, USA</t>
  </si>
  <si>
    <t>-73.7898406982422</t>
  </si>
  <si>
    <t>40.6435585021973</t>
  </si>
  <si>
    <t>312 Federal Cir, Jamaica, NY 11430, USA</t>
  </si>
  <si>
    <t>-73.9890213012695</t>
  </si>
  <si>
    <t>40.7189102172852</t>
  </si>
  <si>
    <t>96 Delancey St, New York, NY 10002, USA</t>
  </si>
  <si>
    <t>-73.9785079956055</t>
  </si>
  <si>
    <t>40.7550010681152</t>
  </si>
  <si>
    <t>9-27 E 45th St, New York, NY 10017, USA</t>
  </si>
  <si>
    <t>-73.9431457519531</t>
  </si>
  <si>
    <t>40.7896308898926</t>
  </si>
  <si>
    <t>2032 2nd Ave, New York, NY 10029, USA</t>
  </si>
  <si>
    <t>-73.9262847900391</t>
  </si>
  <si>
    <t>40.7032852172852</t>
  </si>
  <si>
    <t>214-216 Knickerbocker Ave, Brooklyn, NY 11237, USA</t>
  </si>
  <si>
    <t>-74.0000381469727</t>
  </si>
  <si>
    <t>40.73486328125</t>
  </si>
  <si>
    <t>18 Greenwich Ave, New York, NY 10011, USA</t>
  </si>
  <si>
    <t>-73.9880676269531</t>
  </si>
  <si>
    <t>40.7280807495117</t>
  </si>
  <si>
    <t>121 2nd Ave, New York, NY 10003, USA</t>
  </si>
  <si>
    <t>-73.9915313720703</t>
  </si>
  <si>
    <t>40.749439239502</t>
  </si>
  <si>
    <t>365 W 32nd St, New York, NY 10036, USA</t>
  </si>
  <si>
    <t>-73.9687271118164</t>
  </si>
  <si>
    <t>40.7864379882812</t>
  </si>
  <si>
    <t>275 Central Park West, New York, NY 10024, USA</t>
  </si>
  <si>
    <t>-74.0053939819336</t>
  </si>
  <si>
    <t>40.7408103942871</t>
  </si>
  <si>
    <t>-73.9696426391602</t>
  </si>
  <si>
    <t>40.6778831481934</t>
  </si>
  <si>
    <t>209-211 Prospect Pl, Brooklyn, NY 11238, USA</t>
  </si>
  <si>
    <t>-73.9199829101562</t>
  </si>
  <si>
    <t>40.7435722351074</t>
  </si>
  <si>
    <t>-73.9626388549805</t>
  </si>
  <si>
    <t>40.7682266235352</t>
  </si>
  <si>
    <t>159 E 69th St, New York, NY 10021, USA</t>
  </si>
  <si>
    <t>-73.9804153442383</t>
  </si>
  <si>
    <t>40.7385635375977</t>
  </si>
  <si>
    <t>301-305 E 24th St, New York, NY 10010, USA</t>
  </si>
  <si>
    <t>-74.0006713867188</t>
  </si>
  <si>
    <t>40.7582588195801</t>
  </si>
  <si>
    <t>-74.0016098022461</t>
  </si>
  <si>
    <t>112 8th Ave, New York, NY 10011, USA</t>
  </si>
  <si>
    <t>-73.9750900268555</t>
  </si>
  <si>
    <t>40.7587661743164</t>
  </si>
  <si>
    <t>466-488 Madison Ave, New York, NY 10022, USA</t>
  </si>
  <si>
    <t>-73.9873199462891</t>
  </si>
  <si>
    <t>40.7506408691406</t>
  </si>
  <si>
    <t>-73.9552307128906</t>
  </si>
  <si>
    <t>40.7771339416504</t>
  </si>
  <si>
    <t>1474-1480 3rd Ave, New York, NY 10028, USA</t>
  </si>
  <si>
    <t>-73.9991607666016</t>
  </si>
  <si>
    <t>40.7443695068359</t>
  </si>
  <si>
    <t>226 8th Ave, New York, NY 10011, USA</t>
  </si>
  <si>
    <t>-73.9589691162109</t>
  </si>
  <si>
    <t>40.768009185791</t>
  </si>
  <si>
    <t>1347 2nd Ave, New York, NY 10021, USA</t>
  </si>
  <si>
    <t>-73.9756469726562</t>
  </si>
  <si>
    <t>40.7414093017578</t>
  </si>
  <si>
    <t>-73.9855499267578</t>
  </si>
  <si>
    <t>40.7471656799316</t>
  </si>
  <si>
    <t>1 W 32nd St, New York, NY 10001, USA</t>
  </si>
  <si>
    <t>-73.9947738647461</t>
  </si>
  <si>
    <t>40.7549705505371</t>
  </si>
  <si>
    <t>480 9th Ave, New York, NY 10018, USA</t>
  </si>
  <si>
    <t>-73.9951400756836</t>
  </si>
  <si>
    <t>40.75</t>
  </si>
  <si>
    <t>411 8th Ave, New York, NY 10001, USA</t>
  </si>
  <si>
    <t>-73.9900665283203</t>
  </si>
  <si>
    <t>40.7519340515137</t>
  </si>
  <si>
    <t>-73.9563064575195</t>
  </si>
  <si>
    <t>40.7679405212402</t>
  </si>
  <si>
    <t>365 E 72nd St, New York, NY 10021, USA</t>
  </si>
  <si>
    <t>-73.9661636352539</t>
  </si>
  <si>
    <t>40.7669143676758</t>
  </si>
  <si>
    <t>108 E 66th St, New York, NY 10065, USA</t>
  </si>
  <si>
    <t>-74.0071487426758</t>
  </si>
  <si>
    <t>40.7130317687988</t>
  </si>
  <si>
    <t>242 Broadway, New York, NY 10007, USA</t>
  </si>
  <si>
    <t>-73.9638900756836</t>
  </si>
  <si>
    <t>40.7736511230469</t>
  </si>
  <si>
    <t>26-34 E 75th St, New York, NY 10021, USA</t>
  </si>
  <si>
    <t>40.7421836853027</t>
  </si>
  <si>
    <t>376-398 W 16th St, New York, NY 10011, USA</t>
  </si>
  <si>
    <t>-73.863655090332</t>
  </si>
  <si>
    <t>40.7696228027344</t>
  </si>
  <si>
    <t>-73.9911651611328</t>
  </si>
  <si>
    <t>40.7555618286133</t>
  </si>
  <si>
    <t>603 8th Ave, New York, NY 10018, USA</t>
  </si>
  <si>
    <t>-73.9681243896484</t>
  </si>
  <si>
    <t>40.8004379272461</t>
  </si>
  <si>
    <t>2737 Broadway, New York, NY 10025, USA</t>
  </si>
  <si>
    <t>-73.7824783325195</t>
  </si>
  <si>
    <t>40.644645690918</t>
  </si>
  <si>
    <t>40.7990455627441</t>
  </si>
  <si>
    <t>855 West End Ave, New York, NY 10025, USA</t>
  </si>
  <si>
    <t>-73.7818984985352</t>
  </si>
  <si>
    <t>40.6447715759277</t>
  </si>
  <si>
    <t>-74.008171081543</t>
  </si>
  <si>
    <t>40.745002746582</t>
  </si>
  <si>
    <t>57 11th Ave, New York, NY 10011, USA</t>
  </si>
  <si>
    <t>-73.988410949707</t>
  </si>
  <si>
    <t>40.758960723877</t>
  </si>
  <si>
    <t>700-722 8th Ave, New York, NY 10036, USA</t>
  </si>
  <si>
    <t>-73.9751052856445</t>
  </si>
  <si>
    <t>40.7556915283203</t>
  </si>
  <si>
    <t>270 Park Avenue, New York, NY 10017, USA</t>
  </si>
  <si>
    <t>-73.9949111938477</t>
  </si>
  <si>
    <t>40.7254486083984</t>
  </si>
  <si>
    <t>-73.9783096313477</t>
  </si>
  <si>
    <t>40.7371597290039</t>
  </si>
  <si>
    <t>394-400 1st Avenue, New York, NY 10010, USA</t>
  </si>
  <si>
    <t>-73.9769515991211</t>
  </si>
  <si>
    <t>40.7520217895508</t>
  </si>
  <si>
    <t>109 E 42nd St, New York, NY 10017, USA</t>
  </si>
  <si>
    <t>-73.9941177368164</t>
  </si>
  <si>
    <t>40.7510833740234</t>
  </si>
  <si>
    <t>-73.9545974731445</t>
  </si>
  <si>
    <t>40.7696189880371</t>
  </si>
  <si>
    <t>-73.9834365844727</t>
  </si>
  <si>
    <t>40.7316818237305</t>
  </si>
  <si>
    <t>-73.9694213867188</t>
  </si>
  <si>
    <t>40.8000335693359</t>
  </si>
  <si>
    <t>890 West End Ave, New York, NY 10025, USA</t>
  </si>
  <si>
    <t>-73.9795379638672</t>
  </si>
  <si>
    <t>40.753360748291</t>
  </si>
  <si>
    <t>330 Madison Ave, New York, NY 10017, USA</t>
  </si>
  <si>
    <t>-73.9328079223633</t>
  </si>
  <si>
    <t>40.7589302062988</t>
  </si>
  <si>
    <t>40.7130126953125</t>
  </si>
  <si>
    <t>1 Centre St, New York, NY 10007, USA</t>
  </si>
  <si>
    <t>-73.9590682983398</t>
  </si>
  <si>
    <t>130 E 80th St, New York, NY 10075, USA</t>
  </si>
  <si>
    <t>-73.9618835449219</t>
  </si>
  <si>
    <t>40.756290435791</t>
  </si>
  <si>
    <t>36 Sutton Pl S, New York, NY 10022, USA</t>
  </si>
  <si>
    <t>-73.7897186279297</t>
  </si>
  <si>
    <t>40.6437072753906</t>
  </si>
  <si>
    <t>-73.9992294311523</t>
  </si>
  <si>
    <t>40.7228813171387</t>
  </si>
  <si>
    <t>521 Broadway, New York, NY 10012, USA</t>
  </si>
  <si>
    <t>-74.0002059936523</t>
  </si>
  <si>
    <t>40.7378463745117</t>
  </si>
  <si>
    <t>35 7th Ave, New York, NY 10011, USA</t>
  </si>
  <si>
    <t>40.740234375</t>
  </si>
  <si>
    <t>620-632 6th Ave, New York, NY 10011, USA</t>
  </si>
  <si>
    <t>-73.9879760742188</t>
  </si>
  <si>
    <t>40.7615966796875</t>
  </si>
  <si>
    <t>319 W 48th St, New York, NY 10036, USA</t>
  </si>
  <si>
    <t>40.7457809448242</t>
  </si>
  <si>
    <t>101 W 27th St, New York, NY 10001, USA</t>
  </si>
  <si>
    <t>40.8083076477051</t>
  </si>
  <si>
    <t>73 W 126th St, New York, NY 10027, USA</t>
  </si>
  <si>
    <t>-73.9835662841797</t>
  </si>
  <si>
    <t>1118-1120 6th Ave, New York, NY 10036, USA</t>
  </si>
  <si>
    <t>-73.9917144775391</t>
  </si>
  <si>
    <t>40.7647132873535</t>
  </si>
  <si>
    <t>740 10th Ave, New York, NY 10019, USA</t>
  </si>
  <si>
    <t>-73.9551162719727</t>
  </si>
  <si>
    <t>40.7690010070801</t>
  </si>
  <si>
    <t>1382-1384 1st Avenue, New York, NY 10021, USA</t>
  </si>
  <si>
    <t>-73.9565811157227</t>
  </si>
  <si>
    <t>40.7713584899902</t>
  </si>
  <si>
    <t>1451-1459 2nd Ave, New York, NY 10021, USA</t>
  </si>
  <si>
    <t>-73.9709701538086</t>
  </si>
  <si>
    <t>40.7641258239746</t>
  </si>
  <si>
    <t>-73.9912033081055</t>
  </si>
  <si>
    <t>156 W 32nd St, New York, NY 10001, USA</t>
  </si>
  <si>
    <t>-73.9657287597656</t>
  </si>
  <si>
    <t>40.7687301635742</t>
  </si>
  <si>
    <t>680 Park Ave, New York, NY 10065, USA</t>
  </si>
  <si>
    <t>-74.0077285766602</t>
  </si>
  <si>
    <t>40.740608215332</t>
  </si>
  <si>
    <t>835 Washington St, New York, NY 10014, USA</t>
  </si>
  <si>
    <t>-73.9772567749023</t>
  </si>
  <si>
    <t>40.7742462158203</t>
  </si>
  <si>
    <t>2 W 69th St, New York, NY 10023, USA</t>
  </si>
  <si>
    <t>-73.98583984375</t>
  </si>
  <si>
    <t>40.7269020080566</t>
  </si>
  <si>
    <t>113 1st Avenue, New York, NY 10003, USA</t>
  </si>
  <si>
    <t>-73.9800186157227</t>
  </si>
  <si>
    <t>40.786018371582</t>
  </si>
  <si>
    <t>451 West End Ave, New York, NY 10024, USA</t>
  </si>
  <si>
    <t>-73.9783325195312</t>
  </si>
  <si>
    <t>40.7540702819824</t>
  </si>
  <si>
    <t>-73.9518508911133</t>
  </si>
  <si>
    <t>40.7140693664551</t>
  </si>
  <si>
    <t>518 Metropolitan Ave, Brooklyn, NY 11211, USA</t>
  </si>
  <si>
    <t>-73.9648666381836</t>
  </si>
  <si>
    <t>40.7557907104492</t>
  </si>
  <si>
    <t>-73.9725494384766</t>
  </si>
  <si>
    <t>40.794017791748</t>
  </si>
  <si>
    <t>250-258 W 95th St, New York, NY 10025, USA</t>
  </si>
  <si>
    <t>-73.9703826904297</t>
  </si>
  <si>
    <t>40.7649917602539</t>
  </si>
  <si>
    <t>-73.981330871582</t>
  </si>
  <si>
    <t>40.7472686767578</t>
  </si>
  <si>
    <t>6-10 Park Ave, New York, NY 10016, USA</t>
  </si>
  <si>
    <t>-73.9861297607422</t>
  </si>
  <si>
    <t>40.7597198486328</t>
  </si>
  <si>
    <t>226 W 47th St, New York, NY 10036, USA</t>
  </si>
  <si>
    <t>-73.8852233886719</t>
  </si>
  <si>
    <t>40.7727279663086</t>
  </si>
  <si>
    <t>-73.9523773193359</t>
  </si>
  <si>
    <t>40.8107681274414</t>
  </si>
  <si>
    <t>321 W 125th St, New York, NY 10027, USA</t>
  </si>
  <si>
    <t>-74.004524230957</t>
  </si>
  <si>
    <t>40.724193572998</t>
  </si>
  <si>
    <t>532 Broome St, New York, NY 10013, USA</t>
  </si>
  <si>
    <t>-73.9931640625</t>
  </si>
  <si>
    <t>40.7576942443848</t>
  </si>
  <si>
    <t>550-564 9th Ave, New York, NY 10018, USA</t>
  </si>
  <si>
    <t>-73.9907379150391</t>
  </si>
  <si>
    <t>40.766227722168</t>
  </si>
  <si>
    <t>777 10th Ave, New York, NY 10019, USA</t>
  </si>
  <si>
    <t>-73.9860992431641</t>
  </si>
  <si>
    <t>40.7194862365723</t>
  </si>
  <si>
    <t>132-146 Rivington St, New York, NY 10002, USA</t>
  </si>
  <si>
    <t>-74.0000762939453</t>
  </si>
  <si>
    <t>40.7482986450195</t>
  </si>
  <si>
    <t>-73.9716339111328</t>
  </si>
  <si>
    <t>40.7819633483887</t>
  </si>
  <si>
    <t>1-99 79th St Transverse, New York, NY 10024, USA</t>
  </si>
  <si>
    <t>-73.9797134399414</t>
  </si>
  <si>
    <t>40.7605628967285</t>
  </si>
  <si>
    <t>59-99 W 51st St, New York, NY 10104, USA</t>
  </si>
  <si>
    <t>-73.9771270751953</t>
  </si>
  <si>
    <t>40.7558784484863</t>
  </si>
  <si>
    <t>pickups_adress</t>
  </si>
  <si>
    <t>Property value</t>
  </si>
  <si>
    <t>Monthly mortgage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</si>
</sst>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1.0"/>
      <color rgb="FF000000"/>
      <name val="Calibri"/>
    </font>
    <font>
      <b/>
      <color theme="1"/>
      <name val="Arial"/>
    </font>
    <font>
      <b/>
    </font>
    <font>
      <sz val="11.0"/>
      <color rgb="FF000000"/>
      <name val="Calibri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25.71"/>
    <col customWidth="1" min="3" max="3" width="58.57"/>
    <col customWidth="1" min="4" max="7" width="25.71"/>
    <col customWidth="1" min="8" max="9" width="22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12</v>
      </c>
      <c r="B2" s="5" t="s">
        <v>13</v>
      </c>
      <c r="C2" s="5" t="s">
        <v>14</v>
      </c>
      <c r="D2" s="6">
        <v>17100.0</v>
      </c>
      <c r="E2" s="7">
        <f t="shared" ref="E2:E501" si="1">RANDBETWEEN(1,5)</f>
        <v>4</v>
      </c>
      <c r="F2" s="7">
        <f t="shared" ref="F2:F501" si="2">RANDBETWEEN(2000,100000)</f>
        <v>76919</v>
      </c>
      <c r="G2" s="7">
        <f t="shared" ref="G2:G501" si="3">SQRT(POWER(F2-RANDBETWEEN(-200,90000),2))</f>
        <v>50739</v>
      </c>
      <c r="H2" s="7" t="str">
        <f t="shared" ref="H2:H501" si="4">CHOOSE(RANDBETWEEN(1,7),"A","B","C","D","E","F","G")</f>
        <v>E</v>
      </c>
      <c r="I2" s="7" t="str">
        <f t="shared" ref="I2:I501" si="5">CHOOSE(RANDBETWEEN(1,6),"Transformative change","High ambition","Transformative change","Transformative change","Transformative change","Transformative change")</f>
        <v>Transformative change</v>
      </c>
      <c r="J2" s="7" t="str">
        <f t="shared" ref="J2:J501" si="6">CHOOSE(RANDBETWEEN(1,3),"Low","Medium","High")</f>
        <v>Low</v>
      </c>
      <c r="K2" s="7">
        <f t="shared" ref="K2:K501" si="7">RANDBETWEEN(40000,4000000)</f>
        <v>321572</v>
      </c>
      <c r="L2" s="7">
        <f t="shared" ref="L2:L501" si="8">K2*RAND()</f>
        <v>227271.4354</v>
      </c>
    </row>
    <row r="3">
      <c r="A3" s="5" t="s">
        <v>15</v>
      </c>
      <c r="B3" s="5" t="s">
        <v>16</v>
      </c>
      <c r="C3" s="5" t="s">
        <v>17</v>
      </c>
      <c r="D3" s="6">
        <v>89592.0</v>
      </c>
      <c r="E3" s="7">
        <f t="shared" si="1"/>
        <v>5</v>
      </c>
      <c r="F3" s="7">
        <f t="shared" si="2"/>
        <v>90108</v>
      </c>
      <c r="G3" s="7">
        <f t="shared" si="3"/>
        <v>77444</v>
      </c>
      <c r="H3" s="7" t="str">
        <f t="shared" si="4"/>
        <v>B</v>
      </c>
      <c r="I3" s="7" t="str">
        <f t="shared" si="5"/>
        <v>Transformative change</v>
      </c>
      <c r="J3" s="7" t="str">
        <f t="shared" si="6"/>
        <v>Medium</v>
      </c>
      <c r="K3" s="7">
        <f t="shared" si="7"/>
        <v>3719991</v>
      </c>
      <c r="L3" s="7">
        <f t="shared" si="8"/>
        <v>2439734.793</v>
      </c>
    </row>
    <row r="4">
      <c r="A4" s="5" t="s">
        <v>18</v>
      </c>
      <c r="B4" s="5" t="s">
        <v>19</v>
      </c>
      <c r="C4" s="5" t="s">
        <v>20</v>
      </c>
      <c r="D4" s="6">
        <v>23688.0</v>
      </c>
      <c r="E4" s="7">
        <f t="shared" si="1"/>
        <v>3</v>
      </c>
      <c r="F4" s="7">
        <f t="shared" si="2"/>
        <v>77909</v>
      </c>
      <c r="G4" s="7">
        <f t="shared" si="3"/>
        <v>65636</v>
      </c>
      <c r="H4" s="7" t="str">
        <f t="shared" si="4"/>
        <v>D</v>
      </c>
      <c r="I4" s="7" t="str">
        <f t="shared" si="5"/>
        <v>Transformative change</v>
      </c>
      <c r="J4" s="7" t="str">
        <f t="shared" si="6"/>
        <v>High</v>
      </c>
      <c r="K4" s="7">
        <f t="shared" si="7"/>
        <v>867629</v>
      </c>
      <c r="L4" s="7">
        <f t="shared" si="8"/>
        <v>355740.5517</v>
      </c>
    </row>
    <row r="5">
      <c r="A5" s="5" t="s">
        <v>21</v>
      </c>
      <c r="B5" s="5" t="s">
        <v>22</v>
      </c>
      <c r="C5" s="5" t="s">
        <v>23</v>
      </c>
      <c r="D5" s="6">
        <v>707515.0</v>
      </c>
      <c r="E5" s="7">
        <f t="shared" si="1"/>
        <v>1</v>
      </c>
      <c r="F5" s="7">
        <f t="shared" si="2"/>
        <v>34940</v>
      </c>
      <c r="G5" s="7">
        <f t="shared" si="3"/>
        <v>36251</v>
      </c>
      <c r="H5" s="7" t="str">
        <f t="shared" si="4"/>
        <v>F</v>
      </c>
      <c r="I5" s="7" t="str">
        <f t="shared" si="5"/>
        <v>Transformative change</v>
      </c>
      <c r="J5" s="7" t="str">
        <f t="shared" si="6"/>
        <v>High</v>
      </c>
      <c r="K5" s="7">
        <f t="shared" si="7"/>
        <v>2981572</v>
      </c>
      <c r="L5" s="7">
        <f t="shared" si="8"/>
        <v>2384935.678</v>
      </c>
    </row>
    <row r="6">
      <c r="A6" s="5" t="s">
        <v>24</v>
      </c>
      <c r="B6" s="5" t="s">
        <v>25</v>
      </c>
      <c r="C6" s="5" t="s">
        <v>26</v>
      </c>
      <c r="D6" s="6">
        <v>8954.0</v>
      </c>
      <c r="E6" s="7">
        <f t="shared" si="1"/>
        <v>5</v>
      </c>
      <c r="F6" s="7">
        <f t="shared" si="2"/>
        <v>79279</v>
      </c>
      <c r="G6" s="7">
        <f t="shared" si="3"/>
        <v>52637</v>
      </c>
      <c r="H6" s="7" t="str">
        <f t="shared" si="4"/>
        <v>E</v>
      </c>
      <c r="I6" s="7" t="str">
        <f t="shared" si="5"/>
        <v>Transformative change</v>
      </c>
      <c r="J6" s="7" t="str">
        <f t="shared" si="6"/>
        <v>Low</v>
      </c>
      <c r="K6" s="7">
        <f t="shared" si="7"/>
        <v>1597133</v>
      </c>
      <c r="L6" s="7">
        <f t="shared" si="8"/>
        <v>706186.4845</v>
      </c>
    </row>
    <row r="7">
      <c r="A7" s="5" t="s">
        <v>27</v>
      </c>
      <c r="B7" s="5" t="s">
        <v>28</v>
      </c>
      <c r="C7" s="5" t="s">
        <v>29</v>
      </c>
      <c r="D7" s="6">
        <v>77325.0</v>
      </c>
      <c r="E7" s="7">
        <f t="shared" si="1"/>
        <v>4</v>
      </c>
      <c r="F7" s="7">
        <f t="shared" si="2"/>
        <v>77923</v>
      </c>
      <c r="G7" s="7">
        <f t="shared" si="3"/>
        <v>22823</v>
      </c>
      <c r="H7" s="7" t="str">
        <f t="shared" si="4"/>
        <v>A</v>
      </c>
      <c r="I7" s="7" t="str">
        <f t="shared" si="5"/>
        <v>High ambition</v>
      </c>
      <c r="J7" s="7" t="str">
        <f t="shared" si="6"/>
        <v>High</v>
      </c>
      <c r="K7" s="7">
        <f t="shared" si="7"/>
        <v>3395828</v>
      </c>
      <c r="L7" s="7">
        <f t="shared" si="8"/>
        <v>881961.4866</v>
      </c>
    </row>
    <row r="8">
      <c r="A8" s="5" t="s">
        <v>30</v>
      </c>
      <c r="B8" s="5" t="s">
        <v>31</v>
      </c>
      <c r="C8" s="5" t="s">
        <v>32</v>
      </c>
      <c r="D8" s="6">
        <v>19336.0</v>
      </c>
      <c r="E8" s="7">
        <f t="shared" si="1"/>
        <v>5</v>
      </c>
      <c r="F8" s="7">
        <f t="shared" si="2"/>
        <v>49504</v>
      </c>
      <c r="G8" s="7">
        <f t="shared" si="3"/>
        <v>1377</v>
      </c>
      <c r="H8" s="7" t="str">
        <f t="shared" si="4"/>
        <v>E</v>
      </c>
      <c r="I8" s="7" t="str">
        <f t="shared" si="5"/>
        <v>Transformative change</v>
      </c>
      <c r="J8" s="7" t="str">
        <f t="shared" si="6"/>
        <v>High</v>
      </c>
      <c r="K8" s="7">
        <f t="shared" si="7"/>
        <v>2214024</v>
      </c>
      <c r="L8" s="7">
        <f t="shared" si="8"/>
        <v>1924785.433</v>
      </c>
    </row>
    <row r="9">
      <c r="A9" s="5" t="s">
        <v>33</v>
      </c>
      <c r="B9" s="5" t="s">
        <v>34</v>
      </c>
      <c r="C9" s="5" t="s">
        <v>35</v>
      </c>
      <c r="D9" s="6">
        <v>234404.0</v>
      </c>
      <c r="E9" s="7">
        <f t="shared" si="1"/>
        <v>3</v>
      </c>
      <c r="F9" s="7">
        <f t="shared" si="2"/>
        <v>93572</v>
      </c>
      <c r="G9" s="7">
        <f t="shared" si="3"/>
        <v>91901</v>
      </c>
      <c r="H9" s="7" t="str">
        <f t="shared" si="4"/>
        <v>B</v>
      </c>
      <c r="I9" s="7" t="str">
        <f t="shared" si="5"/>
        <v>Transformative change</v>
      </c>
      <c r="J9" s="7" t="str">
        <f t="shared" si="6"/>
        <v>High</v>
      </c>
      <c r="K9" s="7">
        <f t="shared" si="7"/>
        <v>1664617</v>
      </c>
      <c r="L9" s="7">
        <f t="shared" si="8"/>
        <v>853434.0245</v>
      </c>
    </row>
    <row r="10">
      <c r="A10" s="5" t="s">
        <v>36</v>
      </c>
      <c r="B10" s="5" t="s">
        <v>37</v>
      </c>
      <c r="C10" s="5" t="s">
        <v>38</v>
      </c>
      <c r="D10" s="6">
        <v>14081.0</v>
      </c>
      <c r="E10" s="7">
        <f t="shared" si="1"/>
        <v>5</v>
      </c>
      <c r="F10" s="7">
        <f t="shared" si="2"/>
        <v>90329</v>
      </c>
      <c r="G10" s="7">
        <f t="shared" si="3"/>
        <v>58012</v>
      </c>
      <c r="H10" s="7" t="str">
        <f t="shared" si="4"/>
        <v>B</v>
      </c>
      <c r="I10" s="7" t="str">
        <f t="shared" si="5"/>
        <v>Transformative change</v>
      </c>
      <c r="J10" s="7" t="str">
        <f t="shared" si="6"/>
        <v>High</v>
      </c>
      <c r="K10" s="7">
        <f t="shared" si="7"/>
        <v>834078</v>
      </c>
      <c r="L10" s="7">
        <f t="shared" si="8"/>
        <v>380446.2135</v>
      </c>
    </row>
    <row r="11">
      <c r="A11" s="5" t="s">
        <v>39</v>
      </c>
      <c r="B11" s="5" t="s">
        <v>40</v>
      </c>
      <c r="C11" s="5" t="s">
        <v>41</v>
      </c>
      <c r="D11" s="6">
        <v>14001.0</v>
      </c>
      <c r="E11" s="7">
        <f t="shared" si="1"/>
        <v>4</v>
      </c>
      <c r="F11" s="7">
        <f t="shared" si="2"/>
        <v>27147</v>
      </c>
      <c r="G11" s="7">
        <f t="shared" si="3"/>
        <v>46371</v>
      </c>
      <c r="H11" s="7" t="str">
        <f t="shared" si="4"/>
        <v>G</v>
      </c>
      <c r="I11" s="7" t="str">
        <f t="shared" si="5"/>
        <v>Transformative change</v>
      </c>
      <c r="J11" s="7" t="str">
        <f t="shared" si="6"/>
        <v>Low</v>
      </c>
      <c r="K11" s="7">
        <f t="shared" si="7"/>
        <v>3027205</v>
      </c>
      <c r="L11" s="7">
        <f t="shared" si="8"/>
        <v>108154.8024</v>
      </c>
    </row>
    <row r="12">
      <c r="A12" s="5" t="s">
        <v>42</v>
      </c>
      <c r="B12" s="5" t="s">
        <v>43</v>
      </c>
      <c r="C12" s="5" t="s">
        <v>44</v>
      </c>
      <c r="D12" s="6">
        <v>12157.0</v>
      </c>
      <c r="E12" s="7">
        <f t="shared" si="1"/>
        <v>4</v>
      </c>
      <c r="F12" s="7">
        <f t="shared" si="2"/>
        <v>68732</v>
      </c>
      <c r="G12" s="7">
        <f t="shared" si="3"/>
        <v>32088</v>
      </c>
      <c r="H12" s="7" t="str">
        <f t="shared" si="4"/>
        <v>F</v>
      </c>
      <c r="I12" s="7" t="str">
        <f t="shared" si="5"/>
        <v>Transformative change</v>
      </c>
      <c r="J12" s="7" t="str">
        <f t="shared" si="6"/>
        <v>High</v>
      </c>
      <c r="K12" s="7">
        <f t="shared" si="7"/>
        <v>1601940</v>
      </c>
      <c r="L12" s="7">
        <f t="shared" si="8"/>
        <v>1237706.14</v>
      </c>
    </row>
    <row r="13">
      <c r="A13" s="5" t="s">
        <v>45</v>
      </c>
      <c r="B13" s="5" t="s">
        <v>46</v>
      </c>
      <c r="C13" s="5" t="s">
        <v>47</v>
      </c>
      <c r="D13" s="6">
        <v>7259.0</v>
      </c>
      <c r="E13" s="7">
        <f t="shared" si="1"/>
        <v>2</v>
      </c>
      <c r="F13" s="7">
        <f t="shared" si="2"/>
        <v>2269</v>
      </c>
      <c r="G13" s="7">
        <f t="shared" si="3"/>
        <v>43186</v>
      </c>
      <c r="H13" s="7" t="str">
        <f t="shared" si="4"/>
        <v>F</v>
      </c>
      <c r="I13" s="7" t="str">
        <f t="shared" si="5"/>
        <v>Transformative change</v>
      </c>
      <c r="J13" s="7" t="str">
        <f t="shared" si="6"/>
        <v>Medium</v>
      </c>
      <c r="K13" s="7">
        <f t="shared" si="7"/>
        <v>886582</v>
      </c>
      <c r="L13" s="7">
        <f t="shared" si="8"/>
        <v>208258.329</v>
      </c>
    </row>
    <row r="14">
      <c r="A14" s="5" t="s">
        <v>48</v>
      </c>
      <c r="B14" s="5" t="s">
        <v>49</v>
      </c>
      <c r="C14" s="5" t="s">
        <v>50</v>
      </c>
      <c r="D14" s="6">
        <v>15765.0</v>
      </c>
      <c r="E14" s="7">
        <f t="shared" si="1"/>
        <v>4</v>
      </c>
      <c r="F14" s="7">
        <f t="shared" si="2"/>
        <v>65431</v>
      </c>
      <c r="G14" s="7">
        <f t="shared" si="3"/>
        <v>38031</v>
      </c>
      <c r="H14" s="7" t="str">
        <f t="shared" si="4"/>
        <v>G</v>
      </c>
      <c r="I14" s="7" t="str">
        <f t="shared" si="5"/>
        <v>Transformative change</v>
      </c>
      <c r="J14" s="7" t="str">
        <f t="shared" si="6"/>
        <v>Low</v>
      </c>
      <c r="K14" s="7">
        <f t="shared" si="7"/>
        <v>481744</v>
      </c>
      <c r="L14" s="7">
        <f t="shared" si="8"/>
        <v>275344.5799</v>
      </c>
    </row>
    <row r="15">
      <c r="A15" s="5" t="s">
        <v>51</v>
      </c>
      <c r="B15" s="5" t="s">
        <v>52</v>
      </c>
      <c r="C15" s="5" t="s">
        <v>53</v>
      </c>
      <c r="D15" s="6">
        <v>11233.0</v>
      </c>
      <c r="E15" s="7">
        <f t="shared" si="1"/>
        <v>1</v>
      </c>
      <c r="F15" s="7">
        <f t="shared" si="2"/>
        <v>93561</v>
      </c>
      <c r="G15" s="7">
        <f t="shared" si="3"/>
        <v>29170</v>
      </c>
      <c r="H15" s="7" t="str">
        <f t="shared" si="4"/>
        <v>A</v>
      </c>
      <c r="I15" s="7" t="str">
        <f t="shared" si="5"/>
        <v>Transformative change</v>
      </c>
      <c r="J15" s="7" t="str">
        <f t="shared" si="6"/>
        <v>Medium</v>
      </c>
      <c r="K15" s="7">
        <f t="shared" si="7"/>
        <v>2919394</v>
      </c>
      <c r="L15" s="7">
        <f t="shared" si="8"/>
        <v>2611566.797</v>
      </c>
    </row>
    <row r="16">
      <c r="A16" s="5" t="s">
        <v>54</v>
      </c>
      <c r="B16" s="5" t="s">
        <v>55</v>
      </c>
      <c r="C16" s="5" t="s">
        <v>56</v>
      </c>
      <c r="D16" s="6">
        <v>5414.0</v>
      </c>
      <c r="E16" s="7">
        <f t="shared" si="1"/>
        <v>3</v>
      </c>
      <c r="F16" s="7">
        <f t="shared" si="2"/>
        <v>22922</v>
      </c>
      <c r="G16" s="7">
        <f t="shared" si="3"/>
        <v>16115</v>
      </c>
      <c r="H16" s="7" t="str">
        <f t="shared" si="4"/>
        <v>A</v>
      </c>
      <c r="I16" s="7" t="str">
        <f t="shared" si="5"/>
        <v>High ambition</v>
      </c>
      <c r="J16" s="7" t="str">
        <f t="shared" si="6"/>
        <v>Medium</v>
      </c>
      <c r="K16" s="7">
        <f t="shared" si="7"/>
        <v>2681334</v>
      </c>
      <c r="L16" s="7">
        <f t="shared" si="8"/>
        <v>2505762.833</v>
      </c>
    </row>
    <row r="17">
      <c r="A17" s="5" t="s">
        <v>57</v>
      </c>
      <c r="B17" s="5" t="s">
        <v>58</v>
      </c>
      <c r="C17" s="5" t="s">
        <v>59</v>
      </c>
      <c r="D17" s="6">
        <v>10706.0</v>
      </c>
      <c r="E17" s="7">
        <f t="shared" si="1"/>
        <v>1</v>
      </c>
      <c r="F17" s="7">
        <f t="shared" si="2"/>
        <v>9335</v>
      </c>
      <c r="G17" s="7">
        <f t="shared" si="3"/>
        <v>11992</v>
      </c>
      <c r="H17" s="7" t="str">
        <f t="shared" si="4"/>
        <v>F</v>
      </c>
      <c r="I17" s="7" t="str">
        <f t="shared" si="5"/>
        <v>Transformative change</v>
      </c>
      <c r="J17" s="7" t="str">
        <f t="shared" si="6"/>
        <v>Low</v>
      </c>
      <c r="K17" s="7">
        <f t="shared" si="7"/>
        <v>2689447</v>
      </c>
      <c r="L17" s="7">
        <f t="shared" si="8"/>
        <v>1737344.935</v>
      </c>
    </row>
    <row r="18">
      <c r="A18" s="5" t="s">
        <v>60</v>
      </c>
      <c r="B18" s="5" t="s">
        <v>61</v>
      </c>
      <c r="C18" s="5" t="s">
        <v>62</v>
      </c>
      <c r="D18" s="6">
        <v>8842.0</v>
      </c>
      <c r="E18" s="7">
        <f t="shared" si="1"/>
        <v>5</v>
      </c>
      <c r="F18" s="7">
        <f t="shared" si="2"/>
        <v>14067</v>
      </c>
      <c r="G18" s="7">
        <f t="shared" si="3"/>
        <v>52976</v>
      </c>
      <c r="H18" s="7" t="str">
        <f t="shared" si="4"/>
        <v>E</v>
      </c>
      <c r="I18" s="7" t="str">
        <f t="shared" si="5"/>
        <v>Transformative change</v>
      </c>
      <c r="J18" s="7" t="str">
        <f t="shared" si="6"/>
        <v>Medium</v>
      </c>
      <c r="K18" s="7">
        <f t="shared" si="7"/>
        <v>2410070</v>
      </c>
      <c r="L18" s="7">
        <f t="shared" si="8"/>
        <v>1658047.847</v>
      </c>
    </row>
    <row r="19">
      <c r="A19" s="5" t="s">
        <v>63</v>
      </c>
      <c r="B19" s="5" t="s">
        <v>64</v>
      </c>
      <c r="C19" s="5" t="s">
        <v>65</v>
      </c>
      <c r="D19" s="6">
        <v>184035.0</v>
      </c>
      <c r="E19" s="7">
        <f t="shared" si="1"/>
        <v>3</v>
      </c>
      <c r="F19" s="7">
        <f t="shared" si="2"/>
        <v>7326</v>
      </c>
      <c r="G19" s="7">
        <f t="shared" si="3"/>
        <v>8660</v>
      </c>
      <c r="H19" s="7" t="str">
        <f t="shared" si="4"/>
        <v>E</v>
      </c>
      <c r="I19" s="7" t="str">
        <f t="shared" si="5"/>
        <v>Transformative change</v>
      </c>
      <c r="J19" s="7" t="str">
        <f t="shared" si="6"/>
        <v>Low</v>
      </c>
      <c r="K19" s="7">
        <f t="shared" si="7"/>
        <v>1704822</v>
      </c>
      <c r="L19" s="7">
        <f t="shared" si="8"/>
        <v>1629121.448</v>
      </c>
    </row>
    <row r="20">
      <c r="A20" s="5" t="s">
        <v>66</v>
      </c>
      <c r="B20" s="5" t="s">
        <v>67</v>
      </c>
      <c r="C20" s="5" t="s">
        <v>68</v>
      </c>
      <c r="D20" s="6">
        <v>23265.0</v>
      </c>
      <c r="E20" s="7">
        <f t="shared" si="1"/>
        <v>3</v>
      </c>
      <c r="F20" s="7">
        <f t="shared" si="2"/>
        <v>4210</v>
      </c>
      <c r="G20" s="7">
        <f t="shared" si="3"/>
        <v>76822</v>
      </c>
      <c r="H20" s="7" t="str">
        <f t="shared" si="4"/>
        <v>E</v>
      </c>
      <c r="I20" s="7" t="str">
        <f t="shared" si="5"/>
        <v>Transformative change</v>
      </c>
      <c r="J20" s="7" t="str">
        <f t="shared" si="6"/>
        <v>High</v>
      </c>
      <c r="K20" s="7">
        <f t="shared" si="7"/>
        <v>2190242</v>
      </c>
      <c r="L20" s="7">
        <f t="shared" si="8"/>
        <v>1289260.094</v>
      </c>
    </row>
    <row r="21">
      <c r="A21" s="5" t="s">
        <v>69</v>
      </c>
      <c r="B21" s="5" t="s">
        <v>70</v>
      </c>
      <c r="C21" s="5" t="s">
        <v>71</v>
      </c>
      <c r="D21" s="6">
        <v>346162.0</v>
      </c>
      <c r="E21" s="7">
        <f t="shared" si="1"/>
        <v>3</v>
      </c>
      <c r="F21" s="7">
        <f t="shared" si="2"/>
        <v>54453</v>
      </c>
      <c r="G21" s="7">
        <f t="shared" si="3"/>
        <v>10495</v>
      </c>
      <c r="H21" s="7" t="str">
        <f t="shared" si="4"/>
        <v>F</v>
      </c>
      <c r="I21" s="7" t="str">
        <f t="shared" si="5"/>
        <v>Transformative change</v>
      </c>
      <c r="J21" s="7" t="str">
        <f t="shared" si="6"/>
        <v>Low</v>
      </c>
      <c r="K21" s="7">
        <f t="shared" si="7"/>
        <v>738575</v>
      </c>
      <c r="L21" s="7">
        <f t="shared" si="8"/>
        <v>97970.07759</v>
      </c>
    </row>
    <row r="22">
      <c r="A22" s="5" t="s">
        <v>72</v>
      </c>
      <c r="B22" s="5" t="s">
        <v>73</v>
      </c>
      <c r="C22" s="5" t="s">
        <v>74</v>
      </c>
      <c r="D22" s="6">
        <v>8699.0</v>
      </c>
      <c r="E22" s="7">
        <f t="shared" si="1"/>
        <v>4</v>
      </c>
      <c r="F22" s="7">
        <f t="shared" si="2"/>
        <v>37839</v>
      </c>
      <c r="G22" s="7">
        <f t="shared" si="3"/>
        <v>12323</v>
      </c>
      <c r="H22" s="7" t="str">
        <f t="shared" si="4"/>
        <v>C</v>
      </c>
      <c r="I22" s="7" t="str">
        <f t="shared" si="5"/>
        <v>Transformative change</v>
      </c>
      <c r="J22" s="7" t="str">
        <f t="shared" si="6"/>
        <v>Medium</v>
      </c>
      <c r="K22" s="7">
        <f t="shared" si="7"/>
        <v>2422058</v>
      </c>
      <c r="L22" s="7">
        <f t="shared" si="8"/>
        <v>1885718.621</v>
      </c>
    </row>
    <row r="23">
      <c r="A23" s="5" t="s">
        <v>75</v>
      </c>
      <c r="B23" s="5" t="s">
        <v>76</v>
      </c>
      <c r="C23" s="5" t="s">
        <v>77</v>
      </c>
      <c r="D23" s="6">
        <v>18346.0</v>
      </c>
      <c r="E23" s="7">
        <f t="shared" si="1"/>
        <v>4</v>
      </c>
      <c r="F23" s="7">
        <f t="shared" si="2"/>
        <v>23618</v>
      </c>
      <c r="G23" s="7">
        <f t="shared" si="3"/>
        <v>23208</v>
      </c>
      <c r="H23" s="7" t="str">
        <f t="shared" si="4"/>
        <v>A</v>
      </c>
      <c r="I23" s="7" t="str">
        <f t="shared" si="5"/>
        <v>Transformative change</v>
      </c>
      <c r="J23" s="7" t="str">
        <f t="shared" si="6"/>
        <v>Medium</v>
      </c>
      <c r="K23" s="7">
        <f t="shared" si="7"/>
        <v>1993031</v>
      </c>
      <c r="L23" s="7">
        <f t="shared" si="8"/>
        <v>1707026.474</v>
      </c>
    </row>
    <row r="24">
      <c r="A24" s="5" t="s">
        <v>78</v>
      </c>
      <c r="B24" s="5" t="s">
        <v>79</v>
      </c>
      <c r="C24" s="5" t="s">
        <v>74</v>
      </c>
      <c r="D24" s="6">
        <v>17503.0</v>
      </c>
      <c r="E24" s="7">
        <f t="shared" si="1"/>
        <v>2</v>
      </c>
      <c r="F24" s="7">
        <f t="shared" si="2"/>
        <v>16783</v>
      </c>
      <c r="G24" s="7">
        <f t="shared" si="3"/>
        <v>17047</v>
      </c>
      <c r="H24" s="7" t="str">
        <f t="shared" si="4"/>
        <v>E</v>
      </c>
      <c r="I24" s="7" t="str">
        <f t="shared" si="5"/>
        <v>Transformative change</v>
      </c>
      <c r="J24" s="7" t="str">
        <f t="shared" si="6"/>
        <v>Low</v>
      </c>
      <c r="K24" s="7">
        <f t="shared" si="7"/>
        <v>2782244</v>
      </c>
      <c r="L24" s="7">
        <f t="shared" si="8"/>
        <v>26592.90416</v>
      </c>
    </row>
    <row r="25">
      <c r="A25" s="5" t="s">
        <v>80</v>
      </c>
      <c r="B25" s="5" t="s">
        <v>81</v>
      </c>
      <c r="C25" s="5" t="s">
        <v>82</v>
      </c>
      <c r="D25" s="6">
        <v>18902.0</v>
      </c>
      <c r="E25" s="7">
        <f t="shared" si="1"/>
        <v>4</v>
      </c>
      <c r="F25" s="7">
        <f t="shared" si="2"/>
        <v>94560</v>
      </c>
      <c r="G25" s="7">
        <f t="shared" si="3"/>
        <v>38890</v>
      </c>
      <c r="H25" s="7" t="str">
        <f t="shared" si="4"/>
        <v>E</v>
      </c>
      <c r="I25" s="7" t="str">
        <f t="shared" si="5"/>
        <v>Transformative change</v>
      </c>
      <c r="J25" s="7" t="str">
        <f t="shared" si="6"/>
        <v>High</v>
      </c>
      <c r="K25" s="7">
        <f t="shared" si="7"/>
        <v>327676</v>
      </c>
      <c r="L25" s="7">
        <f t="shared" si="8"/>
        <v>237036.8322</v>
      </c>
    </row>
    <row r="26">
      <c r="A26" s="5" t="s">
        <v>83</v>
      </c>
      <c r="B26" s="5" t="s">
        <v>84</v>
      </c>
      <c r="C26" s="5" t="s">
        <v>85</v>
      </c>
      <c r="D26" s="6">
        <v>5670.0</v>
      </c>
      <c r="E26" s="7">
        <f t="shared" si="1"/>
        <v>5</v>
      </c>
      <c r="F26" s="7">
        <f t="shared" si="2"/>
        <v>98955</v>
      </c>
      <c r="G26" s="7">
        <f t="shared" si="3"/>
        <v>10427</v>
      </c>
      <c r="H26" s="7" t="str">
        <f t="shared" si="4"/>
        <v>A</v>
      </c>
      <c r="I26" s="7" t="str">
        <f t="shared" si="5"/>
        <v>Transformative change</v>
      </c>
      <c r="J26" s="7" t="str">
        <f t="shared" si="6"/>
        <v>Low</v>
      </c>
      <c r="K26" s="7">
        <f t="shared" si="7"/>
        <v>1596230</v>
      </c>
      <c r="L26" s="7">
        <f t="shared" si="8"/>
        <v>219169.2507</v>
      </c>
    </row>
    <row r="27">
      <c r="A27" s="5" t="s">
        <v>86</v>
      </c>
      <c r="B27" s="5" t="s">
        <v>87</v>
      </c>
      <c r="C27" s="5" t="s">
        <v>88</v>
      </c>
      <c r="D27" s="6">
        <v>50696.0</v>
      </c>
      <c r="E27" s="7">
        <f t="shared" si="1"/>
        <v>1</v>
      </c>
      <c r="F27" s="7">
        <f t="shared" si="2"/>
        <v>35728</v>
      </c>
      <c r="G27" s="7">
        <f t="shared" si="3"/>
        <v>18119</v>
      </c>
      <c r="H27" s="7" t="str">
        <f t="shared" si="4"/>
        <v>D</v>
      </c>
      <c r="I27" s="7" t="str">
        <f t="shared" si="5"/>
        <v>Transformative change</v>
      </c>
      <c r="J27" s="7" t="str">
        <f t="shared" si="6"/>
        <v>Medium</v>
      </c>
      <c r="K27" s="7">
        <f t="shared" si="7"/>
        <v>1170638</v>
      </c>
      <c r="L27" s="7">
        <f t="shared" si="8"/>
        <v>366124.237</v>
      </c>
    </row>
    <row r="28">
      <c r="A28" s="5" t="s">
        <v>89</v>
      </c>
      <c r="B28" s="5" t="s">
        <v>90</v>
      </c>
      <c r="C28" s="5" t="s">
        <v>91</v>
      </c>
      <c r="D28" s="6">
        <v>16670.0</v>
      </c>
      <c r="E28" s="7">
        <f t="shared" si="1"/>
        <v>1</v>
      </c>
      <c r="F28" s="7">
        <f t="shared" si="2"/>
        <v>2622</v>
      </c>
      <c r="G28" s="7">
        <f t="shared" si="3"/>
        <v>72731</v>
      </c>
      <c r="H28" s="7" t="str">
        <f t="shared" si="4"/>
        <v>B</v>
      </c>
      <c r="I28" s="7" t="str">
        <f t="shared" si="5"/>
        <v>Transformative change</v>
      </c>
      <c r="J28" s="7" t="str">
        <f t="shared" si="6"/>
        <v>High</v>
      </c>
      <c r="K28" s="7">
        <f t="shared" si="7"/>
        <v>3083926</v>
      </c>
      <c r="L28" s="7">
        <f t="shared" si="8"/>
        <v>1187007.539</v>
      </c>
    </row>
    <row r="29">
      <c r="A29" s="5" t="s">
        <v>92</v>
      </c>
      <c r="B29" s="5" t="s">
        <v>93</v>
      </c>
      <c r="C29" s="5" t="s">
        <v>74</v>
      </c>
      <c r="D29" s="6">
        <v>6941.0</v>
      </c>
      <c r="E29" s="7">
        <f t="shared" si="1"/>
        <v>4</v>
      </c>
      <c r="F29" s="7">
        <f t="shared" si="2"/>
        <v>62213</v>
      </c>
      <c r="G29" s="7">
        <f t="shared" si="3"/>
        <v>4094</v>
      </c>
      <c r="H29" s="7" t="str">
        <f t="shared" si="4"/>
        <v>D</v>
      </c>
      <c r="I29" s="7" t="str">
        <f t="shared" si="5"/>
        <v>High ambition</v>
      </c>
      <c r="J29" s="7" t="str">
        <f t="shared" si="6"/>
        <v>High</v>
      </c>
      <c r="K29" s="7">
        <f t="shared" si="7"/>
        <v>3733767</v>
      </c>
      <c r="L29" s="7">
        <f t="shared" si="8"/>
        <v>1019633.344</v>
      </c>
    </row>
    <row r="30">
      <c r="A30" s="5" t="s">
        <v>94</v>
      </c>
      <c r="B30" s="5" t="s">
        <v>95</v>
      </c>
      <c r="C30" s="5" t="s">
        <v>96</v>
      </c>
      <c r="D30" s="6">
        <v>108146.0</v>
      </c>
      <c r="E30" s="7">
        <f t="shared" si="1"/>
        <v>1</v>
      </c>
      <c r="F30" s="7">
        <f t="shared" si="2"/>
        <v>9229</v>
      </c>
      <c r="G30" s="7">
        <f t="shared" si="3"/>
        <v>3956</v>
      </c>
      <c r="H30" s="7" t="str">
        <f t="shared" si="4"/>
        <v>B</v>
      </c>
      <c r="I30" s="7" t="str">
        <f t="shared" si="5"/>
        <v>Transformative change</v>
      </c>
      <c r="J30" s="7" t="str">
        <f t="shared" si="6"/>
        <v>Medium</v>
      </c>
      <c r="K30" s="7">
        <f t="shared" si="7"/>
        <v>2779097</v>
      </c>
      <c r="L30" s="7">
        <f t="shared" si="8"/>
        <v>2434467.768</v>
      </c>
    </row>
    <row r="31">
      <c r="A31" s="5" t="s">
        <v>97</v>
      </c>
      <c r="B31" s="5" t="s">
        <v>98</v>
      </c>
      <c r="C31" s="5" t="s">
        <v>99</v>
      </c>
      <c r="D31" s="6">
        <v>457645.0</v>
      </c>
      <c r="E31" s="7">
        <f t="shared" si="1"/>
        <v>1</v>
      </c>
      <c r="F31" s="7">
        <f t="shared" si="2"/>
        <v>84697</v>
      </c>
      <c r="G31" s="7">
        <f t="shared" si="3"/>
        <v>42378</v>
      </c>
      <c r="H31" s="7" t="str">
        <f t="shared" si="4"/>
        <v>G</v>
      </c>
      <c r="I31" s="7" t="str">
        <f t="shared" si="5"/>
        <v>Transformative change</v>
      </c>
      <c r="J31" s="7" t="str">
        <f t="shared" si="6"/>
        <v>High</v>
      </c>
      <c r="K31" s="7">
        <f t="shared" si="7"/>
        <v>2991300</v>
      </c>
      <c r="L31" s="7">
        <f t="shared" si="8"/>
        <v>2773756.791</v>
      </c>
    </row>
    <row r="32">
      <c r="A32" s="5" t="s">
        <v>100</v>
      </c>
      <c r="B32" s="5" t="s">
        <v>101</v>
      </c>
      <c r="C32" s="5" t="s">
        <v>102</v>
      </c>
      <c r="D32" s="6">
        <v>19133.0</v>
      </c>
      <c r="E32" s="7">
        <f t="shared" si="1"/>
        <v>3</v>
      </c>
      <c r="F32" s="7">
        <f t="shared" si="2"/>
        <v>87749</v>
      </c>
      <c r="G32" s="7">
        <f t="shared" si="3"/>
        <v>1132</v>
      </c>
      <c r="H32" s="7" t="str">
        <f t="shared" si="4"/>
        <v>D</v>
      </c>
      <c r="I32" s="7" t="str">
        <f t="shared" si="5"/>
        <v>Transformative change</v>
      </c>
      <c r="J32" s="7" t="str">
        <f t="shared" si="6"/>
        <v>Medium</v>
      </c>
      <c r="K32" s="7">
        <f t="shared" si="7"/>
        <v>622334</v>
      </c>
      <c r="L32" s="7">
        <f t="shared" si="8"/>
        <v>583378.0001</v>
      </c>
    </row>
    <row r="33">
      <c r="A33" s="5" t="s">
        <v>103</v>
      </c>
      <c r="B33" s="5" t="s">
        <v>104</v>
      </c>
      <c r="C33" s="5" t="s">
        <v>41</v>
      </c>
      <c r="D33" s="6">
        <v>261473.0</v>
      </c>
      <c r="E33" s="7">
        <f t="shared" si="1"/>
        <v>3</v>
      </c>
      <c r="F33" s="7">
        <f t="shared" si="2"/>
        <v>44462</v>
      </c>
      <c r="G33" s="7">
        <f t="shared" si="3"/>
        <v>20255</v>
      </c>
      <c r="H33" s="7" t="str">
        <f t="shared" si="4"/>
        <v>E</v>
      </c>
      <c r="I33" s="7" t="str">
        <f t="shared" si="5"/>
        <v>Transformative change</v>
      </c>
      <c r="J33" s="7" t="str">
        <f t="shared" si="6"/>
        <v>Medium</v>
      </c>
      <c r="K33" s="7">
        <f t="shared" si="7"/>
        <v>522131</v>
      </c>
      <c r="L33" s="7">
        <f t="shared" si="8"/>
        <v>468643.1254</v>
      </c>
    </row>
    <row r="34">
      <c r="A34" s="5" t="s">
        <v>105</v>
      </c>
      <c r="B34" s="5" t="s">
        <v>106</v>
      </c>
      <c r="C34" s="5" t="s">
        <v>107</v>
      </c>
      <c r="D34" s="6">
        <v>7672.0</v>
      </c>
      <c r="E34" s="7">
        <f t="shared" si="1"/>
        <v>2</v>
      </c>
      <c r="F34" s="7">
        <f t="shared" si="2"/>
        <v>31575</v>
      </c>
      <c r="G34" s="7">
        <f t="shared" si="3"/>
        <v>45287</v>
      </c>
      <c r="H34" s="7" t="str">
        <f t="shared" si="4"/>
        <v>F</v>
      </c>
      <c r="I34" s="7" t="str">
        <f t="shared" si="5"/>
        <v>Transformative change</v>
      </c>
      <c r="J34" s="7" t="str">
        <f t="shared" si="6"/>
        <v>High</v>
      </c>
      <c r="K34" s="7">
        <f t="shared" si="7"/>
        <v>147612</v>
      </c>
      <c r="L34" s="7">
        <f t="shared" si="8"/>
        <v>99094.63781</v>
      </c>
    </row>
    <row r="35">
      <c r="A35" s="5" t="s">
        <v>108</v>
      </c>
      <c r="B35" s="5" t="s">
        <v>109</v>
      </c>
      <c r="C35" s="5" t="s">
        <v>110</v>
      </c>
      <c r="D35" s="6">
        <v>51061.0</v>
      </c>
      <c r="E35" s="7">
        <f t="shared" si="1"/>
        <v>1</v>
      </c>
      <c r="F35" s="7">
        <f t="shared" si="2"/>
        <v>11425</v>
      </c>
      <c r="G35" s="7">
        <f t="shared" si="3"/>
        <v>8060</v>
      </c>
      <c r="H35" s="7" t="str">
        <f t="shared" si="4"/>
        <v>G</v>
      </c>
      <c r="I35" s="7" t="str">
        <f t="shared" si="5"/>
        <v>Transformative change</v>
      </c>
      <c r="J35" s="7" t="str">
        <f t="shared" si="6"/>
        <v>Medium</v>
      </c>
      <c r="K35" s="7">
        <f t="shared" si="7"/>
        <v>2435669</v>
      </c>
      <c r="L35" s="7">
        <f t="shared" si="8"/>
        <v>608761.1163</v>
      </c>
    </row>
    <row r="36">
      <c r="A36" s="5" t="s">
        <v>111</v>
      </c>
      <c r="B36" s="5" t="s">
        <v>112</v>
      </c>
      <c r="C36" s="5" t="s">
        <v>113</v>
      </c>
      <c r="D36" s="6">
        <v>14223.0</v>
      </c>
      <c r="E36" s="7">
        <f t="shared" si="1"/>
        <v>2</v>
      </c>
      <c r="F36" s="7">
        <f t="shared" si="2"/>
        <v>68965</v>
      </c>
      <c r="G36" s="7">
        <f t="shared" si="3"/>
        <v>7473</v>
      </c>
      <c r="H36" s="7" t="str">
        <f t="shared" si="4"/>
        <v>D</v>
      </c>
      <c r="I36" s="7" t="str">
        <f t="shared" si="5"/>
        <v>High ambition</v>
      </c>
      <c r="J36" s="7" t="str">
        <f t="shared" si="6"/>
        <v>High</v>
      </c>
      <c r="K36" s="7">
        <f t="shared" si="7"/>
        <v>3662446</v>
      </c>
      <c r="L36" s="7">
        <f t="shared" si="8"/>
        <v>1087686.722</v>
      </c>
    </row>
    <row r="37">
      <c r="A37" s="5" t="s">
        <v>114</v>
      </c>
      <c r="B37" s="5" t="s">
        <v>115</v>
      </c>
      <c r="C37" s="5" t="s">
        <v>116</v>
      </c>
      <c r="D37" s="6">
        <v>93776.0</v>
      </c>
      <c r="E37" s="7">
        <f t="shared" si="1"/>
        <v>4</v>
      </c>
      <c r="F37" s="7">
        <f t="shared" si="2"/>
        <v>94217</v>
      </c>
      <c r="G37" s="7">
        <f t="shared" si="3"/>
        <v>62861</v>
      </c>
      <c r="H37" s="7" t="str">
        <f t="shared" si="4"/>
        <v>C</v>
      </c>
      <c r="I37" s="7" t="str">
        <f t="shared" si="5"/>
        <v>Transformative change</v>
      </c>
      <c r="J37" s="7" t="str">
        <f t="shared" si="6"/>
        <v>High</v>
      </c>
      <c r="K37" s="7">
        <f t="shared" si="7"/>
        <v>2401283</v>
      </c>
      <c r="L37" s="7">
        <f t="shared" si="8"/>
        <v>1580396.19</v>
      </c>
    </row>
    <row r="38">
      <c r="A38" s="5" t="s">
        <v>117</v>
      </c>
      <c r="B38" s="5" t="s">
        <v>118</v>
      </c>
      <c r="C38" s="5" t="s">
        <v>119</v>
      </c>
      <c r="D38" s="6">
        <v>11389.0</v>
      </c>
      <c r="E38" s="7">
        <f t="shared" si="1"/>
        <v>1</v>
      </c>
      <c r="F38" s="7">
        <f t="shared" si="2"/>
        <v>35999</v>
      </c>
      <c r="G38" s="7">
        <f t="shared" si="3"/>
        <v>33532</v>
      </c>
      <c r="H38" s="7" t="str">
        <f t="shared" si="4"/>
        <v>G</v>
      </c>
      <c r="I38" s="7" t="str">
        <f t="shared" si="5"/>
        <v>Transformative change</v>
      </c>
      <c r="J38" s="7" t="str">
        <f t="shared" si="6"/>
        <v>Medium</v>
      </c>
      <c r="K38" s="7">
        <f t="shared" si="7"/>
        <v>1441637</v>
      </c>
      <c r="L38" s="7">
        <f t="shared" si="8"/>
        <v>1098448.838</v>
      </c>
    </row>
    <row r="39">
      <c r="A39" s="5" t="s">
        <v>120</v>
      </c>
      <c r="B39" s="5" t="s">
        <v>121</v>
      </c>
      <c r="C39" s="5" t="s">
        <v>122</v>
      </c>
      <c r="D39" s="6">
        <v>14553.0</v>
      </c>
      <c r="E39" s="7">
        <f t="shared" si="1"/>
        <v>3</v>
      </c>
      <c r="F39" s="7">
        <f t="shared" si="2"/>
        <v>15296</v>
      </c>
      <c r="G39" s="7">
        <f t="shared" si="3"/>
        <v>40819</v>
      </c>
      <c r="H39" s="7" t="str">
        <f t="shared" si="4"/>
        <v>C</v>
      </c>
      <c r="I39" s="7" t="str">
        <f t="shared" si="5"/>
        <v>Transformative change</v>
      </c>
      <c r="J39" s="7" t="str">
        <f t="shared" si="6"/>
        <v>Low</v>
      </c>
      <c r="K39" s="7">
        <f t="shared" si="7"/>
        <v>3241357</v>
      </c>
      <c r="L39" s="7">
        <f t="shared" si="8"/>
        <v>282556.2925</v>
      </c>
    </row>
    <row r="40">
      <c r="A40" s="5" t="s">
        <v>123</v>
      </c>
      <c r="B40" s="5" t="s">
        <v>124</v>
      </c>
      <c r="C40" s="5" t="s">
        <v>125</v>
      </c>
      <c r="D40" s="6">
        <v>11856.0</v>
      </c>
      <c r="E40" s="7">
        <f t="shared" si="1"/>
        <v>5</v>
      </c>
      <c r="F40" s="7">
        <f t="shared" si="2"/>
        <v>3102</v>
      </c>
      <c r="G40" s="7">
        <f t="shared" si="3"/>
        <v>50425</v>
      </c>
      <c r="H40" s="7" t="str">
        <f t="shared" si="4"/>
        <v>F</v>
      </c>
      <c r="I40" s="7" t="str">
        <f t="shared" si="5"/>
        <v>Transformative change</v>
      </c>
      <c r="J40" s="7" t="str">
        <f t="shared" si="6"/>
        <v>High</v>
      </c>
      <c r="K40" s="7">
        <f t="shared" si="7"/>
        <v>474621</v>
      </c>
      <c r="L40" s="7">
        <f t="shared" si="8"/>
        <v>58291.50246</v>
      </c>
    </row>
    <row r="41">
      <c r="A41" s="5" t="s">
        <v>126</v>
      </c>
      <c r="B41" s="5" t="s">
        <v>127</v>
      </c>
      <c r="C41" s="5" t="s">
        <v>128</v>
      </c>
      <c r="D41" s="6">
        <v>72796.0</v>
      </c>
      <c r="E41" s="7">
        <f t="shared" si="1"/>
        <v>4</v>
      </c>
      <c r="F41" s="7">
        <f t="shared" si="2"/>
        <v>66113</v>
      </c>
      <c r="G41" s="7">
        <f t="shared" si="3"/>
        <v>40288</v>
      </c>
      <c r="H41" s="7" t="str">
        <f t="shared" si="4"/>
        <v>B</v>
      </c>
      <c r="I41" s="7" t="str">
        <f t="shared" si="5"/>
        <v>Transformative change</v>
      </c>
      <c r="J41" s="7" t="str">
        <f t="shared" si="6"/>
        <v>Medium</v>
      </c>
      <c r="K41" s="7">
        <f t="shared" si="7"/>
        <v>3827923</v>
      </c>
      <c r="L41" s="7">
        <f t="shared" si="8"/>
        <v>1899682.484</v>
      </c>
    </row>
    <row r="42">
      <c r="A42" s="5" t="s">
        <v>129</v>
      </c>
      <c r="B42" s="5" t="s">
        <v>130</v>
      </c>
      <c r="C42" s="5" t="s">
        <v>131</v>
      </c>
      <c r="D42" s="6">
        <v>7633.0</v>
      </c>
      <c r="E42" s="7">
        <f t="shared" si="1"/>
        <v>3</v>
      </c>
      <c r="F42" s="7">
        <f t="shared" si="2"/>
        <v>52092</v>
      </c>
      <c r="G42" s="7">
        <f t="shared" si="3"/>
        <v>49045</v>
      </c>
      <c r="H42" s="7" t="str">
        <f t="shared" si="4"/>
        <v>F</v>
      </c>
      <c r="I42" s="7" t="str">
        <f t="shared" si="5"/>
        <v>Transformative change</v>
      </c>
      <c r="J42" s="7" t="str">
        <f t="shared" si="6"/>
        <v>High</v>
      </c>
      <c r="K42" s="7">
        <f t="shared" si="7"/>
        <v>3666401</v>
      </c>
      <c r="L42" s="7">
        <f t="shared" si="8"/>
        <v>717065.2555</v>
      </c>
    </row>
    <row r="43">
      <c r="A43" s="5" t="s">
        <v>132</v>
      </c>
      <c r="B43" s="5" t="s">
        <v>133</v>
      </c>
      <c r="C43" s="5" t="s">
        <v>134</v>
      </c>
      <c r="D43" s="6">
        <v>11891.0</v>
      </c>
      <c r="E43" s="7">
        <f t="shared" si="1"/>
        <v>4</v>
      </c>
      <c r="F43" s="7">
        <f t="shared" si="2"/>
        <v>61295</v>
      </c>
      <c r="G43" s="7">
        <f t="shared" si="3"/>
        <v>4375</v>
      </c>
      <c r="H43" s="7" t="str">
        <f t="shared" si="4"/>
        <v>A</v>
      </c>
      <c r="I43" s="7" t="str">
        <f t="shared" si="5"/>
        <v>Transformative change</v>
      </c>
      <c r="J43" s="7" t="str">
        <f t="shared" si="6"/>
        <v>Low</v>
      </c>
      <c r="K43" s="7">
        <f t="shared" si="7"/>
        <v>782897</v>
      </c>
      <c r="L43" s="7">
        <f t="shared" si="8"/>
        <v>48176.54431</v>
      </c>
    </row>
    <row r="44">
      <c r="A44" s="5" t="s">
        <v>135</v>
      </c>
      <c r="B44" s="5" t="s">
        <v>136</v>
      </c>
      <c r="C44" s="5" t="s">
        <v>74</v>
      </c>
      <c r="D44" s="6">
        <v>9767.0</v>
      </c>
      <c r="E44" s="7">
        <f t="shared" si="1"/>
        <v>4</v>
      </c>
      <c r="F44" s="7">
        <f t="shared" si="2"/>
        <v>36764</v>
      </c>
      <c r="G44" s="7">
        <f t="shared" si="3"/>
        <v>19861</v>
      </c>
      <c r="H44" s="7" t="str">
        <f t="shared" si="4"/>
        <v>E</v>
      </c>
      <c r="I44" s="7" t="str">
        <f t="shared" si="5"/>
        <v>High ambition</v>
      </c>
      <c r="J44" s="7" t="str">
        <f t="shared" si="6"/>
        <v>High</v>
      </c>
      <c r="K44" s="7">
        <f t="shared" si="7"/>
        <v>872071</v>
      </c>
      <c r="L44" s="7">
        <f t="shared" si="8"/>
        <v>850620.6894</v>
      </c>
    </row>
    <row r="45">
      <c r="A45" s="5" t="s">
        <v>137</v>
      </c>
      <c r="B45" s="5" t="s">
        <v>138</v>
      </c>
      <c r="C45" s="5" t="s">
        <v>139</v>
      </c>
      <c r="D45" s="6">
        <v>19467.0</v>
      </c>
      <c r="E45" s="7">
        <f t="shared" si="1"/>
        <v>1</v>
      </c>
      <c r="F45" s="7">
        <f t="shared" si="2"/>
        <v>64887</v>
      </c>
      <c r="G45" s="7">
        <f t="shared" si="3"/>
        <v>26905</v>
      </c>
      <c r="H45" s="7" t="str">
        <f t="shared" si="4"/>
        <v>F</v>
      </c>
      <c r="I45" s="7" t="str">
        <f t="shared" si="5"/>
        <v>Transformative change</v>
      </c>
      <c r="J45" s="7" t="str">
        <f t="shared" si="6"/>
        <v>Medium</v>
      </c>
      <c r="K45" s="7">
        <f t="shared" si="7"/>
        <v>3001905</v>
      </c>
      <c r="L45" s="7">
        <f t="shared" si="8"/>
        <v>1254810.137</v>
      </c>
    </row>
    <row r="46">
      <c r="A46" s="5" t="s">
        <v>140</v>
      </c>
      <c r="B46" s="5" t="s">
        <v>141</v>
      </c>
      <c r="C46" s="5" t="s">
        <v>74</v>
      </c>
      <c r="D46" s="6">
        <v>16315.0</v>
      </c>
      <c r="E46" s="7">
        <f t="shared" si="1"/>
        <v>5</v>
      </c>
      <c r="F46" s="7">
        <f t="shared" si="2"/>
        <v>62028</v>
      </c>
      <c r="G46" s="7">
        <f t="shared" si="3"/>
        <v>11374</v>
      </c>
      <c r="H46" s="7" t="str">
        <f t="shared" si="4"/>
        <v>F</v>
      </c>
      <c r="I46" s="7" t="str">
        <f t="shared" si="5"/>
        <v>Transformative change</v>
      </c>
      <c r="J46" s="7" t="str">
        <f t="shared" si="6"/>
        <v>Medium</v>
      </c>
      <c r="K46" s="7">
        <f t="shared" si="7"/>
        <v>1464956</v>
      </c>
      <c r="L46" s="7">
        <f t="shared" si="8"/>
        <v>477616.5301</v>
      </c>
    </row>
    <row r="47">
      <c r="A47" s="5" t="s">
        <v>142</v>
      </c>
      <c r="B47" s="5" t="s">
        <v>143</v>
      </c>
      <c r="C47" s="5" t="s">
        <v>144</v>
      </c>
      <c r="D47" s="6">
        <v>16969.0</v>
      </c>
      <c r="E47" s="7">
        <f t="shared" si="1"/>
        <v>4</v>
      </c>
      <c r="F47" s="7">
        <f t="shared" si="2"/>
        <v>95625</v>
      </c>
      <c r="G47" s="7">
        <f t="shared" si="3"/>
        <v>81000</v>
      </c>
      <c r="H47" s="7" t="str">
        <f t="shared" si="4"/>
        <v>B</v>
      </c>
      <c r="I47" s="7" t="str">
        <f t="shared" si="5"/>
        <v>Transformative change</v>
      </c>
      <c r="J47" s="7" t="str">
        <f t="shared" si="6"/>
        <v>Medium</v>
      </c>
      <c r="K47" s="7">
        <f t="shared" si="7"/>
        <v>1581703</v>
      </c>
      <c r="L47" s="7">
        <f t="shared" si="8"/>
        <v>666325.6255</v>
      </c>
    </row>
    <row r="48">
      <c r="A48" s="5" t="s">
        <v>145</v>
      </c>
      <c r="B48" s="5" t="s">
        <v>146</v>
      </c>
      <c r="C48" s="5" t="s">
        <v>147</v>
      </c>
      <c r="D48" s="6">
        <v>14235.0</v>
      </c>
      <c r="E48" s="7">
        <f t="shared" si="1"/>
        <v>2</v>
      </c>
      <c r="F48" s="7">
        <f t="shared" si="2"/>
        <v>64568</v>
      </c>
      <c r="G48" s="7">
        <f t="shared" si="3"/>
        <v>18443</v>
      </c>
      <c r="H48" s="7" t="str">
        <f t="shared" si="4"/>
        <v>B</v>
      </c>
      <c r="I48" s="7" t="str">
        <f t="shared" si="5"/>
        <v>Transformative change</v>
      </c>
      <c r="J48" s="7" t="str">
        <f t="shared" si="6"/>
        <v>Low</v>
      </c>
      <c r="K48" s="7">
        <f t="shared" si="7"/>
        <v>3498314</v>
      </c>
      <c r="L48" s="7">
        <f t="shared" si="8"/>
        <v>1534491.045</v>
      </c>
    </row>
    <row r="49">
      <c r="A49" s="5" t="s">
        <v>148</v>
      </c>
      <c r="B49" s="5" t="s">
        <v>149</v>
      </c>
      <c r="C49" s="5" t="s">
        <v>150</v>
      </c>
      <c r="D49" s="6">
        <v>441183.0</v>
      </c>
      <c r="E49" s="7">
        <f t="shared" si="1"/>
        <v>3</v>
      </c>
      <c r="F49" s="7">
        <f t="shared" si="2"/>
        <v>36242</v>
      </c>
      <c r="G49" s="7">
        <f t="shared" si="3"/>
        <v>46839</v>
      </c>
      <c r="H49" s="7" t="str">
        <f t="shared" si="4"/>
        <v>C</v>
      </c>
      <c r="I49" s="7" t="str">
        <f t="shared" si="5"/>
        <v>Transformative change</v>
      </c>
      <c r="J49" s="7" t="str">
        <f t="shared" si="6"/>
        <v>Low</v>
      </c>
      <c r="K49" s="7">
        <f t="shared" si="7"/>
        <v>91193</v>
      </c>
      <c r="L49" s="7">
        <f t="shared" si="8"/>
        <v>84686.67541</v>
      </c>
    </row>
    <row r="50">
      <c r="A50" s="5" t="s">
        <v>151</v>
      </c>
      <c r="B50" s="5" t="s">
        <v>152</v>
      </c>
      <c r="C50" s="5" t="s">
        <v>153</v>
      </c>
      <c r="D50" s="6">
        <v>82796.0</v>
      </c>
      <c r="E50" s="7">
        <f t="shared" si="1"/>
        <v>3</v>
      </c>
      <c r="F50" s="7">
        <f t="shared" si="2"/>
        <v>14055</v>
      </c>
      <c r="G50" s="7">
        <f t="shared" si="3"/>
        <v>54533</v>
      </c>
      <c r="H50" s="7" t="str">
        <f t="shared" si="4"/>
        <v>C</v>
      </c>
      <c r="I50" s="7" t="str">
        <f t="shared" si="5"/>
        <v>Transformative change</v>
      </c>
      <c r="J50" s="7" t="str">
        <f t="shared" si="6"/>
        <v>High</v>
      </c>
      <c r="K50" s="7">
        <f t="shared" si="7"/>
        <v>440652</v>
      </c>
      <c r="L50" s="7">
        <f t="shared" si="8"/>
        <v>246893.5633</v>
      </c>
    </row>
    <row r="51">
      <c r="A51" s="5" t="s">
        <v>154</v>
      </c>
      <c r="B51" s="5" t="s">
        <v>155</v>
      </c>
      <c r="C51" s="5" t="s">
        <v>156</v>
      </c>
      <c r="D51" s="6">
        <v>82692.0</v>
      </c>
      <c r="E51" s="7">
        <f t="shared" si="1"/>
        <v>3</v>
      </c>
      <c r="F51" s="7">
        <f t="shared" si="2"/>
        <v>89829</v>
      </c>
      <c r="G51" s="7">
        <f t="shared" si="3"/>
        <v>17266</v>
      </c>
      <c r="H51" s="7" t="str">
        <f t="shared" si="4"/>
        <v>F</v>
      </c>
      <c r="I51" s="7" t="str">
        <f t="shared" si="5"/>
        <v>Transformative change</v>
      </c>
      <c r="J51" s="7" t="str">
        <f t="shared" si="6"/>
        <v>Medium</v>
      </c>
      <c r="K51" s="7">
        <f t="shared" si="7"/>
        <v>246030</v>
      </c>
      <c r="L51" s="7">
        <f t="shared" si="8"/>
        <v>24573.56718</v>
      </c>
    </row>
    <row r="52">
      <c r="A52" s="5" t="s">
        <v>157</v>
      </c>
      <c r="B52" s="5" t="s">
        <v>158</v>
      </c>
      <c r="C52" s="5" t="s">
        <v>159</v>
      </c>
      <c r="D52" s="6">
        <v>11342.0</v>
      </c>
      <c r="E52" s="7">
        <f t="shared" si="1"/>
        <v>5</v>
      </c>
      <c r="F52" s="7">
        <f t="shared" si="2"/>
        <v>97891</v>
      </c>
      <c r="G52" s="7">
        <f t="shared" si="3"/>
        <v>44733</v>
      </c>
      <c r="H52" s="7" t="str">
        <f t="shared" si="4"/>
        <v>A</v>
      </c>
      <c r="I52" s="7" t="str">
        <f t="shared" si="5"/>
        <v>Transformative change</v>
      </c>
      <c r="J52" s="7" t="str">
        <f t="shared" si="6"/>
        <v>High</v>
      </c>
      <c r="K52" s="7">
        <f t="shared" si="7"/>
        <v>3704636</v>
      </c>
      <c r="L52" s="7">
        <f t="shared" si="8"/>
        <v>1822240.398</v>
      </c>
    </row>
    <row r="53">
      <c r="A53" s="5" t="s">
        <v>160</v>
      </c>
      <c r="B53" s="5" t="s">
        <v>161</v>
      </c>
      <c r="C53" s="5" t="s">
        <v>162</v>
      </c>
      <c r="D53" s="6">
        <v>15291.0</v>
      </c>
      <c r="E53" s="7">
        <f t="shared" si="1"/>
        <v>4</v>
      </c>
      <c r="F53" s="7">
        <f t="shared" si="2"/>
        <v>68217</v>
      </c>
      <c r="G53" s="7">
        <f t="shared" si="3"/>
        <v>11172</v>
      </c>
      <c r="H53" s="7" t="str">
        <f t="shared" si="4"/>
        <v>C</v>
      </c>
      <c r="I53" s="7" t="str">
        <f t="shared" si="5"/>
        <v>High ambition</v>
      </c>
      <c r="J53" s="7" t="str">
        <f t="shared" si="6"/>
        <v>Medium</v>
      </c>
      <c r="K53" s="7">
        <f t="shared" si="7"/>
        <v>406824</v>
      </c>
      <c r="L53" s="7">
        <f t="shared" si="8"/>
        <v>291820.4498</v>
      </c>
    </row>
    <row r="54">
      <c r="A54" s="5" t="s">
        <v>163</v>
      </c>
      <c r="B54" s="5" t="s">
        <v>164</v>
      </c>
      <c r="C54" s="5" t="s">
        <v>165</v>
      </c>
      <c r="D54" s="6">
        <v>9912.0</v>
      </c>
      <c r="E54" s="7">
        <f t="shared" si="1"/>
        <v>3</v>
      </c>
      <c r="F54" s="7">
        <f t="shared" si="2"/>
        <v>56491</v>
      </c>
      <c r="G54" s="7">
        <f t="shared" si="3"/>
        <v>26990</v>
      </c>
      <c r="H54" s="7" t="str">
        <f t="shared" si="4"/>
        <v>F</v>
      </c>
      <c r="I54" s="7" t="str">
        <f t="shared" si="5"/>
        <v>Transformative change</v>
      </c>
      <c r="J54" s="7" t="str">
        <f t="shared" si="6"/>
        <v>High</v>
      </c>
      <c r="K54" s="7">
        <f t="shared" si="7"/>
        <v>3749583</v>
      </c>
      <c r="L54" s="7">
        <f t="shared" si="8"/>
        <v>1333403.161</v>
      </c>
    </row>
    <row r="55">
      <c r="A55" s="5" t="s">
        <v>166</v>
      </c>
      <c r="B55" s="5" t="s">
        <v>167</v>
      </c>
      <c r="C55" s="5" t="s">
        <v>168</v>
      </c>
      <c r="D55" s="6">
        <v>32313.0</v>
      </c>
      <c r="E55" s="7">
        <f t="shared" si="1"/>
        <v>4</v>
      </c>
      <c r="F55" s="7">
        <f t="shared" si="2"/>
        <v>11411</v>
      </c>
      <c r="G55" s="7">
        <f t="shared" si="3"/>
        <v>45294</v>
      </c>
      <c r="H55" s="7" t="str">
        <f t="shared" si="4"/>
        <v>F</v>
      </c>
      <c r="I55" s="7" t="str">
        <f t="shared" si="5"/>
        <v>Transformative change</v>
      </c>
      <c r="J55" s="7" t="str">
        <f t="shared" si="6"/>
        <v>High</v>
      </c>
      <c r="K55" s="7">
        <f t="shared" si="7"/>
        <v>960936</v>
      </c>
      <c r="L55" s="7">
        <f t="shared" si="8"/>
        <v>24695.29603</v>
      </c>
    </row>
    <row r="56">
      <c r="A56" s="5" t="s">
        <v>169</v>
      </c>
      <c r="B56" s="5" t="s">
        <v>170</v>
      </c>
      <c r="C56" s="5" t="s">
        <v>171</v>
      </c>
      <c r="D56" s="6">
        <v>19757.0</v>
      </c>
      <c r="E56" s="7">
        <f t="shared" si="1"/>
        <v>3</v>
      </c>
      <c r="F56" s="7">
        <f t="shared" si="2"/>
        <v>70114</v>
      </c>
      <c r="G56" s="7">
        <f t="shared" si="3"/>
        <v>3842</v>
      </c>
      <c r="H56" s="7" t="str">
        <f t="shared" si="4"/>
        <v>G</v>
      </c>
      <c r="I56" s="7" t="str">
        <f t="shared" si="5"/>
        <v>Transformative change</v>
      </c>
      <c r="J56" s="7" t="str">
        <f t="shared" si="6"/>
        <v>Low</v>
      </c>
      <c r="K56" s="7">
        <f t="shared" si="7"/>
        <v>2417556</v>
      </c>
      <c r="L56" s="7">
        <f t="shared" si="8"/>
        <v>319194.1224</v>
      </c>
    </row>
    <row r="57">
      <c r="A57" s="5" t="s">
        <v>172</v>
      </c>
      <c r="B57" s="5" t="s">
        <v>173</v>
      </c>
      <c r="C57" s="5" t="s">
        <v>174</v>
      </c>
      <c r="D57" s="6">
        <v>15421.0</v>
      </c>
      <c r="E57" s="7">
        <f t="shared" si="1"/>
        <v>5</v>
      </c>
      <c r="F57" s="7">
        <f t="shared" si="2"/>
        <v>31057</v>
      </c>
      <c r="G57" s="7">
        <f t="shared" si="3"/>
        <v>34236</v>
      </c>
      <c r="H57" s="7" t="str">
        <f t="shared" si="4"/>
        <v>F</v>
      </c>
      <c r="I57" s="7" t="str">
        <f t="shared" si="5"/>
        <v>Transformative change</v>
      </c>
      <c r="J57" s="7" t="str">
        <f t="shared" si="6"/>
        <v>Low</v>
      </c>
      <c r="K57" s="7">
        <f t="shared" si="7"/>
        <v>2727868</v>
      </c>
      <c r="L57" s="7">
        <f t="shared" si="8"/>
        <v>1613398.738</v>
      </c>
    </row>
    <row r="58">
      <c r="A58" s="5" t="s">
        <v>175</v>
      </c>
      <c r="B58" s="5" t="s">
        <v>176</v>
      </c>
      <c r="C58" s="5" t="s">
        <v>177</v>
      </c>
      <c r="D58" s="6">
        <v>75675.0</v>
      </c>
      <c r="E58" s="7">
        <f t="shared" si="1"/>
        <v>2</v>
      </c>
      <c r="F58" s="7">
        <f t="shared" si="2"/>
        <v>12217</v>
      </c>
      <c r="G58" s="7">
        <f t="shared" si="3"/>
        <v>30870</v>
      </c>
      <c r="H58" s="7" t="str">
        <f t="shared" si="4"/>
        <v>A</v>
      </c>
      <c r="I58" s="7" t="str">
        <f t="shared" si="5"/>
        <v>Transformative change</v>
      </c>
      <c r="J58" s="7" t="str">
        <f t="shared" si="6"/>
        <v>Low</v>
      </c>
      <c r="K58" s="7">
        <f t="shared" si="7"/>
        <v>3643054</v>
      </c>
      <c r="L58" s="7">
        <f t="shared" si="8"/>
        <v>1699708.53</v>
      </c>
    </row>
    <row r="59">
      <c r="A59" s="5" t="s">
        <v>178</v>
      </c>
      <c r="B59" s="5" t="s">
        <v>179</v>
      </c>
      <c r="C59" s="5" t="s">
        <v>180</v>
      </c>
      <c r="D59" s="6">
        <v>6570.0</v>
      </c>
      <c r="E59" s="7">
        <f t="shared" si="1"/>
        <v>3</v>
      </c>
      <c r="F59" s="7">
        <f t="shared" si="2"/>
        <v>14949</v>
      </c>
      <c r="G59" s="7">
        <f t="shared" si="3"/>
        <v>72762</v>
      </c>
      <c r="H59" s="7" t="str">
        <f t="shared" si="4"/>
        <v>G</v>
      </c>
      <c r="I59" s="7" t="str">
        <f t="shared" si="5"/>
        <v>High ambition</v>
      </c>
      <c r="J59" s="7" t="str">
        <f t="shared" si="6"/>
        <v>Low</v>
      </c>
      <c r="K59" s="7">
        <f t="shared" si="7"/>
        <v>368243</v>
      </c>
      <c r="L59" s="7">
        <f t="shared" si="8"/>
        <v>250944.2877</v>
      </c>
    </row>
    <row r="60">
      <c r="A60" s="5" t="s">
        <v>181</v>
      </c>
      <c r="B60" s="5" t="s">
        <v>182</v>
      </c>
      <c r="C60" s="5" t="s">
        <v>183</v>
      </c>
      <c r="D60" s="6">
        <v>9659.0</v>
      </c>
      <c r="E60" s="7">
        <f t="shared" si="1"/>
        <v>1</v>
      </c>
      <c r="F60" s="7">
        <f t="shared" si="2"/>
        <v>58366</v>
      </c>
      <c r="G60" s="7">
        <f t="shared" si="3"/>
        <v>11390</v>
      </c>
      <c r="H60" s="7" t="str">
        <f t="shared" si="4"/>
        <v>B</v>
      </c>
      <c r="I60" s="7" t="str">
        <f t="shared" si="5"/>
        <v>High ambition</v>
      </c>
      <c r="J60" s="7" t="str">
        <f t="shared" si="6"/>
        <v>High</v>
      </c>
      <c r="K60" s="7">
        <f t="shared" si="7"/>
        <v>156284</v>
      </c>
      <c r="L60" s="7">
        <f t="shared" si="8"/>
        <v>38382.2867</v>
      </c>
    </row>
    <row r="61">
      <c r="A61" s="5" t="s">
        <v>184</v>
      </c>
      <c r="B61" s="5" t="s">
        <v>185</v>
      </c>
      <c r="C61" s="5" t="s">
        <v>186</v>
      </c>
      <c r="D61" s="6">
        <v>105444.0</v>
      </c>
      <c r="E61" s="7">
        <f t="shared" si="1"/>
        <v>5</v>
      </c>
      <c r="F61" s="7">
        <f t="shared" si="2"/>
        <v>25580</v>
      </c>
      <c r="G61" s="7">
        <f t="shared" si="3"/>
        <v>26934</v>
      </c>
      <c r="H61" s="7" t="str">
        <f t="shared" si="4"/>
        <v>B</v>
      </c>
      <c r="I61" s="7" t="str">
        <f t="shared" si="5"/>
        <v>Transformative change</v>
      </c>
      <c r="J61" s="7" t="str">
        <f t="shared" si="6"/>
        <v>Low</v>
      </c>
      <c r="K61" s="7">
        <f t="shared" si="7"/>
        <v>496388</v>
      </c>
      <c r="L61" s="7">
        <f t="shared" si="8"/>
        <v>328342.8981</v>
      </c>
    </row>
    <row r="62">
      <c r="A62" s="5" t="s">
        <v>187</v>
      </c>
      <c r="B62" s="5" t="s">
        <v>188</v>
      </c>
      <c r="C62" s="5" t="s">
        <v>189</v>
      </c>
      <c r="D62" s="6">
        <v>334950.0</v>
      </c>
      <c r="E62" s="7">
        <f t="shared" si="1"/>
        <v>2</v>
      </c>
      <c r="F62" s="7">
        <f t="shared" si="2"/>
        <v>53672</v>
      </c>
      <c r="G62" s="7">
        <f t="shared" si="3"/>
        <v>16667</v>
      </c>
      <c r="H62" s="7" t="str">
        <f t="shared" si="4"/>
        <v>F</v>
      </c>
      <c r="I62" s="7" t="str">
        <f t="shared" si="5"/>
        <v>Transformative change</v>
      </c>
      <c r="J62" s="7" t="str">
        <f t="shared" si="6"/>
        <v>Medium</v>
      </c>
      <c r="K62" s="7">
        <f t="shared" si="7"/>
        <v>1720044</v>
      </c>
      <c r="L62" s="7">
        <f t="shared" si="8"/>
        <v>760419.6991</v>
      </c>
    </row>
    <row r="63">
      <c r="A63" s="5" t="s">
        <v>190</v>
      </c>
      <c r="B63" s="5" t="s">
        <v>191</v>
      </c>
      <c r="C63" s="5" t="s">
        <v>192</v>
      </c>
      <c r="D63" s="6">
        <v>18878.0</v>
      </c>
      <c r="E63" s="7">
        <f t="shared" si="1"/>
        <v>1</v>
      </c>
      <c r="F63" s="7">
        <f t="shared" si="2"/>
        <v>69722</v>
      </c>
      <c r="G63" s="7">
        <f t="shared" si="3"/>
        <v>64494</v>
      </c>
      <c r="H63" s="7" t="str">
        <f t="shared" si="4"/>
        <v>E</v>
      </c>
      <c r="I63" s="7" t="str">
        <f t="shared" si="5"/>
        <v>Transformative change</v>
      </c>
      <c r="J63" s="7" t="str">
        <f t="shared" si="6"/>
        <v>High</v>
      </c>
      <c r="K63" s="7">
        <f t="shared" si="7"/>
        <v>3116499</v>
      </c>
      <c r="L63" s="7">
        <f t="shared" si="8"/>
        <v>2848113.074</v>
      </c>
    </row>
    <row r="64">
      <c r="A64" s="5" t="s">
        <v>193</v>
      </c>
      <c r="B64" s="5" t="s">
        <v>194</v>
      </c>
      <c r="C64" s="5" t="s">
        <v>74</v>
      </c>
      <c r="D64" s="6">
        <v>71780.0</v>
      </c>
      <c r="E64" s="7">
        <f t="shared" si="1"/>
        <v>1</v>
      </c>
      <c r="F64" s="7">
        <f t="shared" si="2"/>
        <v>39770</v>
      </c>
      <c r="G64" s="7">
        <f t="shared" si="3"/>
        <v>6177</v>
      </c>
      <c r="H64" s="7" t="str">
        <f t="shared" si="4"/>
        <v>E</v>
      </c>
      <c r="I64" s="7" t="str">
        <f t="shared" si="5"/>
        <v>Transformative change</v>
      </c>
      <c r="J64" s="7" t="str">
        <f t="shared" si="6"/>
        <v>Medium</v>
      </c>
      <c r="K64" s="7">
        <f t="shared" si="7"/>
        <v>3920183</v>
      </c>
      <c r="L64" s="7">
        <f t="shared" si="8"/>
        <v>2864658.408</v>
      </c>
    </row>
    <row r="65">
      <c r="A65" s="5" t="s">
        <v>195</v>
      </c>
      <c r="B65" s="5" t="s">
        <v>196</v>
      </c>
      <c r="C65" s="5" t="s">
        <v>197</v>
      </c>
      <c r="D65" s="6">
        <v>6968.0</v>
      </c>
      <c r="E65" s="7">
        <f t="shared" si="1"/>
        <v>3</v>
      </c>
      <c r="F65" s="7">
        <f t="shared" si="2"/>
        <v>72052</v>
      </c>
      <c r="G65" s="7">
        <f t="shared" si="3"/>
        <v>14338</v>
      </c>
      <c r="H65" s="7" t="str">
        <f t="shared" si="4"/>
        <v>D</v>
      </c>
      <c r="I65" s="7" t="str">
        <f t="shared" si="5"/>
        <v>Transformative change</v>
      </c>
      <c r="J65" s="7" t="str">
        <f t="shared" si="6"/>
        <v>Medium</v>
      </c>
      <c r="K65" s="7">
        <f t="shared" si="7"/>
        <v>3802406</v>
      </c>
      <c r="L65" s="7">
        <f t="shared" si="8"/>
        <v>2947863.713</v>
      </c>
    </row>
    <row r="66">
      <c r="A66" s="5" t="s">
        <v>198</v>
      </c>
      <c r="B66" s="5" t="s">
        <v>199</v>
      </c>
      <c r="C66" s="5" t="s">
        <v>200</v>
      </c>
      <c r="D66" s="6">
        <v>6157.0</v>
      </c>
      <c r="E66" s="7">
        <f t="shared" si="1"/>
        <v>2</v>
      </c>
      <c r="F66" s="7">
        <f t="shared" si="2"/>
        <v>30345</v>
      </c>
      <c r="G66" s="7">
        <f t="shared" si="3"/>
        <v>14694</v>
      </c>
      <c r="H66" s="7" t="str">
        <f t="shared" si="4"/>
        <v>F</v>
      </c>
      <c r="I66" s="7" t="str">
        <f t="shared" si="5"/>
        <v>Transformative change</v>
      </c>
      <c r="J66" s="7" t="str">
        <f t="shared" si="6"/>
        <v>High</v>
      </c>
      <c r="K66" s="7">
        <f t="shared" si="7"/>
        <v>2449666</v>
      </c>
      <c r="L66" s="7">
        <f t="shared" si="8"/>
        <v>912817.469</v>
      </c>
    </row>
    <row r="67">
      <c r="A67" s="5" t="s">
        <v>201</v>
      </c>
      <c r="B67" s="5" t="s">
        <v>202</v>
      </c>
      <c r="C67" s="5" t="s">
        <v>74</v>
      </c>
      <c r="D67" s="6">
        <v>18173.0</v>
      </c>
      <c r="E67" s="7">
        <f t="shared" si="1"/>
        <v>5</v>
      </c>
      <c r="F67" s="7">
        <f t="shared" si="2"/>
        <v>3818</v>
      </c>
      <c r="G67" s="7">
        <f t="shared" si="3"/>
        <v>64976</v>
      </c>
      <c r="H67" s="7" t="str">
        <f t="shared" si="4"/>
        <v>F</v>
      </c>
      <c r="I67" s="7" t="str">
        <f t="shared" si="5"/>
        <v>Transformative change</v>
      </c>
      <c r="J67" s="7" t="str">
        <f t="shared" si="6"/>
        <v>High</v>
      </c>
      <c r="K67" s="7">
        <f t="shared" si="7"/>
        <v>2760934</v>
      </c>
      <c r="L67" s="7">
        <f t="shared" si="8"/>
        <v>2742172.058</v>
      </c>
    </row>
    <row r="68">
      <c r="A68" s="5" t="s">
        <v>203</v>
      </c>
      <c r="B68" s="5" t="s">
        <v>204</v>
      </c>
      <c r="C68" s="5" t="s">
        <v>205</v>
      </c>
      <c r="D68" s="6">
        <v>225280.0</v>
      </c>
      <c r="E68" s="7">
        <f t="shared" si="1"/>
        <v>1</v>
      </c>
      <c r="F68" s="7">
        <f t="shared" si="2"/>
        <v>64184</v>
      </c>
      <c r="G68" s="7">
        <f t="shared" si="3"/>
        <v>42277</v>
      </c>
      <c r="H68" s="7" t="str">
        <f t="shared" si="4"/>
        <v>A</v>
      </c>
      <c r="I68" s="7" t="str">
        <f t="shared" si="5"/>
        <v>Transformative change</v>
      </c>
      <c r="J68" s="7" t="str">
        <f t="shared" si="6"/>
        <v>High</v>
      </c>
      <c r="K68" s="7">
        <f t="shared" si="7"/>
        <v>3386228</v>
      </c>
      <c r="L68" s="7">
        <f t="shared" si="8"/>
        <v>2944048.398</v>
      </c>
    </row>
    <row r="69">
      <c r="A69" s="5" t="s">
        <v>206</v>
      </c>
      <c r="B69" s="5" t="s">
        <v>207</v>
      </c>
      <c r="C69" s="5" t="s">
        <v>208</v>
      </c>
      <c r="D69" s="6">
        <v>32338.0</v>
      </c>
      <c r="E69" s="7">
        <f t="shared" si="1"/>
        <v>2</v>
      </c>
      <c r="F69" s="7">
        <f t="shared" si="2"/>
        <v>19545</v>
      </c>
      <c r="G69" s="7">
        <f t="shared" si="3"/>
        <v>12928</v>
      </c>
      <c r="H69" s="7" t="str">
        <f t="shared" si="4"/>
        <v>A</v>
      </c>
      <c r="I69" s="7" t="str">
        <f t="shared" si="5"/>
        <v>Transformative change</v>
      </c>
      <c r="J69" s="7" t="str">
        <f t="shared" si="6"/>
        <v>High</v>
      </c>
      <c r="K69" s="7">
        <f t="shared" si="7"/>
        <v>2958854</v>
      </c>
      <c r="L69" s="7">
        <f t="shared" si="8"/>
        <v>600147.3657</v>
      </c>
    </row>
    <row r="70">
      <c r="A70" s="5" t="s">
        <v>209</v>
      </c>
      <c r="B70" s="5" t="s">
        <v>210</v>
      </c>
      <c r="C70" s="5" t="s">
        <v>211</v>
      </c>
      <c r="D70" s="6">
        <v>10909.0</v>
      </c>
      <c r="E70" s="7">
        <f t="shared" si="1"/>
        <v>1</v>
      </c>
      <c r="F70" s="7">
        <f t="shared" si="2"/>
        <v>94775</v>
      </c>
      <c r="G70" s="7">
        <f t="shared" si="3"/>
        <v>48613</v>
      </c>
      <c r="H70" s="7" t="str">
        <f t="shared" si="4"/>
        <v>B</v>
      </c>
      <c r="I70" s="7" t="str">
        <f t="shared" si="5"/>
        <v>Transformative change</v>
      </c>
      <c r="J70" s="7" t="str">
        <f t="shared" si="6"/>
        <v>Medium</v>
      </c>
      <c r="K70" s="7">
        <f t="shared" si="7"/>
        <v>3723624</v>
      </c>
      <c r="L70" s="7">
        <f t="shared" si="8"/>
        <v>3303311.212</v>
      </c>
    </row>
    <row r="71">
      <c r="A71" s="5" t="s">
        <v>209</v>
      </c>
      <c r="B71" s="5" t="s">
        <v>212</v>
      </c>
      <c r="C71" s="5" t="s">
        <v>213</v>
      </c>
      <c r="D71" s="6">
        <v>18618.0</v>
      </c>
      <c r="E71" s="7">
        <f t="shared" si="1"/>
        <v>5</v>
      </c>
      <c r="F71" s="7">
        <f t="shared" si="2"/>
        <v>62768</v>
      </c>
      <c r="G71" s="7">
        <f t="shared" si="3"/>
        <v>5086</v>
      </c>
      <c r="H71" s="7" t="str">
        <f t="shared" si="4"/>
        <v>B</v>
      </c>
      <c r="I71" s="7" t="str">
        <f t="shared" si="5"/>
        <v>Transformative change</v>
      </c>
      <c r="J71" s="7" t="str">
        <f t="shared" si="6"/>
        <v>Low</v>
      </c>
      <c r="K71" s="7">
        <f t="shared" si="7"/>
        <v>3253427</v>
      </c>
      <c r="L71" s="7">
        <f t="shared" si="8"/>
        <v>3002239.518</v>
      </c>
    </row>
    <row r="72">
      <c r="A72" s="5" t="s">
        <v>214</v>
      </c>
      <c r="B72" s="5" t="s">
        <v>215</v>
      </c>
      <c r="C72" s="5" t="s">
        <v>216</v>
      </c>
      <c r="D72" s="6">
        <v>38008.0</v>
      </c>
      <c r="E72" s="7">
        <f t="shared" si="1"/>
        <v>2</v>
      </c>
      <c r="F72" s="7">
        <f t="shared" si="2"/>
        <v>59444</v>
      </c>
      <c r="G72" s="7">
        <f t="shared" si="3"/>
        <v>52486</v>
      </c>
      <c r="H72" s="7" t="str">
        <f t="shared" si="4"/>
        <v>D</v>
      </c>
      <c r="I72" s="7" t="str">
        <f t="shared" si="5"/>
        <v>Transformative change</v>
      </c>
      <c r="J72" s="7" t="str">
        <f t="shared" si="6"/>
        <v>High</v>
      </c>
      <c r="K72" s="7">
        <f t="shared" si="7"/>
        <v>3536469</v>
      </c>
      <c r="L72" s="7">
        <f t="shared" si="8"/>
        <v>3357363.915</v>
      </c>
    </row>
    <row r="73">
      <c r="A73" s="5" t="s">
        <v>217</v>
      </c>
      <c r="B73" s="5" t="s">
        <v>218</v>
      </c>
      <c r="C73" s="5" t="s">
        <v>219</v>
      </c>
      <c r="D73" s="6">
        <v>11101.0</v>
      </c>
      <c r="E73" s="7">
        <f t="shared" si="1"/>
        <v>2</v>
      </c>
      <c r="F73" s="7">
        <f t="shared" si="2"/>
        <v>67820</v>
      </c>
      <c r="G73" s="7">
        <f t="shared" si="3"/>
        <v>4410</v>
      </c>
      <c r="H73" s="7" t="str">
        <f t="shared" si="4"/>
        <v>A</v>
      </c>
      <c r="I73" s="7" t="str">
        <f t="shared" si="5"/>
        <v>Transformative change</v>
      </c>
      <c r="J73" s="7" t="str">
        <f t="shared" si="6"/>
        <v>High</v>
      </c>
      <c r="K73" s="7">
        <f t="shared" si="7"/>
        <v>386545</v>
      </c>
      <c r="L73" s="7">
        <f t="shared" si="8"/>
        <v>220640.4272</v>
      </c>
    </row>
    <row r="74">
      <c r="A74" s="5" t="s">
        <v>220</v>
      </c>
      <c r="B74" s="5" t="s">
        <v>221</v>
      </c>
      <c r="C74" s="5" t="s">
        <v>74</v>
      </c>
      <c r="D74" s="6">
        <v>521418.0</v>
      </c>
      <c r="E74" s="7">
        <f t="shared" si="1"/>
        <v>5</v>
      </c>
      <c r="F74" s="7">
        <f t="shared" si="2"/>
        <v>79034</v>
      </c>
      <c r="G74" s="7">
        <f t="shared" si="3"/>
        <v>19208</v>
      </c>
      <c r="H74" s="7" t="str">
        <f t="shared" si="4"/>
        <v>B</v>
      </c>
      <c r="I74" s="7" t="str">
        <f t="shared" si="5"/>
        <v>Transformative change</v>
      </c>
      <c r="J74" s="7" t="str">
        <f t="shared" si="6"/>
        <v>Low</v>
      </c>
      <c r="K74" s="7">
        <f t="shared" si="7"/>
        <v>278677</v>
      </c>
      <c r="L74" s="7">
        <f t="shared" si="8"/>
        <v>111506.5745</v>
      </c>
    </row>
    <row r="75">
      <c r="A75" s="5" t="s">
        <v>222</v>
      </c>
      <c r="B75" s="5" t="s">
        <v>223</v>
      </c>
      <c r="C75" s="5" t="s">
        <v>224</v>
      </c>
      <c r="D75" s="6">
        <v>35656.0</v>
      </c>
      <c r="E75" s="7">
        <f t="shared" si="1"/>
        <v>2</v>
      </c>
      <c r="F75" s="7">
        <f t="shared" si="2"/>
        <v>22651</v>
      </c>
      <c r="G75" s="7">
        <f t="shared" si="3"/>
        <v>5748</v>
      </c>
      <c r="H75" s="7" t="str">
        <f t="shared" si="4"/>
        <v>D</v>
      </c>
      <c r="I75" s="7" t="str">
        <f t="shared" si="5"/>
        <v>Transformative change</v>
      </c>
      <c r="J75" s="7" t="str">
        <f t="shared" si="6"/>
        <v>Medium</v>
      </c>
      <c r="K75" s="7">
        <f t="shared" si="7"/>
        <v>1822465</v>
      </c>
      <c r="L75" s="7">
        <f t="shared" si="8"/>
        <v>1820082.381</v>
      </c>
    </row>
    <row r="76">
      <c r="A76" s="5" t="s">
        <v>225</v>
      </c>
      <c r="B76" s="5" t="s">
        <v>226</v>
      </c>
      <c r="C76" s="5" t="s">
        <v>227</v>
      </c>
      <c r="D76" s="6">
        <v>12697.0</v>
      </c>
      <c r="E76" s="7">
        <f t="shared" si="1"/>
        <v>5</v>
      </c>
      <c r="F76" s="7">
        <f t="shared" si="2"/>
        <v>53114</v>
      </c>
      <c r="G76" s="7">
        <f t="shared" si="3"/>
        <v>29247</v>
      </c>
      <c r="H76" s="7" t="str">
        <f t="shared" si="4"/>
        <v>A</v>
      </c>
      <c r="I76" s="7" t="str">
        <f t="shared" si="5"/>
        <v>Transformative change</v>
      </c>
      <c r="J76" s="7" t="str">
        <f t="shared" si="6"/>
        <v>Low</v>
      </c>
      <c r="K76" s="7">
        <f t="shared" si="7"/>
        <v>2835492</v>
      </c>
      <c r="L76" s="7">
        <f t="shared" si="8"/>
        <v>386162.0983</v>
      </c>
    </row>
    <row r="77">
      <c r="A77" s="5" t="s">
        <v>228</v>
      </c>
      <c r="B77" s="5" t="s">
        <v>229</v>
      </c>
      <c r="C77" s="5" t="s">
        <v>74</v>
      </c>
      <c r="D77" s="6">
        <v>95874.0</v>
      </c>
      <c r="E77" s="7">
        <f t="shared" si="1"/>
        <v>1</v>
      </c>
      <c r="F77" s="7">
        <f t="shared" si="2"/>
        <v>39685</v>
      </c>
      <c r="G77" s="7">
        <f t="shared" si="3"/>
        <v>21570</v>
      </c>
      <c r="H77" s="7" t="str">
        <f t="shared" si="4"/>
        <v>F</v>
      </c>
      <c r="I77" s="7" t="str">
        <f t="shared" si="5"/>
        <v>Transformative change</v>
      </c>
      <c r="J77" s="7" t="str">
        <f t="shared" si="6"/>
        <v>Medium</v>
      </c>
      <c r="K77" s="7">
        <f t="shared" si="7"/>
        <v>3889132</v>
      </c>
      <c r="L77" s="7">
        <f t="shared" si="8"/>
        <v>182882.9792</v>
      </c>
    </row>
    <row r="78">
      <c r="A78" s="5" t="s">
        <v>230</v>
      </c>
      <c r="B78" s="5" t="s">
        <v>231</v>
      </c>
      <c r="C78" s="5" t="s">
        <v>232</v>
      </c>
      <c r="D78" s="6">
        <v>7401.0</v>
      </c>
      <c r="E78" s="7">
        <f t="shared" si="1"/>
        <v>2</v>
      </c>
      <c r="F78" s="7">
        <f t="shared" si="2"/>
        <v>71735</v>
      </c>
      <c r="G78" s="7">
        <f t="shared" si="3"/>
        <v>42312</v>
      </c>
      <c r="H78" s="7" t="str">
        <f t="shared" si="4"/>
        <v>G</v>
      </c>
      <c r="I78" s="7" t="str">
        <f t="shared" si="5"/>
        <v>Transformative change</v>
      </c>
      <c r="J78" s="7" t="str">
        <f t="shared" si="6"/>
        <v>High</v>
      </c>
      <c r="K78" s="7">
        <f t="shared" si="7"/>
        <v>3949104</v>
      </c>
      <c r="L78" s="7">
        <f t="shared" si="8"/>
        <v>2404509.265</v>
      </c>
    </row>
    <row r="79">
      <c r="A79" s="5" t="s">
        <v>233</v>
      </c>
      <c r="B79" s="5" t="s">
        <v>234</v>
      </c>
      <c r="C79" s="5" t="s">
        <v>235</v>
      </c>
      <c r="D79" s="6">
        <v>85694.0</v>
      </c>
      <c r="E79" s="7">
        <f t="shared" si="1"/>
        <v>3</v>
      </c>
      <c r="F79" s="7">
        <f t="shared" si="2"/>
        <v>91722</v>
      </c>
      <c r="G79" s="7">
        <f t="shared" si="3"/>
        <v>58163</v>
      </c>
      <c r="H79" s="7" t="str">
        <f t="shared" si="4"/>
        <v>B</v>
      </c>
      <c r="I79" s="7" t="str">
        <f t="shared" si="5"/>
        <v>Transformative change</v>
      </c>
      <c r="J79" s="7" t="str">
        <f t="shared" si="6"/>
        <v>High</v>
      </c>
      <c r="K79" s="7">
        <f t="shared" si="7"/>
        <v>563103</v>
      </c>
      <c r="L79" s="7">
        <f t="shared" si="8"/>
        <v>348674.2523</v>
      </c>
    </row>
    <row r="80">
      <c r="A80" s="5" t="s">
        <v>236</v>
      </c>
      <c r="B80" s="5" t="s">
        <v>237</v>
      </c>
      <c r="C80" s="5" t="s">
        <v>238</v>
      </c>
      <c r="D80" s="6">
        <v>13456.0</v>
      </c>
      <c r="E80" s="7">
        <f t="shared" si="1"/>
        <v>3</v>
      </c>
      <c r="F80" s="7">
        <f t="shared" si="2"/>
        <v>26724</v>
      </c>
      <c r="G80" s="7">
        <f t="shared" si="3"/>
        <v>816</v>
      </c>
      <c r="H80" s="7" t="str">
        <f t="shared" si="4"/>
        <v>E</v>
      </c>
      <c r="I80" s="7" t="str">
        <f t="shared" si="5"/>
        <v>Transformative change</v>
      </c>
      <c r="J80" s="7" t="str">
        <f t="shared" si="6"/>
        <v>Low</v>
      </c>
      <c r="K80" s="7">
        <f t="shared" si="7"/>
        <v>117876</v>
      </c>
      <c r="L80" s="7">
        <f t="shared" si="8"/>
        <v>70196.45016</v>
      </c>
    </row>
    <row r="81">
      <c r="A81" s="5" t="s">
        <v>239</v>
      </c>
      <c r="B81" s="5" t="s">
        <v>240</v>
      </c>
      <c r="C81" s="5" t="s">
        <v>241</v>
      </c>
      <c r="D81" s="6">
        <v>15740.0</v>
      </c>
      <c r="E81" s="7">
        <f t="shared" si="1"/>
        <v>3</v>
      </c>
      <c r="F81" s="7">
        <f t="shared" si="2"/>
        <v>49871</v>
      </c>
      <c r="G81" s="7">
        <f t="shared" si="3"/>
        <v>3574</v>
      </c>
      <c r="H81" s="7" t="str">
        <f t="shared" si="4"/>
        <v>F</v>
      </c>
      <c r="I81" s="7" t="str">
        <f t="shared" si="5"/>
        <v>High ambition</v>
      </c>
      <c r="J81" s="7" t="str">
        <f t="shared" si="6"/>
        <v>Low</v>
      </c>
      <c r="K81" s="7">
        <f t="shared" si="7"/>
        <v>1118062</v>
      </c>
      <c r="L81" s="7">
        <f t="shared" si="8"/>
        <v>866651.7656</v>
      </c>
    </row>
    <row r="82">
      <c r="A82" s="5" t="s">
        <v>242</v>
      </c>
      <c r="B82" s="5" t="s">
        <v>243</v>
      </c>
      <c r="C82" s="5" t="s">
        <v>244</v>
      </c>
      <c r="D82" s="6">
        <v>8007.0</v>
      </c>
      <c r="E82" s="7">
        <f t="shared" si="1"/>
        <v>1</v>
      </c>
      <c r="F82" s="7">
        <f t="shared" si="2"/>
        <v>39516</v>
      </c>
      <c r="G82" s="7">
        <f t="shared" si="3"/>
        <v>49590</v>
      </c>
      <c r="H82" s="7" t="str">
        <f t="shared" si="4"/>
        <v>B</v>
      </c>
      <c r="I82" s="7" t="str">
        <f t="shared" si="5"/>
        <v>Transformative change</v>
      </c>
      <c r="J82" s="7" t="str">
        <f t="shared" si="6"/>
        <v>Medium</v>
      </c>
      <c r="K82" s="7">
        <f t="shared" si="7"/>
        <v>1549154</v>
      </c>
      <c r="L82" s="7">
        <f t="shared" si="8"/>
        <v>372312.5341</v>
      </c>
    </row>
    <row r="83">
      <c r="A83" s="5" t="s">
        <v>245</v>
      </c>
      <c r="B83" s="5" t="s">
        <v>246</v>
      </c>
      <c r="C83" s="5" t="s">
        <v>247</v>
      </c>
      <c r="D83" s="6">
        <v>12912.0</v>
      </c>
      <c r="E83" s="7">
        <f t="shared" si="1"/>
        <v>1</v>
      </c>
      <c r="F83" s="7">
        <f t="shared" si="2"/>
        <v>72528</v>
      </c>
      <c r="G83" s="7">
        <f t="shared" si="3"/>
        <v>36794</v>
      </c>
      <c r="H83" s="7" t="str">
        <f t="shared" si="4"/>
        <v>C</v>
      </c>
      <c r="I83" s="7" t="str">
        <f t="shared" si="5"/>
        <v>Transformative change</v>
      </c>
      <c r="J83" s="7" t="str">
        <f t="shared" si="6"/>
        <v>High</v>
      </c>
      <c r="K83" s="7">
        <f t="shared" si="7"/>
        <v>3176926</v>
      </c>
      <c r="L83" s="7">
        <f t="shared" si="8"/>
        <v>1094263.298</v>
      </c>
    </row>
    <row r="84">
      <c r="A84" s="5" t="s">
        <v>248</v>
      </c>
      <c r="B84" s="5" t="s">
        <v>249</v>
      </c>
      <c r="C84" s="5" t="s">
        <v>250</v>
      </c>
      <c r="D84" s="6">
        <v>5488.0</v>
      </c>
      <c r="E84" s="7">
        <f t="shared" si="1"/>
        <v>5</v>
      </c>
      <c r="F84" s="7">
        <f t="shared" si="2"/>
        <v>88521</v>
      </c>
      <c r="G84" s="7">
        <f t="shared" si="3"/>
        <v>48876</v>
      </c>
      <c r="H84" s="7" t="str">
        <f t="shared" si="4"/>
        <v>D</v>
      </c>
      <c r="I84" s="7" t="str">
        <f t="shared" si="5"/>
        <v>Transformative change</v>
      </c>
      <c r="J84" s="7" t="str">
        <f t="shared" si="6"/>
        <v>Low</v>
      </c>
      <c r="K84" s="7">
        <f t="shared" si="7"/>
        <v>2465663</v>
      </c>
      <c r="L84" s="7">
        <f t="shared" si="8"/>
        <v>2132652.525</v>
      </c>
    </row>
    <row r="85">
      <c r="A85" s="5" t="s">
        <v>251</v>
      </c>
      <c r="B85" s="5" t="s">
        <v>252</v>
      </c>
      <c r="C85" s="5" t="s">
        <v>253</v>
      </c>
      <c r="D85" s="6">
        <v>46833.0</v>
      </c>
      <c r="E85" s="7">
        <f t="shared" si="1"/>
        <v>5</v>
      </c>
      <c r="F85" s="7">
        <f t="shared" si="2"/>
        <v>22394</v>
      </c>
      <c r="G85" s="7">
        <f t="shared" si="3"/>
        <v>9661</v>
      </c>
      <c r="H85" s="7" t="str">
        <f t="shared" si="4"/>
        <v>C</v>
      </c>
      <c r="I85" s="7" t="str">
        <f t="shared" si="5"/>
        <v>Transformative change</v>
      </c>
      <c r="J85" s="7" t="str">
        <f t="shared" si="6"/>
        <v>Low</v>
      </c>
      <c r="K85" s="7">
        <f t="shared" si="7"/>
        <v>2347546</v>
      </c>
      <c r="L85" s="7">
        <f t="shared" si="8"/>
        <v>1312602.782</v>
      </c>
    </row>
    <row r="86">
      <c r="A86" s="5" t="s">
        <v>254</v>
      </c>
      <c r="B86" s="5" t="s">
        <v>255</v>
      </c>
      <c r="C86" s="5" t="s">
        <v>74</v>
      </c>
      <c r="D86" s="6">
        <v>18864.0</v>
      </c>
      <c r="E86" s="7">
        <f t="shared" si="1"/>
        <v>2</v>
      </c>
      <c r="F86" s="7">
        <f t="shared" si="2"/>
        <v>61037</v>
      </c>
      <c r="G86" s="7">
        <f t="shared" si="3"/>
        <v>19700</v>
      </c>
      <c r="H86" s="7" t="str">
        <f t="shared" si="4"/>
        <v>B</v>
      </c>
      <c r="I86" s="7" t="str">
        <f t="shared" si="5"/>
        <v>Transformative change</v>
      </c>
      <c r="J86" s="7" t="str">
        <f t="shared" si="6"/>
        <v>Low</v>
      </c>
      <c r="K86" s="7">
        <f t="shared" si="7"/>
        <v>865518</v>
      </c>
      <c r="L86" s="7">
        <f t="shared" si="8"/>
        <v>41793.8823</v>
      </c>
    </row>
    <row r="87">
      <c r="A87" s="5" t="s">
        <v>256</v>
      </c>
      <c r="B87" s="5" t="s">
        <v>257</v>
      </c>
      <c r="C87" s="5" t="s">
        <v>258</v>
      </c>
      <c r="D87" s="6">
        <v>70757.0</v>
      </c>
      <c r="E87" s="7">
        <f t="shared" si="1"/>
        <v>5</v>
      </c>
      <c r="F87" s="7">
        <f t="shared" si="2"/>
        <v>18527</v>
      </c>
      <c r="G87" s="7">
        <f t="shared" si="3"/>
        <v>46426</v>
      </c>
      <c r="H87" s="7" t="str">
        <f t="shared" si="4"/>
        <v>B</v>
      </c>
      <c r="I87" s="7" t="str">
        <f t="shared" si="5"/>
        <v>High ambition</v>
      </c>
      <c r="J87" s="7" t="str">
        <f t="shared" si="6"/>
        <v>Medium</v>
      </c>
      <c r="K87" s="7">
        <f t="shared" si="7"/>
        <v>822006</v>
      </c>
      <c r="L87" s="7">
        <f t="shared" si="8"/>
        <v>169272.0562</v>
      </c>
    </row>
    <row r="88">
      <c r="A88" s="5" t="s">
        <v>259</v>
      </c>
      <c r="B88" s="5" t="s">
        <v>260</v>
      </c>
      <c r="C88" s="5" t="s">
        <v>261</v>
      </c>
      <c r="D88" s="6">
        <v>5440.0</v>
      </c>
      <c r="E88" s="7">
        <f t="shared" si="1"/>
        <v>4</v>
      </c>
      <c r="F88" s="7">
        <f t="shared" si="2"/>
        <v>82702</v>
      </c>
      <c r="G88" s="7">
        <f t="shared" si="3"/>
        <v>23028</v>
      </c>
      <c r="H88" s="7" t="str">
        <f t="shared" si="4"/>
        <v>D</v>
      </c>
      <c r="I88" s="7" t="str">
        <f t="shared" si="5"/>
        <v>High ambition</v>
      </c>
      <c r="J88" s="7" t="str">
        <f t="shared" si="6"/>
        <v>High</v>
      </c>
      <c r="K88" s="7">
        <f t="shared" si="7"/>
        <v>2395808</v>
      </c>
      <c r="L88" s="7">
        <f t="shared" si="8"/>
        <v>1140874.726</v>
      </c>
    </row>
    <row r="89">
      <c r="A89" s="5" t="s">
        <v>262</v>
      </c>
      <c r="B89" s="5" t="s">
        <v>263</v>
      </c>
      <c r="C89" s="5" t="s">
        <v>264</v>
      </c>
      <c r="D89" s="6">
        <v>5582.0</v>
      </c>
      <c r="E89" s="7">
        <f t="shared" si="1"/>
        <v>1</v>
      </c>
      <c r="F89" s="7">
        <f t="shared" si="2"/>
        <v>16434</v>
      </c>
      <c r="G89" s="7">
        <f t="shared" si="3"/>
        <v>9939</v>
      </c>
      <c r="H89" s="7" t="str">
        <f t="shared" si="4"/>
        <v>E</v>
      </c>
      <c r="I89" s="7" t="str">
        <f t="shared" si="5"/>
        <v>Transformative change</v>
      </c>
      <c r="J89" s="7" t="str">
        <f t="shared" si="6"/>
        <v>Low</v>
      </c>
      <c r="K89" s="7">
        <f t="shared" si="7"/>
        <v>1079512</v>
      </c>
      <c r="L89" s="7">
        <f t="shared" si="8"/>
        <v>861398.7096</v>
      </c>
    </row>
    <row r="90">
      <c r="A90" s="5" t="s">
        <v>265</v>
      </c>
      <c r="B90" s="5" t="s">
        <v>266</v>
      </c>
      <c r="C90" s="5" t="s">
        <v>74</v>
      </c>
      <c r="D90" s="6">
        <v>97745.0</v>
      </c>
      <c r="E90" s="7">
        <f t="shared" si="1"/>
        <v>3</v>
      </c>
      <c r="F90" s="7">
        <f t="shared" si="2"/>
        <v>95476</v>
      </c>
      <c r="G90" s="7">
        <f t="shared" si="3"/>
        <v>65864</v>
      </c>
      <c r="H90" s="7" t="str">
        <f t="shared" si="4"/>
        <v>C</v>
      </c>
      <c r="I90" s="7" t="str">
        <f t="shared" si="5"/>
        <v>High ambition</v>
      </c>
      <c r="J90" s="7" t="str">
        <f t="shared" si="6"/>
        <v>Low</v>
      </c>
      <c r="K90" s="7">
        <f t="shared" si="7"/>
        <v>2399785</v>
      </c>
      <c r="L90" s="7">
        <f t="shared" si="8"/>
        <v>144966.3016</v>
      </c>
    </row>
    <row r="91">
      <c r="A91" s="5" t="s">
        <v>267</v>
      </c>
      <c r="B91" s="5" t="s">
        <v>268</v>
      </c>
      <c r="C91" s="5" t="s">
        <v>269</v>
      </c>
      <c r="D91" s="6">
        <v>317025.0</v>
      </c>
      <c r="E91" s="7">
        <f t="shared" si="1"/>
        <v>1</v>
      </c>
      <c r="F91" s="7">
        <f t="shared" si="2"/>
        <v>33209</v>
      </c>
      <c r="G91" s="7">
        <f t="shared" si="3"/>
        <v>3232</v>
      </c>
      <c r="H91" s="7" t="str">
        <f t="shared" si="4"/>
        <v>C</v>
      </c>
      <c r="I91" s="7" t="str">
        <f t="shared" si="5"/>
        <v>Transformative change</v>
      </c>
      <c r="J91" s="7" t="str">
        <f t="shared" si="6"/>
        <v>Low</v>
      </c>
      <c r="K91" s="7">
        <f t="shared" si="7"/>
        <v>2512871</v>
      </c>
      <c r="L91" s="7">
        <f t="shared" si="8"/>
        <v>668761.0755</v>
      </c>
    </row>
    <row r="92">
      <c r="A92" s="5" t="s">
        <v>270</v>
      </c>
      <c r="B92" s="5" t="s">
        <v>271</v>
      </c>
      <c r="C92" s="5" t="s">
        <v>272</v>
      </c>
      <c r="D92" s="6">
        <v>12863.0</v>
      </c>
      <c r="E92" s="7">
        <f t="shared" si="1"/>
        <v>2</v>
      </c>
      <c r="F92" s="7">
        <f t="shared" si="2"/>
        <v>7171</v>
      </c>
      <c r="G92" s="7">
        <f t="shared" si="3"/>
        <v>48935</v>
      </c>
      <c r="H92" s="7" t="str">
        <f t="shared" si="4"/>
        <v>A</v>
      </c>
      <c r="I92" s="7" t="str">
        <f t="shared" si="5"/>
        <v>Transformative change</v>
      </c>
      <c r="J92" s="7" t="str">
        <f t="shared" si="6"/>
        <v>Medium</v>
      </c>
      <c r="K92" s="7">
        <f t="shared" si="7"/>
        <v>3557646</v>
      </c>
      <c r="L92" s="7">
        <f t="shared" si="8"/>
        <v>2942757.33</v>
      </c>
    </row>
    <row r="93">
      <c r="A93" s="5" t="s">
        <v>273</v>
      </c>
      <c r="B93" s="5" t="s">
        <v>274</v>
      </c>
      <c r="C93" s="5" t="s">
        <v>275</v>
      </c>
      <c r="D93" s="6">
        <v>16875.0</v>
      </c>
      <c r="E93" s="7">
        <f t="shared" si="1"/>
        <v>3</v>
      </c>
      <c r="F93" s="7">
        <f t="shared" si="2"/>
        <v>86697</v>
      </c>
      <c r="G93" s="7">
        <f t="shared" si="3"/>
        <v>25777</v>
      </c>
      <c r="H93" s="7" t="str">
        <f t="shared" si="4"/>
        <v>A</v>
      </c>
      <c r="I93" s="7" t="str">
        <f t="shared" si="5"/>
        <v>Transformative change</v>
      </c>
      <c r="J93" s="7" t="str">
        <f t="shared" si="6"/>
        <v>Low</v>
      </c>
      <c r="K93" s="7">
        <f t="shared" si="7"/>
        <v>2958573</v>
      </c>
      <c r="L93" s="7">
        <f t="shared" si="8"/>
        <v>1982253.112</v>
      </c>
    </row>
    <row r="94">
      <c r="A94" s="5" t="s">
        <v>276</v>
      </c>
      <c r="B94" s="5" t="s">
        <v>277</v>
      </c>
      <c r="C94" s="5" t="s">
        <v>278</v>
      </c>
      <c r="D94" s="6">
        <v>10288.0</v>
      </c>
      <c r="E94" s="7">
        <f t="shared" si="1"/>
        <v>5</v>
      </c>
      <c r="F94" s="7">
        <f t="shared" si="2"/>
        <v>69521</v>
      </c>
      <c r="G94" s="7">
        <f t="shared" si="3"/>
        <v>8402</v>
      </c>
      <c r="H94" s="7" t="str">
        <f t="shared" si="4"/>
        <v>A</v>
      </c>
      <c r="I94" s="7" t="str">
        <f t="shared" si="5"/>
        <v>High ambition</v>
      </c>
      <c r="J94" s="7" t="str">
        <f t="shared" si="6"/>
        <v>Low</v>
      </c>
      <c r="K94" s="7">
        <f t="shared" si="7"/>
        <v>3780903</v>
      </c>
      <c r="L94" s="7">
        <f t="shared" si="8"/>
        <v>284764.7239</v>
      </c>
    </row>
    <row r="95">
      <c r="A95" s="5" t="s">
        <v>279</v>
      </c>
      <c r="B95" s="5" t="s">
        <v>280</v>
      </c>
      <c r="C95" s="5" t="s">
        <v>281</v>
      </c>
      <c r="D95" s="6">
        <v>16947.0</v>
      </c>
      <c r="E95" s="7">
        <f t="shared" si="1"/>
        <v>2</v>
      </c>
      <c r="F95" s="7">
        <f t="shared" si="2"/>
        <v>93712</v>
      </c>
      <c r="G95" s="7">
        <f t="shared" si="3"/>
        <v>69360</v>
      </c>
      <c r="H95" s="7" t="str">
        <f t="shared" si="4"/>
        <v>C</v>
      </c>
      <c r="I95" s="7" t="str">
        <f t="shared" si="5"/>
        <v>Transformative change</v>
      </c>
      <c r="J95" s="7" t="str">
        <f t="shared" si="6"/>
        <v>High</v>
      </c>
      <c r="K95" s="7">
        <f t="shared" si="7"/>
        <v>3150459</v>
      </c>
      <c r="L95" s="7">
        <f t="shared" si="8"/>
        <v>1348648.36</v>
      </c>
    </row>
    <row r="96">
      <c r="A96" s="5" t="s">
        <v>282</v>
      </c>
      <c r="B96" s="5" t="s">
        <v>283</v>
      </c>
      <c r="C96" s="5" t="s">
        <v>284</v>
      </c>
      <c r="D96" s="6">
        <v>8168.0</v>
      </c>
      <c r="E96" s="7">
        <f t="shared" si="1"/>
        <v>3</v>
      </c>
      <c r="F96" s="7">
        <f t="shared" si="2"/>
        <v>63777</v>
      </c>
      <c r="G96" s="7">
        <f t="shared" si="3"/>
        <v>59174</v>
      </c>
      <c r="H96" s="7" t="str">
        <f t="shared" si="4"/>
        <v>D</v>
      </c>
      <c r="I96" s="7" t="str">
        <f t="shared" si="5"/>
        <v>High ambition</v>
      </c>
      <c r="J96" s="7" t="str">
        <f t="shared" si="6"/>
        <v>Medium</v>
      </c>
      <c r="K96" s="7">
        <f t="shared" si="7"/>
        <v>3860353</v>
      </c>
      <c r="L96" s="7">
        <f t="shared" si="8"/>
        <v>1173434.979</v>
      </c>
    </row>
    <row r="97">
      <c r="A97" s="5" t="s">
        <v>285</v>
      </c>
      <c r="B97" s="5" t="s">
        <v>286</v>
      </c>
      <c r="C97" s="5" t="s">
        <v>287</v>
      </c>
      <c r="D97" s="6">
        <v>5276.0</v>
      </c>
      <c r="E97" s="7">
        <f t="shared" si="1"/>
        <v>2</v>
      </c>
      <c r="F97" s="7">
        <f t="shared" si="2"/>
        <v>70283</v>
      </c>
      <c r="G97" s="7">
        <f t="shared" si="3"/>
        <v>6256</v>
      </c>
      <c r="H97" s="7" t="str">
        <f t="shared" si="4"/>
        <v>C</v>
      </c>
      <c r="I97" s="7" t="str">
        <f t="shared" si="5"/>
        <v>High ambition</v>
      </c>
      <c r="J97" s="7" t="str">
        <f t="shared" si="6"/>
        <v>Low</v>
      </c>
      <c r="K97" s="7">
        <f t="shared" si="7"/>
        <v>236983</v>
      </c>
      <c r="L97" s="7">
        <f t="shared" si="8"/>
        <v>134555.5492</v>
      </c>
    </row>
    <row r="98">
      <c r="A98" s="5" t="s">
        <v>288</v>
      </c>
      <c r="B98" s="5" t="s">
        <v>289</v>
      </c>
      <c r="C98" s="5" t="s">
        <v>290</v>
      </c>
      <c r="D98" s="6">
        <v>17509.0</v>
      </c>
      <c r="E98" s="7">
        <f t="shared" si="1"/>
        <v>1</v>
      </c>
      <c r="F98" s="7">
        <f t="shared" si="2"/>
        <v>86864</v>
      </c>
      <c r="G98" s="7">
        <f t="shared" si="3"/>
        <v>83919</v>
      </c>
      <c r="H98" s="7" t="str">
        <f t="shared" si="4"/>
        <v>A</v>
      </c>
      <c r="I98" s="7" t="str">
        <f t="shared" si="5"/>
        <v>Transformative change</v>
      </c>
      <c r="J98" s="7" t="str">
        <f t="shared" si="6"/>
        <v>Medium</v>
      </c>
      <c r="K98" s="7">
        <f t="shared" si="7"/>
        <v>1207639</v>
      </c>
      <c r="L98" s="7">
        <f t="shared" si="8"/>
        <v>494722.0944</v>
      </c>
    </row>
    <row r="99">
      <c r="A99" s="5" t="s">
        <v>291</v>
      </c>
      <c r="B99" s="5" t="s">
        <v>292</v>
      </c>
      <c r="C99" s="5" t="s">
        <v>293</v>
      </c>
      <c r="D99" s="6">
        <v>10243.0</v>
      </c>
      <c r="E99" s="7">
        <f t="shared" si="1"/>
        <v>2</v>
      </c>
      <c r="F99" s="7">
        <f t="shared" si="2"/>
        <v>94945</v>
      </c>
      <c r="G99" s="7">
        <f t="shared" si="3"/>
        <v>59830</v>
      </c>
      <c r="H99" s="7" t="str">
        <f t="shared" si="4"/>
        <v>E</v>
      </c>
      <c r="I99" s="7" t="str">
        <f t="shared" si="5"/>
        <v>Transformative change</v>
      </c>
      <c r="J99" s="7" t="str">
        <f t="shared" si="6"/>
        <v>Low</v>
      </c>
      <c r="K99" s="7">
        <f t="shared" si="7"/>
        <v>62078</v>
      </c>
      <c r="L99" s="7">
        <f t="shared" si="8"/>
        <v>30721.16721</v>
      </c>
    </row>
    <row r="100">
      <c r="A100" s="5" t="s">
        <v>294</v>
      </c>
      <c r="B100" s="5" t="s">
        <v>295</v>
      </c>
      <c r="C100" s="5" t="s">
        <v>74</v>
      </c>
      <c r="D100" s="6">
        <v>243999.0</v>
      </c>
      <c r="E100" s="7">
        <f t="shared" si="1"/>
        <v>5</v>
      </c>
      <c r="F100" s="7">
        <f t="shared" si="2"/>
        <v>47054</v>
      </c>
      <c r="G100" s="7">
        <f t="shared" si="3"/>
        <v>17879</v>
      </c>
      <c r="H100" s="7" t="str">
        <f t="shared" si="4"/>
        <v>C</v>
      </c>
      <c r="I100" s="7" t="str">
        <f t="shared" si="5"/>
        <v>Transformative change</v>
      </c>
      <c r="J100" s="7" t="str">
        <f t="shared" si="6"/>
        <v>Low</v>
      </c>
      <c r="K100" s="7">
        <f t="shared" si="7"/>
        <v>3350406</v>
      </c>
      <c r="L100" s="7">
        <f t="shared" si="8"/>
        <v>2187990.102</v>
      </c>
    </row>
    <row r="101">
      <c r="A101" s="5" t="s">
        <v>296</v>
      </c>
      <c r="B101" s="5" t="s">
        <v>297</v>
      </c>
      <c r="C101" s="5" t="s">
        <v>298</v>
      </c>
      <c r="D101" s="6">
        <v>17116.0</v>
      </c>
      <c r="E101" s="7">
        <f t="shared" si="1"/>
        <v>5</v>
      </c>
      <c r="F101" s="7">
        <f t="shared" si="2"/>
        <v>84062</v>
      </c>
      <c r="G101" s="7">
        <f t="shared" si="3"/>
        <v>46910</v>
      </c>
      <c r="H101" s="7" t="str">
        <f t="shared" si="4"/>
        <v>B</v>
      </c>
      <c r="I101" s="7" t="str">
        <f t="shared" si="5"/>
        <v>Transformative change</v>
      </c>
      <c r="J101" s="7" t="str">
        <f t="shared" si="6"/>
        <v>High</v>
      </c>
      <c r="K101" s="7">
        <f t="shared" si="7"/>
        <v>2669601</v>
      </c>
      <c r="L101" s="7">
        <f t="shared" si="8"/>
        <v>2088784.41</v>
      </c>
    </row>
    <row r="102">
      <c r="A102" s="5" t="s">
        <v>299</v>
      </c>
      <c r="B102" s="5" t="s">
        <v>300</v>
      </c>
      <c r="C102" s="5" t="s">
        <v>301</v>
      </c>
      <c r="D102" s="6">
        <v>479335.0</v>
      </c>
      <c r="E102" s="7">
        <f t="shared" si="1"/>
        <v>1</v>
      </c>
      <c r="F102" s="7">
        <f t="shared" si="2"/>
        <v>74197</v>
      </c>
      <c r="G102" s="7">
        <f t="shared" si="3"/>
        <v>22347</v>
      </c>
      <c r="H102" s="7" t="str">
        <f t="shared" si="4"/>
        <v>B</v>
      </c>
      <c r="I102" s="7" t="str">
        <f t="shared" si="5"/>
        <v>High ambition</v>
      </c>
      <c r="J102" s="7" t="str">
        <f t="shared" si="6"/>
        <v>High</v>
      </c>
      <c r="K102" s="7">
        <f t="shared" si="7"/>
        <v>3761045</v>
      </c>
      <c r="L102" s="7">
        <f t="shared" si="8"/>
        <v>3366820.025</v>
      </c>
    </row>
    <row r="103">
      <c r="A103" s="5" t="s">
        <v>302</v>
      </c>
      <c r="B103" s="5" t="s">
        <v>303</v>
      </c>
      <c r="C103" s="5" t="s">
        <v>304</v>
      </c>
      <c r="D103" s="6">
        <v>252933.0</v>
      </c>
      <c r="E103" s="7">
        <f t="shared" si="1"/>
        <v>2</v>
      </c>
      <c r="F103" s="7">
        <f t="shared" si="2"/>
        <v>16201</v>
      </c>
      <c r="G103" s="7">
        <f t="shared" si="3"/>
        <v>18633</v>
      </c>
      <c r="H103" s="7" t="str">
        <f t="shared" si="4"/>
        <v>G</v>
      </c>
      <c r="I103" s="7" t="str">
        <f t="shared" si="5"/>
        <v>Transformative change</v>
      </c>
      <c r="J103" s="7" t="str">
        <f t="shared" si="6"/>
        <v>Low</v>
      </c>
      <c r="K103" s="7">
        <f t="shared" si="7"/>
        <v>2611378</v>
      </c>
      <c r="L103" s="7">
        <f t="shared" si="8"/>
        <v>1251703.976</v>
      </c>
    </row>
    <row r="104">
      <c r="A104" s="5" t="s">
        <v>305</v>
      </c>
      <c r="B104" s="5" t="s">
        <v>306</v>
      </c>
      <c r="C104" s="5" t="s">
        <v>74</v>
      </c>
      <c r="D104" s="6">
        <v>8106.0</v>
      </c>
      <c r="E104" s="7">
        <f t="shared" si="1"/>
        <v>4</v>
      </c>
      <c r="F104" s="7">
        <f t="shared" si="2"/>
        <v>31473</v>
      </c>
      <c r="G104" s="7">
        <f t="shared" si="3"/>
        <v>5168</v>
      </c>
      <c r="H104" s="7" t="str">
        <f t="shared" si="4"/>
        <v>D</v>
      </c>
      <c r="I104" s="7" t="str">
        <f t="shared" si="5"/>
        <v>Transformative change</v>
      </c>
      <c r="J104" s="7" t="str">
        <f t="shared" si="6"/>
        <v>Medium</v>
      </c>
      <c r="K104" s="7">
        <f t="shared" si="7"/>
        <v>1199042</v>
      </c>
      <c r="L104" s="7">
        <f t="shared" si="8"/>
        <v>723290.7915</v>
      </c>
    </row>
    <row r="105">
      <c r="A105" s="5" t="s">
        <v>307</v>
      </c>
      <c r="B105" s="5" t="s">
        <v>308</v>
      </c>
      <c r="C105" s="5" t="s">
        <v>309</v>
      </c>
      <c r="D105" s="6">
        <v>19323.0</v>
      </c>
      <c r="E105" s="7">
        <f t="shared" si="1"/>
        <v>5</v>
      </c>
      <c r="F105" s="7">
        <f t="shared" si="2"/>
        <v>66536</v>
      </c>
      <c r="G105" s="7">
        <f t="shared" si="3"/>
        <v>1515</v>
      </c>
      <c r="H105" s="7" t="str">
        <f t="shared" si="4"/>
        <v>F</v>
      </c>
      <c r="I105" s="7" t="str">
        <f t="shared" si="5"/>
        <v>Transformative change</v>
      </c>
      <c r="J105" s="7" t="str">
        <f t="shared" si="6"/>
        <v>High</v>
      </c>
      <c r="K105" s="7">
        <f t="shared" si="7"/>
        <v>2078848</v>
      </c>
      <c r="L105" s="7">
        <f t="shared" si="8"/>
        <v>911136.7725</v>
      </c>
    </row>
    <row r="106">
      <c r="A106" s="5" t="s">
        <v>310</v>
      </c>
      <c r="B106" s="5" t="s">
        <v>311</v>
      </c>
      <c r="C106" s="5" t="s">
        <v>312</v>
      </c>
      <c r="D106" s="6">
        <v>18234.0</v>
      </c>
      <c r="E106" s="7">
        <f t="shared" si="1"/>
        <v>2</v>
      </c>
      <c r="F106" s="7">
        <f t="shared" si="2"/>
        <v>39704</v>
      </c>
      <c r="G106" s="7">
        <f t="shared" si="3"/>
        <v>14263</v>
      </c>
      <c r="H106" s="7" t="str">
        <f t="shared" si="4"/>
        <v>F</v>
      </c>
      <c r="I106" s="7" t="str">
        <f t="shared" si="5"/>
        <v>Transformative change</v>
      </c>
      <c r="J106" s="7" t="str">
        <f t="shared" si="6"/>
        <v>Low</v>
      </c>
      <c r="K106" s="7">
        <f t="shared" si="7"/>
        <v>1186911</v>
      </c>
      <c r="L106" s="7">
        <f t="shared" si="8"/>
        <v>149299.2562</v>
      </c>
    </row>
    <row r="107">
      <c r="A107" s="5" t="s">
        <v>313</v>
      </c>
      <c r="B107" s="5" t="s">
        <v>314</v>
      </c>
      <c r="C107" s="5" t="s">
        <v>315</v>
      </c>
      <c r="D107" s="6">
        <v>6177.0</v>
      </c>
      <c r="E107" s="7">
        <f t="shared" si="1"/>
        <v>5</v>
      </c>
      <c r="F107" s="7">
        <f t="shared" si="2"/>
        <v>14287</v>
      </c>
      <c r="G107" s="7">
        <f t="shared" si="3"/>
        <v>8271</v>
      </c>
      <c r="H107" s="7" t="str">
        <f t="shared" si="4"/>
        <v>B</v>
      </c>
      <c r="I107" s="7" t="str">
        <f t="shared" si="5"/>
        <v>Transformative change</v>
      </c>
      <c r="J107" s="7" t="str">
        <f t="shared" si="6"/>
        <v>Medium</v>
      </c>
      <c r="K107" s="7">
        <f t="shared" si="7"/>
        <v>3198296</v>
      </c>
      <c r="L107" s="7">
        <f t="shared" si="8"/>
        <v>522787.4004</v>
      </c>
    </row>
    <row r="108">
      <c r="A108" s="5" t="s">
        <v>316</v>
      </c>
      <c r="B108" s="5" t="s">
        <v>317</v>
      </c>
      <c r="C108" s="5" t="s">
        <v>318</v>
      </c>
      <c r="D108" s="6">
        <v>17535.0</v>
      </c>
      <c r="E108" s="7">
        <f t="shared" si="1"/>
        <v>2</v>
      </c>
      <c r="F108" s="7">
        <f t="shared" si="2"/>
        <v>5183</v>
      </c>
      <c r="G108" s="7">
        <f t="shared" si="3"/>
        <v>28059</v>
      </c>
      <c r="H108" s="7" t="str">
        <f t="shared" si="4"/>
        <v>G</v>
      </c>
      <c r="I108" s="7" t="str">
        <f t="shared" si="5"/>
        <v>Transformative change</v>
      </c>
      <c r="J108" s="7" t="str">
        <f t="shared" si="6"/>
        <v>High</v>
      </c>
      <c r="K108" s="7">
        <f t="shared" si="7"/>
        <v>1599723</v>
      </c>
      <c r="L108" s="7">
        <f t="shared" si="8"/>
        <v>1180198.687</v>
      </c>
    </row>
    <row r="109">
      <c r="A109" s="5" t="s">
        <v>319</v>
      </c>
      <c r="B109" s="5" t="s">
        <v>320</v>
      </c>
      <c r="C109" s="5" t="s">
        <v>321</v>
      </c>
      <c r="D109" s="6">
        <v>18409.0</v>
      </c>
      <c r="E109" s="7">
        <f t="shared" si="1"/>
        <v>1</v>
      </c>
      <c r="F109" s="7">
        <f t="shared" si="2"/>
        <v>30214</v>
      </c>
      <c r="G109" s="7">
        <f t="shared" si="3"/>
        <v>35581</v>
      </c>
      <c r="H109" s="7" t="str">
        <f t="shared" si="4"/>
        <v>E</v>
      </c>
      <c r="I109" s="7" t="str">
        <f t="shared" si="5"/>
        <v>Transformative change</v>
      </c>
      <c r="J109" s="7" t="str">
        <f t="shared" si="6"/>
        <v>Low</v>
      </c>
      <c r="K109" s="7">
        <f t="shared" si="7"/>
        <v>1269673</v>
      </c>
      <c r="L109" s="7">
        <f t="shared" si="8"/>
        <v>860175.302</v>
      </c>
    </row>
    <row r="110">
      <c r="A110" s="5" t="s">
        <v>322</v>
      </c>
      <c r="B110" s="5" t="s">
        <v>323</v>
      </c>
      <c r="C110" s="5" t="s">
        <v>324</v>
      </c>
      <c r="D110" s="6">
        <v>18289.0</v>
      </c>
      <c r="E110" s="7">
        <f t="shared" si="1"/>
        <v>1</v>
      </c>
      <c r="F110" s="7">
        <f t="shared" si="2"/>
        <v>62059</v>
      </c>
      <c r="G110" s="7">
        <f t="shared" si="3"/>
        <v>42389</v>
      </c>
      <c r="H110" s="7" t="str">
        <f t="shared" si="4"/>
        <v>F</v>
      </c>
      <c r="I110" s="7" t="str">
        <f t="shared" si="5"/>
        <v>Transformative change</v>
      </c>
      <c r="J110" s="7" t="str">
        <f t="shared" si="6"/>
        <v>Medium</v>
      </c>
      <c r="K110" s="7">
        <f t="shared" si="7"/>
        <v>3948233</v>
      </c>
      <c r="L110" s="7">
        <f t="shared" si="8"/>
        <v>3769066.526</v>
      </c>
    </row>
    <row r="111">
      <c r="A111" s="5" t="s">
        <v>325</v>
      </c>
      <c r="B111" s="5" t="s">
        <v>326</v>
      </c>
      <c r="C111" s="5" t="s">
        <v>74</v>
      </c>
      <c r="D111" s="6">
        <v>423787.0</v>
      </c>
      <c r="E111" s="7">
        <f t="shared" si="1"/>
        <v>1</v>
      </c>
      <c r="F111" s="7">
        <f t="shared" si="2"/>
        <v>51131</v>
      </c>
      <c r="G111" s="7">
        <f t="shared" si="3"/>
        <v>27123</v>
      </c>
      <c r="H111" s="7" t="str">
        <f t="shared" si="4"/>
        <v>E</v>
      </c>
      <c r="I111" s="7" t="str">
        <f t="shared" si="5"/>
        <v>Transformative change</v>
      </c>
      <c r="J111" s="7" t="str">
        <f t="shared" si="6"/>
        <v>Low</v>
      </c>
      <c r="K111" s="7">
        <f t="shared" si="7"/>
        <v>729028</v>
      </c>
      <c r="L111" s="7">
        <f t="shared" si="8"/>
        <v>662049.5167</v>
      </c>
    </row>
    <row r="112">
      <c r="A112" s="5" t="s">
        <v>327</v>
      </c>
      <c r="B112" s="5" t="s">
        <v>328</v>
      </c>
      <c r="C112" s="5" t="s">
        <v>329</v>
      </c>
      <c r="D112" s="6">
        <v>17528.0</v>
      </c>
      <c r="E112" s="7">
        <f t="shared" si="1"/>
        <v>4</v>
      </c>
      <c r="F112" s="7">
        <f t="shared" si="2"/>
        <v>18252</v>
      </c>
      <c r="G112" s="7">
        <f t="shared" si="3"/>
        <v>59390</v>
      </c>
      <c r="H112" s="7" t="str">
        <f t="shared" si="4"/>
        <v>C</v>
      </c>
      <c r="I112" s="7" t="str">
        <f t="shared" si="5"/>
        <v>Transformative change</v>
      </c>
      <c r="J112" s="7" t="str">
        <f t="shared" si="6"/>
        <v>Low</v>
      </c>
      <c r="K112" s="7">
        <f t="shared" si="7"/>
        <v>855593</v>
      </c>
      <c r="L112" s="7">
        <f t="shared" si="8"/>
        <v>527406.9845</v>
      </c>
    </row>
    <row r="113">
      <c r="A113" s="5" t="s">
        <v>330</v>
      </c>
      <c r="B113" s="5" t="s">
        <v>331</v>
      </c>
      <c r="C113" s="5" t="s">
        <v>332</v>
      </c>
      <c r="D113" s="6">
        <v>5442.0</v>
      </c>
      <c r="E113" s="7">
        <f t="shared" si="1"/>
        <v>1</v>
      </c>
      <c r="F113" s="7">
        <f t="shared" si="2"/>
        <v>44477</v>
      </c>
      <c r="G113" s="7">
        <f t="shared" si="3"/>
        <v>27657</v>
      </c>
      <c r="H113" s="7" t="str">
        <f t="shared" si="4"/>
        <v>D</v>
      </c>
      <c r="I113" s="7" t="str">
        <f t="shared" si="5"/>
        <v>High ambition</v>
      </c>
      <c r="J113" s="7" t="str">
        <f t="shared" si="6"/>
        <v>Medium</v>
      </c>
      <c r="K113" s="7">
        <f t="shared" si="7"/>
        <v>374511</v>
      </c>
      <c r="L113" s="7">
        <f t="shared" si="8"/>
        <v>35381.30907</v>
      </c>
    </row>
    <row r="114">
      <c r="A114" s="5" t="s">
        <v>333</v>
      </c>
      <c r="B114" s="5" t="s">
        <v>334</v>
      </c>
      <c r="C114" s="5" t="s">
        <v>335</v>
      </c>
      <c r="D114" s="6">
        <v>92106.0</v>
      </c>
      <c r="E114" s="7">
        <f t="shared" si="1"/>
        <v>3</v>
      </c>
      <c r="F114" s="7">
        <f t="shared" si="2"/>
        <v>9913</v>
      </c>
      <c r="G114" s="7">
        <f t="shared" si="3"/>
        <v>19677</v>
      </c>
      <c r="H114" s="7" t="str">
        <f t="shared" si="4"/>
        <v>A</v>
      </c>
      <c r="I114" s="7" t="str">
        <f t="shared" si="5"/>
        <v>Transformative change</v>
      </c>
      <c r="J114" s="7" t="str">
        <f t="shared" si="6"/>
        <v>Medium</v>
      </c>
      <c r="K114" s="7">
        <f t="shared" si="7"/>
        <v>1107670</v>
      </c>
      <c r="L114" s="7">
        <f t="shared" si="8"/>
        <v>267091.6393</v>
      </c>
    </row>
    <row r="115">
      <c r="A115" s="5" t="s">
        <v>336</v>
      </c>
      <c r="B115" s="5" t="s">
        <v>337</v>
      </c>
      <c r="C115" s="5" t="s">
        <v>338</v>
      </c>
      <c r="D115" s="6">
        <v>16350.0</v>
      </c>
      <c r="E115" s="7">
        <f t="shared" si="1"/>
        <v>3</v>
      </c>
      <c r="F115" s="7">
        <f t="shared" si="2"/>
        <v>35908</v>
      </c>
      <c r="G115" s="7">
        <f t="shared" si="3"/>
        <v>20618</v>
      </c>
      <c r="H115" s="7" t="str">
        <f t="shared" si="4"/>
        <v>E</v>
      </c>
      <c r="I115" s="7" t="str">
        <f t="shared" si="5"/>
        <v>Transformative change</v>
      </c>
      <c r="J115" s="7" t="str">
        <f t="shared" si="6"/>
        <v>Medium</v>
      </c>
      <c r="K115" s="7">
        <f t="shared" si="7"/>
        <v>1315988</v>
      </c>
      <c r="L115" s="7">
        <f t="shared" si="8"/>
        <v>937734.0275</v>
      </c>
    </row>
    <row r="116">
      <c r="A116" s="5" t="s">
        <v>339</v>
      </c>
      <c r="B116" s="5" t="s">
        <v>340</v>
      </c>
      <c r="C116" s="5" t="s">
        <v>341</v>
      </c>
      <c r="D116" s="6">
        <v>76105.0</v>
      </c>
      <c r="E116" s="7">
        <f t="shared" si="1"/>
        <v>1</v>
      </c>
      <c r="F116" s="7">
        <f t="shared" si="2"/>
        <v>61417</v>
      </c>
      <c r="G116" s="7">
        <f t="shared" si="3"/>
        <v>11670</v>
      </c>
      <c r="H116" s="7" t="str">
        <f t="shared" si="4"/>
        <v>B</v>
      </c>
      <c r="I116" s="7" t="str">
        <f t="shared" si="5"/>
        <v>Transformative change</v>
      </c>
      <c r="J116" s="7" t="str">
        <f t="shared" si="6"/>
        <v>Low</v>
      </c>
      <c r="K116" s="7">
        <f t="shared" si="7"/>
        <v>3176943</v>
      </c>
      <c r="L116" s="7">
        <f t="shared" si="8"/>
        <v>468960.5702</v>
      </c>
    </row>
    <row r="117">
      <c r="A117" s="5" t="s">
        <v>342</v>
      </c>
      <c r="B117" s="5" t="s">
        <v>343</v>
      </c>
      <c r="C117" s="5" t="s">
        <v>344</v>
      </c>
      <c r="D117" s="6">
        <v>7365.0</v>
      </c>
      <c r="E117" s="7">
        <f t="shared" si="1"/>
        <v>3</v>
      </c>
      <c r="F117" s="7">
        <f t="shared" si="2"/>
        <v>46948</v>
      </c>
      <c r="G117" s="7">
        <f t="shared" si="3"/>
        <v>7862</v>
      </c>
      <c r="H117" s="7" t="str">
        <f t="shared" si="4"/>
        <v>C</v>
      </c>
      <c r="I117" s="7" t="str">
        <f t="shared" si="5"/>
        <v>Transformative change</v>
      </c>
      <c r="J117" s="7" t="str">
        <f t="shared" si="6"/>
        <v>Medium</v>
      </c>
      <c r="K117" s="7">
        <f t="shared" si="7"/>
        <v>3988243</v>
      </c>
      <c r="L117" s="7">
        <f t="shared" si="8"/>
        <v>1677739.339</v>
      </c>
    </row>
    <row r="118">
      <c r="A118" s="5" t="s">
        <v>345</v>
      </c>
      <c r="B118" s="5" t="s">
        <v>346</v>
      </c>
      <c r="C118" s="5" t="s">
        <v>347</v>
      </c>
      <c r="D118" s="6">
        <v>328085.0</v>
      </c>
      <c r="E118" s="7">
        <f t="shared" si="1"/>
        <v>2</v>
      </c>
      <c r="F118" s="7">
        <f t="shared" si="2"/>
        <v>69898</v>
      </c>
      <c r="G118" s="7">
        <f t="shared" si="3"/>
        <v>3071</v>
      </c>
      <c r="H118" s="7" t="str">
        <f t="shared" si="4"/>
        <v>B</v>
      </c>
      <c r="I118" s="7" t="str">
        <f t="shared" si="5"/>
        <v>Transformative change</v>
      </c>
      <c r="J118" s="7" t="str">
        <f t="shared" si="6"/>
        <v>Low</v>
      </c>
      <c r="K118" s="7">
        <f t="shared" si="7"/>
        <v>2360007</v>
      </c>
      <c r="L118" s="7">
        <f t="shared" si="8"/>
        <v>2001608.615</v>
      </c>
    </row>
    <row r="119">
      <c r="A119" s="5" t="s">
        <v>348</v>
      </c>
      <c r="B119" s="5" t="s">
        <v>349</v>
      </c>
      <c r="C119" s="5" t="s">
        <v>350</v>
      </c>
      <c r="D119" s="6">
        <v>20506.0</v>
      </c>
      <c r="E119" s="7">
        <f t="shared" si="1"/>
        <v>5</v>
      </c>
      <c r="F119" s="7">
        <f t="shared" si="2"/>
        <v>89658</v>
      </c>
      <c r="G119" s="7">
        <f t="shared" si="3"/>
        <v>35211</v>
      </c>
      <c r="H119" s="7" t="str">
        <f t="shared" si="4"/>
        <v>E</v>
      </c>
      <c r="I119" s="7" t="str">
        <f t="shared" si="5"/>
        <v>High ambition</v>
      </c>
      <c r="J119" s="7" t="str">
        <f t="shared" si="6"/>
        <v>Low</v>
      </c>
      <c r="K119" s="7">
        <f t="shared" si="7"/>
        <v>167767</v>
      </c>
      <c r="L119" s="7">
        <f t="shared" si="8"/>
        <v>87907.38504</v>
      </c>
    </row>
    <row r="120">
      <c r="A120" s="5" t="s">
        <v>351</v>
      </c>
      <c r="B120" s="5" t="s">
        <v>352</v>
      </c>
      <c r="C120" s="5" t="s">
        <v>353</v>
      </c>
      <c r="D120" s="6">
        <v>499358.0</v>
      </c>
      <c r="E120" s="7">
        <f t="shared" si="1"/>
        <v>4</v>
      </c>
      <c r="F120" s="7">
        <f t="shared" si="2"/>
        <v>67323</v>
      </c>
      <c r="G120" s="7">
        <f t="shared" si="3"/>
        <v>19194</v>
      </c>
      <c r="H120" s="7" t="str">
        <f t="shared" si="4"/>
        <v>E</v>
      </c>
      <c r="I120" s="7" t="str">
        <f t="shared" si="5"/>
        <v>Transformative change</v>
      </c>
      <c r="J120" s="7" t="str">
        <f t="shared" si="6"/>
        <v>Low</v>
      </c>
      <c r="K120" s="7">
        <f t="shared" si="7"/>
        <v>1828665</v>
      </c>
      <c r="L120" s="7">
        <f t="shared" si="8"/>
        <v>384684.4773</v>
      </c>
    </row>
    <row r="121">
      <c r="A121" s="5" t="s">
        <v>354</v>
      </c>
      <c r="B121" s="5" t="s">
        <v>355</v>
      </c>
      <c r="C121" s="5" t="s">
        <v>356</v>
      </c>
      <c r="D121" s="6">
        <v>11065.0</v>
      </c>
      <c r="E121" s="7">
        <f t="shared" si="1"/>
        <v>4</v>
      </c>
      <c r="F121" s="7">
        <f t="shared" si="2"/>
        <v>71363</v>
      </c>
      <c r="G121" s="7">
        <f t="shared" si="3"/>
        <v>3800</v>
      </c>
      <c r="H121" s="7" t="str">
        <f t="shared" si="4"/>
        <v>B</v>
      </c>
      <c r="I121" s="7" t="str">
        <f t="shared" si="5"/>
        <v>Transformative change</v>
      </c>
      <c r="J121" s="7" t="str">
        <f t="shared" si="6"/>
        <v>Low</v>
      </c>
      <c r="K121" s="7">
        <f t="shared" si="7"/>
        <v>1573159</v>
      </c>
      <c r="L121" s="7">
        <f t="shared" si="8"/>
        <v>722014.419</v>
      </c>
    </row>
    <row r="122">
      <c r="A122" s="5" t="s">
        <v>357</v>
      </c>
      <c r="B122" s="5" t="s">
        <v>358</v>
      </c>
      <c r="C122" s="5" t="s">
        <v>359</v>
      </c>
      <c r="D122" s="6">
        <v>379611.0</v>
      </c>
      <c r="E122" s="7">
        <f t="shared" si="1"/>
        <v>2</v>
      </c>
      <c r="F122" s="7">
        <f t="shared" si="2"/>
        <v>25109</v>
      </c>
      <c r="G122" s="7">
        <f t="shared" si="3"/>
        <v>63870</v>
      </c>
      <c r="H122" s="7" t="str">
        <f t="shared" si="4"/>
        <v>C</v>
      </c>
      <c r="I122" s="7" t="str">
        <f t="shared" si="5"/>
        <v>Transformative change</v>
      </c>
      <c r="J122" s="7" t="str">
        <f t="shared" si="6"/>
        <v>High</v>
      </c>
      <c r="K122" s="7">
        <f t="shared" si="7"/>
        <v>1854614</v>
      </c>
      <c r="L122" s="7">
        <f t="shared" si="8"/>
        <v>1648592.286</v>
      </c>
    </row>
    <row r="123">
      <c r="A123" s="5" t="s">
        <v>360</v>
      </c>
      <c r="B123" s="5" t="s">
        <v>361</v>
      </c>
      <c r="C123" s="5" t="s">
        <v>362</v>
      </c>
      <c r="D123" s="6">
        <v>256106.0</v>
      </c>
      <c r="E123" s="7">
        <f t="shared" si="1"/>
        <v>2</v>
      </c>
      <c r="F123" s="7">
        <f t="shared" si="2"/>
        <v>50404</v>
      </c>
      <c r="G123" s="7">
        <f t="shared" si="3"/>
        <v>17261</v>
      </c>
      <c r="H123" s="7" t="str">
        <f t="shared" si="4"/>
        <v>C</v>
      </c>
      <c r="I123" s="7" t="str">
        <f t="shared" si="5"/>
        <v>Transformative change</v>
      </c>
      <c r="J123" s="7" t="str">
        <f t="shared" si="6"/>
        <v>Medium</v>
      </c>
      <c r="K123" s="7">
        <f t="shared" si="7"/>
        <v>109095</v>
      </c>
      <c r="L123" s="7">
        <f t="shared" si="8"/>
        <v>86958.67729</v>
      </c>
    </row>
    <row r="124">
      <c r="A124" s="5" t="s">
        <v>36</v>
      </c>
      <c r="B124" s="5" t="s">
        <v>363</v>
      </c>
      <c r="C124" s="5" t="s">
        <v>364</v>
      </c>
      <c r="D124" s="6">
        <v>886346.0</v>
      </c>
      <c r="E124" s="7">
        <f t="shared" si="1"/>
        <v>5</v>
      </c>
      <c r="F124" s="7">
        <f t="shared" si="2"/>
        <v>34270</v>
      </c>
      <c r="G124" s="7">
        <f t="shared" si="3"/>
        <v>7895</v>
      </c>
      <c r="H124" s="7" t="str">
        <f t="shared" si="4"/>
        <v>C</v>
      </c>
      <c r="I124" s="7" t="str">
        <f t="shared" si="5"/>
        <v>High ambition</v>
      </c>
      <c r="J124" s="7" t="str">
        <f t="shared" si="6"/>
        <v>High</v>
      </c>
      <c r="K124" s="7">
        <f t="shared" si="7"/>
        <v>867722</v>
      </c>
      <c r="L124" s="7">
        <f t="shared" si="8"/>
        <v>456805.3717</v>
      </c>
    </row>
    <row r="125">
      <c r="A125" s="5" t="s">
        <v>365</v>
      </c>
      <c r="B125" s="5" t="s">
        <v>366</v>
      </c>
      <c r="C125" s="5" t="s">
        <v>74</v>
      </c>
      <c r="D125" s="6">
        <v>89067.0</v>
      </c>
      <c r="E125" s="7">
        <f t="shared" si="1"/>
        <v>4</v>
      </c>
      <c r="F125" s="7">
        <f t="shared" si="2"/>
        <v>9938</v>
      </c>
      <c r="G125" s="7">
        <f t="shared" si="3"/>
        <v>27200</v>
      </c>
      <c r="H125" s="7" t="str">
        <f t="shared" si="4"/>
        <v>B</v>
      </c>
      <c r="I125" s="7" t="str">
        <f t="shared" si="5"/>
        <v>High ambition</v>
      </c>
      <c r="J125" s="7" t="str">
        <f t="shared" si="6"/>
        <v>Low</v>
      </c>
      <c r="K125" s="7">
        <f t="shared" si="7"/>
        <v>333918</v>
      </c>
      <c r="L125" s="7">
        <f t="shared" si="8"/>
        <v>89584.41302</v>
      </c>
    </row>
    <row r="126">
      <c r="A126" s="5" t="s">
        <v>367</v>
      </c>
      <c r="B126" s="5" t="s">
        <v>368</v>
      </c>
      <c r="C126" s="5" t="s">
        <v>74</v>
      </c>
      <c r="D126" s="6">
        <v>8203.0</v>
      </c>
      <c r="E126" s="7">
        <f t="shared" si="1"/>
        <v>4</v>
      </c>
      <c r="F126" s="7">
        <f t="shared" si="2"/>
        <v>28110</v>
      </c>
      <c r="G126" s="7">
        <f t="shared" si="3"/>
        <v>2470</v>
      </c>
      <c r="H126" s="7" t="str">
        <f t="shared" si="4"/>
        <v>B</v>
      </c>
      <c r="I126" s="7" t="str">
        <f t="shared" si="5"/>
        <v>Transformative change</v>
      </c>
      <c r="J126" s="7" t="str">
        <f t="shared" si="6"/>
        <v>Low</v>
      </c>
      <c r="K126" s="7">
        <f t="shared" si="7"/>
        <v>2407908</v>
      </c>
      <c r="L126" s="7">
        <f t="shared" si="8"/>
        <v>539968.7974</v>
      </c>
    </row>
    <row r="127">
      <c r="A127" s="5" t="s">
        <v>369</v>
      </c>
      <c r="B127" s="5" t="s">
        <v>370</v>
      </c>
      <c r="C127" s="5" t="s">
        <v>371</v>
      </c>
      <c r="D127" s="6">
        <v>13897.0</v>
      </c>
      <c r="E127" s="7">
        <f t="shared" si="1"/>
        <v>5</v>
      </c>
      <c r="F127" s="7">
        <f t="shared" si="2"/>
        <v>80774</v>
      </c>
      <c r="G127" s="7">
        <f t="shared" si="3"/>
        <v>59960</v>
      </c>
      <c r="H127" s="7" t="str">
        <f t="shared" si="4"/>
        <v>F</v>
      </c>
      <c r="I127" s="7" t="str">
        <f t="shared" si="5"/>
        <v>Transformative change</v>
      </c>
      <c r="J127" s="7" t="str">
        <f t="shared" si="6"/>
        <v>Low</v>
      </c>
      <c r="K127" s="7">
        <f t="shared" si="7"/>
        <v>3370801</v>
      </c>
      <c r="L127" s="7">
        <f t="shared" si="8"/>
        <v>1023736.82</v>
      </c>
    </row>
    <row r="128">
      <c r="A128" s="5" t="s">
        <v>372</v>
      </c>
      <c r="B128" s="5" t="s">
        <v>373</v>
      </c>
      <c r="C128" s="5" t="s">
        <v>374</v>
      </c>
      <c r="D128" s="6">
        <v>6842.0</v>
      </c>
      <c r="E128" s="7">
        <f t="shared" si="1"/>
        <v>3</v>
      </c>
      <c r="F128" s="7">
        <f t="shared" si="2"/>
        <v>76456</v>
      </c>
      <c r="G128" s="7">
        <f t="shared" si="3"/>
        <v>72933</v>
      </c>
      <c r="H128" s="7" t="str">
        <f t="shared" si="4"/>
        <v>F</v>
      </c>
      <c r="I128" s="7" t="str">
        <f t="shared" si="5"/>
        <v>Transformative change</v>
      </c>
      <c r="J128" s="7" t="str">
        <f t="shared" si="6"/>
        <v>Low</v>
      </c>
      <c r="K128" s="7">
        <f t="shared" si="7"/>
        <v>2230603</v>
      </c>
      <c r="L128" s="7">
        <f t="shared" si="8"/>
        <v>1745270.898</v>
      </c>
    </row>
    <row r="129">
      <c r="A129" s="5" t="s">
        <v>375</v>
      </c>
      <c r="B129" s="5" t="s">
        <v>376</v>
      </c>
      <c r="C129" s="5" t="s">
        <v>74</v>
      </c>
      <c r="D129" s="6">
        <v>19601.0</v>
      </c>
      <c r="E129" s="7">
        <f t="shared" si="1"/>
        <v>2</v>
      </c>
      <c r="F129" s="7">
        <f t="shared" si="2"/>
        <v>86242</v>
      </c>
      <c r="G129" s="7">
        <f t="shared" si="3"/>
        <v>16060</v>
      </c>
      <c r="H129" s="7" t="str">
        <f t="shared" si="4"/>
        <v>D</v>
      </c>
      <c r="I129" s="7" t="str">
        <f t="shared" si="5"/>
        <v>High ambition</v>
      </c>
      <c r="J129" s="7" t="str">
        <f t="shared" si="6"/>
        <v>High</v>
      </c>
      <c r="K129" s="7">
        <f t="shared" si="7"/>
        <v>3642512</v>
      </c>
      <c r="L129" s="7">
        <f t="shared" si="8"/>
        <v>2179039.735</v>
      </c>
    </row>
    <row r="130">
      <c r="A130" s="5" t="s">
        <v>377</v>
      </c>
      <c r="B130" s="5" t="s">
        <v>378</v>
      </c>
      <c r="C130" s="5" t="s">
        <v>379</v>
      </c>
      <c r="D130" s="6">
        <v>19167.0</v>
      </c>
      <c r="E130" s="7">
        <f t="shared" si="1"/>
        <v>3</v>
      </c>
      <c r="F130" s="7">
        <f t="shared" si="2"/>
        <v>26421</v>
      </c>
      <c r="G130" s="7">
        <f t="shared" si="3"/>
        <v>14716</v>
      </c>
      <c r="H130" s="7" t="str">
        <f t="shared" si="4"/>
        <v>B</v>
      </c>
      <c r="I130" s="7" t="str">
        <f t="shared" si="5"/>
        <v>Transformative change</v>
      </c>
      <c r="J130" s="7" t="str">
        <f t="shared" si="6"/>
        <v>High</v>
      </c>
      <c r="K130" s="7">
        <f t="shared" si="7"/>
        <v>1105815</v>
      </c>
      <c r="L130" s="7">
        <f t="shared" si="8"/>
        <v>231682.7941</v>
      </c>
    </row>
    <row r="131">
      <c r="A131" s="5" t="s">
        <v>380</v>
      </c>
      <c r="B131" s="5" t="s">
        <v>381</v>
      </c>
      <c r="C131" s="5" t="s">
        <v>382</v>
      </c>
      <c r="D131" s="6">
        <v>51943.0</v>
      </c>
      <c r="E131" s="7">
        <f t="shared" si="1"/>
        <v>5</v>
      </c>
      <c r="F131" s="7">
        <f t="shared" si="2"/>
        <v>26114</v>
      </c>
      <c r="G131" s="7">
        <f t="shared" si="3"/>
        <v>8698</v>
      </c>
      <c r="H131" s="7" t="str">
        <f t="shared" si="4"/>
        <v>E</v>
      </c>
      <c r="I131" s="7" t="str">
        <f t="shared" si="5"/>
        <v>Transformative change</v>
      </c>
      <c r="J131" s="7" t="str">
        <f t="shared" si="6"/>
        <v>Medium</v>
      </c>
      <c r="K131" s="7">
        <f t="shared" si="7"/>
        <v>409773</v>
      </c>
      <c r="L131" s="7">
        <f t="shared" si="8"/>
        <v>78806.62499</v>
      </c>
    </row>
    <row r="132">
      <c r="A132" s="5" t="s">
        <v>383</v>
      </c>
      <c r="B132" s="5" t="s">
        <v>384</v>
      </c>
      <c r="C132" s="5" t="s">
        <v>385</v>
      </c>
      <c r="D132" s="6">
        <v>31956.0</v>
      </c>
      <c r="E132" s="7">
        <f t="shared" si="1"/>
        <v>4</v>
      </c>
      <c r="F132" s="7">
        <f t="shared" si="2"/>
        <v>8721</v>
      </c>
      <c r="G132" s="7">
        <f t="shared" si="3"/>
        <v>17733</v>
      </c>
      <c r="H132" s="7" t="str">
        <f t="shared" si="4"/>
        <v>A</v>
      </c>
      <c r="I132" s="7" t="str">
        <f t="shared" si="5"/>
        <v>Transformative change</v>
      </c>
      <c r="J132" s="7" t="str">
        <f t="shared" si="6"/>
        <v>Low</v>
      </c>
      <c r="K132" s="7">
        <f t="shared" si="7"/>
        <v>1730785</v>
      </c>
      <c r="L132" s="7">
        <f t="shared" si="8"/>
        <v>3019.478794</v>
      </c>
    </row>
    <row r="133">
      <c r="A133" s="5" t="s">
        <v>386</v>
      </c>
      <c r="B133" s="5" t="s">
        <v>387</v>
      </c>
      <c r="C133" s="5" t="s">
        <v>388</v>
      </c>
      <c r="D133" s="6">
        <v>11874.0</v>
      </c>
      <c r="E133" s="7">
        <f t="shared" si="1"/>
        <v>2</v>
      </c>
      <c r="F133" s="7">
        <f t="shared" si="2"/>
        <v>78557</v>
      </c>
      <c r="G133" s="7">
        <f t="shared" si="3"/>
        <v>52231</v>
      </c>
      <c r="H133" s="7" t="str">
        <f t="shared" si="4"/>
        <v>C</v>
      </c>
      <c r="I133" s="7" t="str">
        <f t="shared" si="5"/>
        <v>Transformative change</v>
      </c>
      <c r="J133" s="7" t="str">
        <f t="shared" si="6"/>
        <v>Medium</v>
      </c>
      <c r="K133" s="7">
        <f t="shared" si="7"/>
        <v>2333218</v>
      </c>
      <c r="L133" s="7">
        <f t="shared" si="8"/>
        <v>1338254.367</v>
      </c>
    </row>
    <row r="134">
      <c r="A134" s="5" t="s">
        <v>389</v>
      </c>
      <c r="B134" s="5" t="s">
        <v>390</v>
      </c>
      <c r="C134" s="5" t="s">
        <v>391</v>
      </c>
      <c r="D134" s="6">
        <v>9081.0</v>
      </c>
      <c r="E134" s="7">
        <f t="shared" si="1"/>
        <v>2</v>
      </c>
      <c r="F134" s="7">
        <f t="shared" si="2"/>
        <v>94515</v>
      </c>
      <c r="G134" s="7">
        <f t="shared" si="3"/>
        <v>72337</v>
      </c>
      <c r="H134" s="7" t="str">
        <f t="shared" si="4"/>
        <v>B</v>
      </c>
      <c r="I134" s="7" t="str">
        <f t="shared" si="5"/>
        <v>Transformative change</v>
      </c>
      <c r="J134" s="7" t="str">
        <f t="shared" si="6"/>
        <v>Low</v>
      </c>
      <c r="K134" s="7">
        <f t="shared" si="7"/>
        <v>3616230</v>
      </c>
      <c r="L134" s="7">
        <f t="shared" si="8"/>
        <v>2501492.693</v>
      </c>
    </row>
    <row r="135">
      <c r="A135" s="5" t="s">
        <v>392</v>
      </c>
      <c r="B135" s="5" t="s">
        <v>393</v>
      </c>
      <c r="C135" s="5" t="s">
        <v>394</v>
      </c>
      <c r="D135" s="6">
        <v>11966.0</v>
      </c>
      <c r="E135" s="7">
        <f t="shared" si="1"/>
        <v>1</v>
      </c>
      <c r="F135" s="7">
        <f t="shared" si="2"/>
        <v>71117</v>
      </c>
      <c r="G135" s="7">
        <f t="shared" si="3"/>
        <v>6</v>
      </c>
      <c r="H135" s="7" t="str">
        <f t="shared" si="4"/>
        <v>A</v>
      </c>
      <c r="I135" s="7" t="str">
        <f t="shared" si="5"/>
        <v>High ambition</v>
      </c>
      <c r="J135" s="7" t="str">
        <f t="shared" si="6"/>
        <v>High</v>
      </c>
      <c r="K135" s="7">
        <f t="shared" si="7"/>
        <v>3278926</v>
      </c>
      <c r="L135" s="7">
        <f t="shared" si="8"/>
        <v>975955.9458</v>
      </c>
    </row>
    <row r="136">
      <c r="A136" s="5" t="s">
        <v>395</v>
      </c>
      <c r="B136" s="5" t="s">
        <v>396</v>
      </c>
      <c r="C136" s="5" t="s">
        <v>397</v>
      </c>
      <c r="D136" s="6">
        <v>16095.0</v>
      </c>
      <c r="E136" s="7">
        <f t="shared" si="1"/>
        <v>2</v>
      </c>
      <c r="F136" s="7">
        <f t="shared" si="2"/>
        <v>33794</v>
      </c>
      <c r="G136" s="7">
        <f t="shared" si="3"/>
        <v>30827</v>
      </c>
      <c r="H136" s="7" t="str">
        <f t="shared" si="4"/>
        <v>D</v>
      </c>
      <c r="I136" s="7" t="str">
        <f t="shared" si="5"/>
        <v>Transformative change</v>
      </c>
      <c r="J136" s="7" t="str">
        <f t="shared" si="6"/>
        <v>Low</v>
      </c>
      <c r="K136" s="7">
        <f t="shared" si="7"/>
        <v>1886193</v>
      </c>
      <c r="L136" s="7">
        <f t="shared" si="8"/>
        <v>314614.6488</v>
      </c>
    </row>
    <row r="137">
      <c r="A137" s="5" t="s">
        <v>398</v>
      </c>
      <c r="B137" s="5" t="s">
        <v>399</v>
      </c>
      <c r="C137" s="5" t="s">
        <v>74</v>
      </c>
      <c r="D137" s="6">
        <v>85484.0</v>
      </c>
      <c r="E137" s="7">
        <f t="shared" si="1"/>
        <v>5</v>
      </c>
      <c r="F137" s="7">
        <f t="shared" si="2"/>
        <v>37758</v>
      </c>
      <c r="G137" s="7">
        <f t="shared" si="3"/>
        <v>26061</v>
      </c>
      <c r="H137" s="7" t="str">
        <f t="shared" si="4"/>
        <v>E</v>
      </c>
      <c r="I137" s="7" t="str">
        <f t="shared" si="5"/>
        <v>Transformative change</v>
      </c>
      <c r="J137" s="7" t="str">
        <f t="shared" si="6"/>
        <v>Medium</v>
      </c>
      <c r="K137" s="7">
        <f t="shared" si="7"/>
        <v>2627571</v>
      </c>
      <c r="L137" s="7">
        <f t="shared" si="8"/>
        <v>1652379.225</v>
      </c>
    </row>
    <row r="138">
      <c r="A138" s="5" t="s">
        <v>400</v>
      </c>
      <c r="B138" s="5" t="s">
        <v>401</v>
      </c>
      <c r="C138" s="5" t="s">
        <v>402</v>
      </c>
      <c r="D138" s="6">
        <v>17580.0</v>
      </c>
      <c r="E138" s="7">
        <f t="shared" si="1"/>
        <v>2</v>
      </c>
      <c r="F138" s="7">
        <f t="shared" si="2"/>
        <v>6308</v>
      </c>
      <c r="G138" s="7">
        <f t="shared" si="3"/>
        <v>29199</v>
      </c>
      <c r="H138" s="7" t="str">
        <f t="shared" si="4"/>
        <v>F</v>
      </c>
      <c r="I138" s="7" t="str">
        <f t="shared" si="5"/>
        <v>Transformative change</v>
      </c>
      <c r="J138" s="7" t="str">
        <f t="shared" si="6"/>
        <v>Medium</v>
      </c>
      <c r="K138" s="7">
        <f t="shared" si="7"/>
        <v>3851476</v>
      </c>
      <c r="L138" s="7">
        <f t="shared" si="8"/>
        <v>988631.3158</v>
      </c>
    </row>
    <row r="139">
      <c r="A139" s="5" t="s">
        <v>403</v>
      </c>
      <c r="B139" s="5" t="s">
        <v>404</v>
      </c>
      <c r="C139" s="5" t="s">
        <v>405</v>
      </c>
      <c r="D139" s="6">
        <v>11812.0</v>
      </c>
      <c r="E139" s="7">
        <f t="shared" si="1"/>
        <v>3</v>
      </c>
      <c r="F139" s="7">
        <f t="shared" si="2"/>
        <v>48930</v>
      </c>
      <c r="G139" s="7">
        <f t="shared" si="3"/>
        <v>9006</v>
      </c>
      <c r="H139" s="7" t="str">
        <f t="shared" si="4"/>
        <v>E</v>
      </c>
      <c r="I139" s="7" t="str">
        <f t="shared" si="5"/>
        <v>High ambition</v>
      </c>
      <c r="J139" s="7" t="str">
        <f t="shared" si="6"/>
        <v>Medium</v>
      </c>
      <c r="K139" s="7">
        <f t="shared" si="7"/>
        <v>787151</v>
      </c>
      <c r="L139" s="7">
        <f t="shared" si="8"/>
        <v>551178.013</v>
      </c>
    </row>
    <row r="140">
      <c r="A140" s="5" t="s">
        <v>406</v>
      </c>
      <c r="B140" s="5" t="s">
        <v>407</v>
      </c>
      <c r="C140" s="5" t="s">
        <v>408</v>
      </c>
      <c r="D140" s="6">
        <v>15360.0</v>
      </c>
      <c r="E140" s="7">
        <f t="shared" si="1"/>
        <v>4</v>
      </c>
      <c r="F140" s="7">
        <f t="shared" si="2"/>
        <v>82032</v>
      </c>
      <c r="G140" s="7">
        <f t="shared" si="3"/>
        <v>64487</v>
      </c>
      <c r="H140" s="7" t="str">
        <f t="shared" si="4"/>
        <v>F</v>
      </c>
      <c r="I140" s="7" t="str">
        <f t="shared" si="5"/>
        <v>Transformative change</v>
      </c>
      <c r="J140" s="7" t="str">
        <f t="shared" si="6"/>
        <v>High</v>
      </c>
      <c r="K140" s="7">
        <f t="shared" si="7"/>
        <v>1976666</v>
      </c>
      <c r="L140" s="7">
        <f t="shared" si="8"/>
        <v>179842.3971</v>
      </c>
    </row>
    <row r="141">
      <c r="A141" s="5" t="s">
        <v>409</v>
      </c>
      <c r="B141" s="5" t="s">
        <v>410</v>
      </c>
      <c r="C141" s="5" t="s">
        <v>411</v>
      </c>
      <c r="D141" s="6">
        <v>14865.0</v>
      </c>
      <c r="E141" s="7">
        <f t="shared" si="1"/>
        <v>1</v>
      </c>
      <c r="F141" s="7">
        <f t="shared" si="2"/>
        <v>49677</v>
      </c>
      <c r="G141" s="7">
        <f t="shared" si="3"/>
        <v>40994</v>
      </c>
      <c r="H141" s="7" t="str">
        <f t="shared" si="4"/>
        <v>E</v>
      </c>
      <c r="I141" s="7" t="str">
        <f t="shared" si="5"/>
        <v>Transformative change</v>
      </c>
      <c r="J141" s="7" t="str">
        <f t="shared" si="6"/>
        <v>Medium</v>
      </c>
      <c r="K141" s="7">
        <f t="shared" si="7"/>
        <v>3569316</v>
      </c>
      <c r="L141" s="7">
        <f t="shared" si="8"/>
        <v>2473571.309</v>
      </c>
    </row>
    <row r="142">
      <c r="A142" s="5" t="s">
        <v>412</v>
      </c>
      <c r="B142" s="5" t="s">
        <v>413</v>
      </c>
      <c r="C142" s="5" t="s">
        <v>414</v>
      </c>
      <c r="D142" s="6">
        <v>10659.0</v>
      </c>
      <c r="E142" s="7">
        <f t="shared" si="1"/>
        <v>4</v>
      </c>
      <c r="F142" s="7">
        <f t="shared" si="2"/>
        <v>8162</v>
      </c>
      <c r="G142" s="7">
        <f t="shared" si="3"/>
        <v>1894</v>
      </c>
      <c r="H142" s="7" t="str">
        <f t="shared" si="4"/>
        <v>E</v>
      </c>
      <c r="I142" s="7" t="str">
        <f t="shared" si="5"/>
        <v>Transformative change</v>
      </c>
      <c r="J142" s="7" t="str">
        <f t="shared" si="6"/>
        <v>Low</v>
      </c>
      <c r="K142" s="7">
        <f t="shared" si="7"/>
        <v>260766</v>
      </c>
      <c r="L142" s="7">
        <f t="shared" si="8"/>
        <v>189294.0293</v>
      </c>
    </row>
    <row r="143">
      <c r="A143" s="5" t="s">
        <v>415</v>
      </c>
      <c r="B143" s="5" t="s">
        <v>416</v>
      </c>
      <c r="C143" s="5" t="s">
        <v>77</v>
      </c>
      <c r="D143" s="6">
        <v>14805.0</v>
      </c>
      <c r="E143" s="7">
        <f t="shared" si="1"/>
        <v>5</v>
      </c>
      <c r="F143" s="7">
        <f t="shared" si="2"/>
        <v>48785</v>
      </c>
      <c r="G143" s="7">
        <f t="shared" si="3"/>
        <v>14891</v>
      </c>
      <c r="H143" s="7" t="str">
        <f t="shared" si="4"/>
        <v>G</v>
      </c>
      <c r="I143" s="7" t="str">
        <f t="shared" si="5"/>
        <v>Transformative change</v>
      </c>
      <c r="J143" s="7" t="str">
        <f t="shared" si="6"/>
        <v>Low</v>
      </c>
      <c r="K143" s="7">
        <f t="shared" si="7"/>
        <v>1769287</v>
      </c>
      <c r="L143" s="7">
        <f t="shared" si="8"/>
        <v>948244.5457</v>
      </c>
    </row>
    <row r="144">
      <c r="A144" s="5" t="s">
        <v>417</v>
      </c>
      <c r="B144" s="5" t="s">
        <v>418</v>
      </c>
      <c r="C144" s="5" t="s">
        <v>419</v>
      </c>
      <c r="D144" s="6">
        <v>15023.0</v>
      </c>
      <c r="E144" s="7">
        <f t="shared" si="1"/>
        <v>4</v>
      </c>
      <c r="F144" s="7">
        <f t="shared" si="2"/>
        <v>57668</v>
      </c>
      <c r="G144" s="7">
        <f t="shared" si="3"/>
        <v>42222</v>
      </c>
      <c r="H144" s="7" t="str">
        <f t="shared" si="4"/>
        <v>E</v>
      </c>
      <c r="I144" s="7" t="str">
        <f t="shared" si="5"/>
        <v>Transformative change</v>
      </c>
      <c r="J144" s="7" t="str">
        <f t="shared" si="6"/>
        <v>High</v>
      </c>
      <c r="K144" s="7">
        <f t="shared" si="7"/>
        <v>971410</v>
      </c>
      <c r="L144" s="7">
        <f t="shared" si="8"/>
        <v>525317.6289</v>
      </c>
    </row>
    <row r="145">
      <c r="A145" s="5" t="s">
        <v>420</v>
      </c>
      <c r="B145" s="5" t="s">
        <v>421</v>
      </c>
      <c r="C145" s="5" t="s">
        <v>74</v>
      </c>
      <c r="D145" s="6">
        <v>9864.0</v>
      </c>
      <c r="E145" s="7">
        <f t="shared" si="1"/>
        <v>4</v>
      </c>
      <c r="F145" s="7">
        <f t="shared" si="2"/>
        <v>21972</v>
      </c>
      <c r="G145" s="7">
        <f t="shared" si="3"/>
        <v>47496</v>
      </c>
      <c r="H145" s="7" t="str">
        <f t="shared" si="4"/>
        <v>C</v>
      </c>
      <c r="I145" s="7" t="str">
        <f t="shared" si="5"/>
        <v>Transformative change</v>
      </c>
      <c r="J145" s="7" t="str">
        <f t="shared" si="6"/>
        <v>Medium</v>
      </c>
      <c r="K145" s="7">
        <f t="shared" si="7"/>
        <v>3169373</v>
      </c>
      <c r="L145" s="7">
        <f t="shared" si="8"/>
        <v>1977120.243</v>
      </c>
    </row>
    <row r="146">
      <c r="A146" s="5" t="s">
        <v>422</v>
      </c>
      <c r="B146" s="5" t="s">
        <v>423</v>
      </c>
      <c r="C146" s="5" t="s">
        <v>424</v>
      </c>
      <c r="D146" s="6">
        <v>7851.0</v>
      </c>
      <c r="E146" s="7">
        <f t="shared" si="1"/>
        <v>2</v>
      </c>
      <c r="F146" s="7">
        <f t="shared" si="2"/>
        <v>48368</v>
      </c>
      <c r="G146" s="7">
        <f t="shared" si="3"/>
        <v>31590</v>
      </c>
      <c r="H146" s="7" t="str">
        <f t="shared" si="4"/>
        <v>B</v>
      </c>
      <c r="I146" s="7" t="str">
        <f t="shared" si="5"/>
        <v>High ambition</v>
      </c>
      <c r="J146" s="7" t="str">
        <f t="shared" si="6"/>
        <v>Low</v>
      </c>
      <c r="K146" s="7">
        <f t="shared" si="7"/>
        <v>1232670</v>
      </c>
      <c r="L146" s="7">
        <f t="shared" si="8"/>
        <v>1114141.989</v>
      </c>
    </row>
    <row r="147">
      <c r="A147" s="5" t="s">
        <v>425</v>
      </c>
      <c r="B147" s="5" t="s">
        <v>426</v>
      </c>
      <c r="C147" s="5" t="s">
        <v>427</v>
      </c>
      <c r="D147" s="6">
        <v>11688.0</v>
      </c>
      <c r="E147" s="7">
        <f t="shared" si="1"/>
        <v>2</v>
      </c>
      <c r="F147" s="7">
        <f t="shared" si="2"/>
        <v>68110</v>
      </c>
      <c r="G147" s="7">
        <f t="shared" si="3"/>
        <v>34422</v>
      </c>
      <c r="H147" s="7" t="str">
        <f t="shared" si="4"/>
        <v>A</v>
      </c>
      <c r="I147" s="7" t="str">
        <f t="shared" si="5"/>
        <v>High ambition</v>
      </c>
      <c r="J147" s="7" t="str">
        <f t="shared" si="6"/>
        <v>Low</v>
      </c>
      <c r="K147" s="7">
        <f t="shared" si="7"/>
        <v>146075</v>
      </c>
      <c r="L147" s="7">
        <f t="shared" si="8"/>
        <v>8134.370292</v>
      </c>
    </row>
    <row r="148">
      <c r="A148" s="5" t="s">
        <v>428</v>
      </c>
      <c r="B148" s="5" t="s">
        <v>429</v>
      </c>
      <c r="C148" s="5" t="s">
        <v>430</v>
      </c>
      <c r="D148" s="6">
        <v>9702.0</v>
      </c>
      <c r="E148" s="7">
        <f t="shared" si="1"/>
        <v>1</v>
      </c>
      <c r="F148" s="7">
        <f t="shared" si="2"/>
        <v>11554</v>
      </c>
      <c r="G148" s="7">
        <f t="shared" si="3"/>
        <v>9282</v>
      </c>
      <c r="H148" s="7" t="str">
        <f t="shared" si="4"/>
        <v>A</v>
      </c>
      <c r="I148" s="7" t="str">
        <f t="shared" si="5"/>
        <v>Transformative change</v>
      </c>
      <c r="J148" s="7" t="str">
        <f t="shared" si="6"/>
        <v>Low</v>
      </c>
      <c r="K148" s="7">
        <f t="shared" si="7"/>
        <v>1446466</v>
      </c>
      <c r="L148" s="7">
        <f t="shared" si="8"/>
        <v>879193.124</v>
      </c>
    </row>
    <row r="149">
      <c r="A149" s="5" t="s">
        <v>431</v>
      </c>
      <c r="B149" s="5" t="s">
        <v>432</v>
      </c>
      <c r="C149" s="5" t="s">
        <v>433</v>
      </c>
      <c r="D149" s="6">
        <v>12739.0</v>
      </c>
      <c r="E149" s="7">
        <f t="shared" si="1"/>
        <v>2</v>
      </c>
      <c r="F149" s="7">
        <f t="shared" si="2"/>
        <v>83496</v>
      </c>
      <c r="G149" s="7">
        <f t="shared" si="3"/>
        <v>2399</v>
      </c>
      <c r="H149" s="7" t="str">
        <f t="shared" si="4"/>
        <v>B</v>
      </c>
      <c r="I149" s="7" t="str">
        <f t="shared" si="5"/>
        <v>Transformative change</v>
      </c>
      <c r="J149" s="7" t="str">
        <f t="shared" si="6"/>
        <v>Medium</v>
      </c>
      <c r="K149" s="7">
        <f t="shared" si="7"/>
        <v>1580796</v>
      </c>
      <c r="L149" s="7">
        <f t="shared" si="8"/>
        <v>1410999.878</v>
      </c>
    </row>
    <row r="150">
      <c r="A150" s="5" t="s">
        <v>434</v>
      </c>
      <c r="B150" s="5" t="s">
        <v>435</v>
      </c>
      <c r="C150" s="5" t="s">
        <v>74</v>
      </c>
      <c r="D150" s="6">
        <v>154600.0</v>
      </c>
      <c r="E150" s="7">
        <f t="shared" si="1"/>
        <v>4</v>
      </c>
      <c r="F150" s="7">
        <f t="shared" si="2"/>
        <v>11149</v>
      </c>
      <c r="G150" s="7">
        <f t="shared" si="3"/>
        <v>1365</v>
      </c>
      <c r="H150" s="7" t="str">
        <f t="shared" si="4"/>
        <v>C</v>
      </c>
      <c r="I150" s="7" t="str">
        <f t="shared" si="5"/>
        <v>Transformative change</v>
      </c>
      <c r="J150" s="7" t="str">
        <f t="shared" si="6"/>
        <v>High</v>
      </c>
      <c r="K150" s="7">
        <f t="shared" si="7"/>
        <v>3767565</v>
      </c>
      <c r="L150" s="7">
        <f t="shared" si="8"/>
        <v>2165747.086</v>
      </c>
    </row>
    <row r="151">
      <c r="A151" s="5" t="s">
        <v>436</v>
      </c>
      <c r="B151" s="5" t="s">
        <v>437</v>
      </c>
      <c r="C151" s="5" t="s">
        <v>438</v>
      </c>
      <c r="D151" s="6">
        <v>5165.0</v>
      </c>
      <c r="E151" s="7">
        <f t="shared" si="1"/>
        <v>1</v>
      </c>
      <c r="F151" s="7">
        <f t="shared" si="2"/>
        <v>81151</v>
      </c>
      <c r="G151" s="7">
        <f t="shared" si="3"/>
        <v>8351</v>
      </c>
      <c r="H151" s="7" t="str">
        <f t="shared" si="4"/>
        <v>G</v>
      </c>
      <c r="I151" s="7" t="str">
        <f t="shared" si="5"/>
        <v>Transformative change</v>
      </c>
      <c r="J151" s="7" t="str">
        <f t="shared" si="6"/>
        <v>Medium</v>
      </c>
      <c r="K151" s="7">
        <f t="shared" si="7"/>
        <v>374124</v>
      </c>
      <c r="L151" s="7">
        <f t="shared" si="8"/>
        <v>349735.0517</v>
      </c>
    </row>
    <row r="152">
      <c r="A152" s="5" t="s">
        <v>439</v>
      </c>
      <c r="B152" s="5" t="s">
        <v>440</v>
      </c>
      <c r="C152" s="5" t="s">
        <v>74</v>
      </c>
      <c r="D152" s="6">
        <v>18218.0</v>
      </c>
      <c r="E152" s="7">
        <f t="shared" si="1"/>
        <v>4</v>
      </c>
      <c r="F152" s="7">
        <f t="shared" si="2"/>
        <v>44407</v>
      </c>
      <c r="G152" s="7">
        <f t="shared" si="3"/>
        <v>39644</v>
      </c>
      <c r="H152" s="7" t="str">
        <f t="shared" si="4"/>
        <v>F</v>
      </c>
      <c r="I152" s="7" t="str">
        <f t="shared" si="5"/>
        <v>Transformative change</v>
      </c>
      <c r="J152" s="7" t="str">
        <f t="shared" si="6"/>
        <v>High</v>
      </c>
      <c r="K152" s="7">
        <f t="shared" si="7"/>
        <v>2612167</v>
      </c>
      <c r="L152" s="7">
        <f t="shared" si="8"/>
        <v>864551.1039</v>
      </c>
    </row>
    <row r="153">
      <c r="A153" s="5" t="s">
        <v>441</v>
      </c>
      <c r="B153" s="5" t="s">
        <v>442</v>
      </c>
      <c r="C153" s="5" t="s">
        <v>74</v>
      </c>
      <c r="D153" s="6">
        <v>5862.0</v>
      </c>
      <c r="E153" s="7">
        <f t="shared" si="1"/>
        <v>2</v>
      </c>
      <c r="F153" s="7">
        <f t="shared" si="2"/>
        <v>28167</v>
      </c>
      <c r="G153" s="7">
        <f t="shared" si="3"/>
        <v>24063</v>
      </c>
      <c r="H153" s="7" t="str">
        <f t="shared" si="4"/>
        <v>E</v>
      </c>
      <c r="I153" s="7" t="str">
        <f t="shared" si="5"/>
        <v>Transformative change</v>
      </c>
      <c r="J153" s="7" t="str">
        <f t="shared" si="6"/>
        <v>High</v>
      </c>
      <c r="K153" s="7">
        <f t="shared" si="7"/>
        <v>1303735</v>
      </c>
      <c r="L153" s="7">
        <f t="shared" si="8"/>
        <v>676195.8899</v>
      </c>
    </row>
    <row r="154">
      <c r="A154" s="5" t="s">
        <v>443</v>
      </c>
      <c r="B154" s="5" t="s">
        <v>444</v>
      </c>
      <c r="C154" s="5" t="s">
        <v>74</v>
      </c>
      <c r="D154" s="6">
        <v>93321.0</v>
      </c>
      <c r="E154" s="7">
        <f t="shared" si="1"/>
        <v>2</v>
      </c>
      <c r="F154" s="7">
        <f t="shared" si="2"/>
        <v>73150</v>
      </c>
      <c r="G154" s="7">
        <f t="shared" si="3"/>
        <v>63368</v>
      </c>
      <c r="H154" s="7" t="str">
        <f t="shared" si="4"/>
        <v>A</v>
      </c>
      <c r="I154" s="7" t="str">
        <f t="shared" si="5"/>
        <v>Transformative change</v>
      </c>
      <c r="J154" s="7" t="str">
        <f t="shared" si="6"/>
        <v>Low</v>
      </c>
      <c r="K154" s="7">
        <f t="shared" si="7"/>
        <v>860102</v>
      </c>
      <c r="L154" s="7">
        <f t="shared" si="8"/>
        <v>645312.2618</v>
      </c>
    </row>
    <row r="155">
      <c r="A155" s="5" t="s">
        <v>445</v>
      </c>
      <c r="B155" s="5" t="s">
        <v>446</v>
      </c>
      <c r="C155" s="5" t="s">
        <v>447</v>
      </c>
      <c r="D155" s="6">
        <v>15811.0</v>
      </c>
      <c r="E155" s="7">
        <f t="shared" si="1"/>
        <v>1</v>
      </c>
      <c r="F155" s="7">
        <f t="shared" si="2"/>
        <v>34090</v>
      </c>
      <c r="G155" s="7">
        <f t="shared" si="3"/>
        <v>47464</v>
      </c>
      <c r="H155" s="7" t="str">
        <f t="shared" si="4"/>
        <v>D</v>
      </c>
      <c r="I155" s="7" t="str">
        <f t="shared" si="5"/>
        <v>Transformative change</v>
      </c>
      <c r="J155" s="7" t="str">
        <f t="shared" si="6"/>
        <v>High</v>
      </c>
      <c r="K155" s="7">
        <f t="shared" si="7"/>
        <v>325866</v>
      </c>
      <c r="L155" s="7">
        <f t="shared" si="8"/>
        <v>271375.8941</v>
      </c>
    </row>
    <row r="156">
      <c r="A156" s="5" t="s">
        <v>448</v>
      </c>
      <c r="B156" s="5" t="s">
        <v>449</v>
      </c>
      <c r="C156" s="5" t="s">
        <v>450</v>
      </c>
      <c r="D156" s="6">
        <v>237720.0</v>
      </c>
      <c r="E156" s="7">
        <f t="shared" si="1"/>
        <v>2</v>
      </c>
      <c r="F156" s="7">
        <f t="shared" si="2"/>
        <v>38548</v>
      </c>
      <c r="G156" s="7">
        <f t="shared" si="3"/>
        <v>41592</v>
      </c>
      <c r="H156" s="7" t="str">
        <f t="shared" si="4"/>
        <v>C</v>
      </c>
      <c r="I156" s="7" t="str">
        <f t="shared" si="5"/>
        <v>Transformative change</v>
      </c>
      <c r="J156" s="7" t="str">
        <f t="shared" si="6"/>
        <v>Low</v>
      </c>
      <c r="K156" s="7">
        <f t="shared" si="7"/>
        <v>2250600</v>
      </c>
      <c r="L156" s="7">
        <f t="shared" si="8"/>
        <v>1279195.09</v>
      </c>
    </row>
    <row r="157">
      <c r="A157" s="5" t="s">
        <v>451</v>
      </c>
      <c r="B157" s="5" t="s">
        <v>452</v>
      </c>
      <c r="C157" s="5" t="s">
        <v>453</v>
      </c>
      <c r="D157" s="6">
        <v>10402.0</v>
      </c>
      <c r="E157" s="7">
        <f t="shared" si="1"/>
        <v>2</v>
      </c>
      <c r="F157" s="7">
        <f t="shared" si="2"/>
        <v>57339</v>
      </c>
      <c r="G157" s="7">
        <f t="shared" si="3"/>
        <v>13844</v>
      </c>
      <c r="H157" s="7" t="str">
        <f t="shared" si="4"/>
        <v>G</v>
      </c>
      <c r="I157" s="7" t="str">
        <f t="shared" si="5"/>
        <v>Transformative change</v>
      </c>
      <c r="J157" s="7" t="str">
        <f t="shared" si="6"/>
        <v>Medium</v>
      </c>
      <c r="K157" s="7">
        <f t="shared" si="7"/>
        <v>460398</v>
      </c>
      <c r="L157" s="7">
        <f t="shared" si="8"/>
        <v>116945.4654</v>
      </c>
    </row>
    <row r="158">
      <c r="A158" s="5" t="s">
        <v>454</v>
      </c>
      <c r="B158" s="5" t="s">
        <v>421</v>
      </c>
      <c r="C158" s="5" t="s">
        <v>455</v>
      </c>
      <c r="D158" s="6">
        <v>7333.0</v>
      </c>
      <c r="E158" s="7">
        <f t="shared" si="1"/>
        <v>4</v>
      </c>
      <c r="F158" s="7">
        <f t="shared" si="2"/>
        <v>6431</v>
      </c>
      <c r="G158" s="7">
        <f t="shared" si="3"/>
        <v>446</v>
      </c>
      <c r="H158" s="7" t="str">
        <f t="shared" si="4"/>
        <v>A</v>
      </c>
      <c r="I158" s="7" t="str">
        <f t="shared" si="5"/>
        <v>Transformative change</v>
      </c>
      <c r="J158" s="7" t="str">
        <f t="shared" si="6"/>
        <v>Medium</v>
      </c>
      <c r="K158" s="7">
        <f t="shared" si="7"/>
        <v>1751670</v>
      </c>
      <c r="L158" s="7">
        <f t="shared" si="8"/>
        <v>290073.4641</v>
      </c>
    </row>
    <row r="159">
      <c r="A159" s="5" t="s">
        <v>456</v>
      </c>
      <c r="B159" s="5" t="s">
        <v>457</v>
      </c>
      <c r="C159" s="5" t="s">
        <v>458</v>
      </c>
      <c r="D159" s="6">
        <v>12089.0</v>
      </c>
      <c r="E159" s="7">
        <f t="shared" si="1"/>
        <v>3</v>
      </c>
      <c r="F159" s="7">
        <f t="shared" si="2"/>
        <v>60667</v>
      </c>
      <c r="G159" s="7">
        <f t="shared" si="3"/>
        <v>36409</v>
      </c>
      <c r="H159" s="7" t="str">
        <f t="shared" si="4"/>
        <v>E</v>
      </c>
      <c r="I159" s="7" t="str">
        <f t="shared" si="5"/>
        <v>Transformative change</v>
      </c>
      <c r="J159" s="7" t="str">
        <f t="shared" si="6"/>
        <v>Medium</v>
      </c>
      <c r="K159" s="7">
        <f t="shared" si="7"/>
        <v>2879522</v>
      </c>
      <c r="L159" s="7">
        <f t="shared" si="8"/>
        <v>583761.4496</v>
      </c>
    </row>
    <row r="160">
      <c r="A160" s="5" t="s">
        <v>459</v>
      </c>
      <c r="B160" s="5" t="s">
        <v>460</v>
      </c>
      <c r="C160" s="5" t="s">
        <v>461</v>
      </c>
      <c r="D160" s="6">
        <v>19954.0</v>
      </c>
      <c r="E160" s="7">
        <f t="shared" si="1"/>
        <v>4</v>
      </c>
      <c r="F160" s="7">
        <f t="shared" si="2"/>
        <v>2150</v>
      </c>
      <c r="G160" s="7">
        <f t="shared" si="3"/>
        <v>7352</v>
      </c>
      <c r="H160" s="7" t="str">
        <f t="shared" si="4"/>
        <v>B</v>
      </c>
      <c r="I160" s="7" t="str">
        <f t="shared" si="5"/>
        <v>Transformative change</v>
      </c>
      <c r="J160" s="7" t="str">
        <f t="shared" si="6"/>
        <v>Medium</v>
      </c>
      <c r="K160" s="7">
        <f t="shared" si="7"/>
        <v>3603067</v>
      </c>
      <c r="L160" s="7">
        <f t="shared" si="8"/>
        <v>430800.9234</v>
      </c>
    </row>
    <row r="161">
      <c r="A161" s="5" t="s">
        <v>462</v>
      </c>
      <c r="B161" s="5" t="s">
        <v>463</v>
      </c>
      <c r="C161" s="5" t="s">
        <v>74</v>
      </c>
      <c r="D161" s="6">
        <v>35707.0</v>
      </c>
      <c r="E161" s="7">
        <f t="shared" si="1"/>
        <v>1</v>
      </c>
      <c r="F161" s="7">
        <f t="shared" si="2"/>
        <v>76666</v>
      </c>
      <c r="G161" s="7">
        <f t="shared" si="3"/>
        <v>46208</v>
      </c>
      <c r="H161" s="7" t="str">
        <f t="shared" si="4"/>
        <v>A</v>
      </c>
      <c r="I161" s="7" t="str">
        <f t="shared" si="5"/>
        <v>Transformative change</v>
      </c>
      <c r="J161" s="7" t="str">
        <f t="shared" si="6"/>
        <v>Medium</v>
      </c>
      <c r="K161" s="7">
        <f t="shared" si="7"/>
        <v>2900009</v>
      </c>
      <c r="L161" s="7">
        <f t="shared" si="8"/>
        <v>51624.11043</v>
      </c>
    </row>
    <row r="162">
      <c r="A162" s="5" t="s">
        <v>464</v>
      </c>
      <c r="B162" s="5" t="s">
        <v>465</v>
      </c>
      <c r="C162" s="5" t="s">
        <v>466</v>
      </c>
      <c r="D162" s="6">
        <v>17939.0</v>
      </c>
      <c r="E162" s="7">
        <f t="shared" si="1"/>
        <v>3</v>
      </c>
      <c r="F162" s="7">
        <f t="shared" si="2"/>
        <v>73967</v>
      </c>
      <c r="G162" s="7">
        <f t="shared" si="3"/>
        <v>14125</v>
      </c>
      <c r="H162" s="7" t="str">
        <f t="shared" si="4"/>
        <v>F</v>
      </c>
      <c r="I162" s="7" t="str">
        <f t="shared" si="5"/>
        <v>Transformative change</v>
      </c>
      <c r="J162" s="7" t="str">
        <f t="shared" si="6"/>
        <v>High</v>
      </c>
      <c r="K162" s="7">
        <f t="shared" si="7"/>
        <v>1692851</v>
      </c>
      <c r="L162" s="7">
        <f t="shared" si="8"/>
        <v>46406.49796</v>
      </c>
    </row>
    <row r="163">
      <c r="A163" s="5" t="s">
        <v>467</v>
      </c>
      <c r="B163" s="5" t="s">
        <v>468</v>
      </c>
      <c r="C163" s="5" t="s">
        <v>469</v>
      </c>
      <c r="D163" s="6">
        <v>18553.0</v>
      </c>
      <c r="E163" s="7">
        <f t="shared" si="1"/>
        <v>4</v>
      </c>
      <c r="F163" s="7">
        <f t="shared" si="2"/>
        <v>36297</v>
      </c>
      <c r="G163" s="7">
        <f t="shared" si="3"/>
        <v>22610</v>
      </c>
      <c r="H163" s="7" t="str">
        <f t="shared" si="4"/>
        <v>F</v>
      </c>
      <c r="I163" s="7" t="str">
        <f t="shared" si="5"/>
        <v>High ambition</v>
      </c>
      <c r="J163" s="7" t="str">
        <f t="shared" si="6"/>
        <v>High</v>
      </c>
      <c r="K163" s="7">
        <f t="shared" si="7"/>
        <v>779061</v>
      </c>
      <c r="L163" s="7">
        <f t="shared" si="8"/>
        <v>273448.4876</v>
      </c>
    </row>
    <row r="164">
      <c r="A164" s="5" t="s">
        <v>470</v>
      </c>
      <c r="B164" s="5" t="s">
        <v>471</v>
      </c>
      <c r="C164" s="5" t="s">
        <v>472</v>
      </c>
      <c r="D164" s="6">
        <v>5689.0</v>
      </c>
      <c r="E164" s="7">
        <f t="shared" si="1"/>
        <v>3</v>
      </c>
      <c r="F164" s="7">
        <f t="shared" si="2"/>
        <v>45986</v>
      </c>
      <c r="G164" s="7">
        <f t="shared" si="3"/>
        <v>4493</v>
      </c>
      <c r="H164" s="7" t="str">
        <f t="shared" si="4"/>
        <v>F</v>
      </c>
      <c r="I164" s="7" t="str">
        <f t="shared" si="5"/>
        <v>Transformative change</v>
      </c>
      <c r="J164" s="7" t="str">
        <f t="shared" si="6"/>
        <v>Medium</v>
      </c>
      <c r="K164" s="7">
        <f t="shared" si="7"/>
        <v>3447546</v>
      </c>
      <c r="L164" s="7">
        <f t="shared" si="8"/>
        <v>336064.1611</v>
      </c>
    </row>
    <row r="165">
      <c r="A165" s="5" t="s">
        <v>473</v>
      </c>
      <c r="B165" s="5" t="s">
        <v>474</v>
      </c>
      <c r="C165" s="5" t="s">
        <v>475</v>
      </c>
      <c r="D165" s="6">
        <v>17786.0</v>
      </c>
      <c r="E165" s="7">
        <f t="shared" si="1"/>
        <v>5</v>
      </c>
      <c r="F165" s="7">
        <f t="shared" si="2"/>
        <v>95477</v>
      </c>
      <c r="G165" s="7">
        <f t="shared" si="3"/>
        <v>6026</v>
      </c>
      <c r="H165" s="7" t="str">
        <f t="shared" si="4"/>
        <v>E</v>
      </c>
      <c r="I165" s="7" t="str">
        <f t="shared" si="5"/>
        <v>Transformative change</v>
      </c>
      <c r="J165" s="7" t="str">
        <f t="shared" si="6"/>
        <v>High</v>
      </c>
      <c r="K165" s="7">
        <f t="shared" si="7"/>
        <v>1573770</v>
      </c>
      <c r="L165" s="7">
        <f t="shared" si="8"/>
        <v>914308.6258</v>
      </c>
    </row>
    <row r="166">
      <c r="A166" s="5" t="s">
        <v>476</v>
      </c>
      <c r="B166" s="5" t="s">
        <v>477</v>
      </c>
      <c r="C166" s="5" t="s">
        <v>478</v>
      </c>
      <c r="D166" s="6">
        <v>7582.0</v>
      </c>
      <c r="E166" s="7">
        <f t="shared" si="1"/>
        <v>2</v>
      </c>
      <c r="F166" s="7">
        <f t="shared" si="2"/>
        <v>87634</v>
      </c>
      <c r="G166" s="7">
        <f t="shared" si="3"/>
        <v>19320</v>
      </c>
      <c r="H166" s="7" t="str">
        <f t="shared" si="4"/>
        <v>D</v>
      </c>
      <c r="I166" s="7" t="str">
        <f t="shared" si="5"/>
        <v>Transformative change</v>
      </c>
      <c r="J166" s="7" t="str">
        <f t="shared" si="6"/>
        <v>Low</v>
      </c>
      <c r="K166" s="7">
        <f t="shared" si="7"/>
        <v>215882</v>
      </c>
      <c r="L166" s="7">
        <f t="shared" si="8"/>
        <v>2275.332407</v>
      </c>
    </row>
    <row r="167">
      <c r="A167" s="5" t="s">
        <v>479</v>
      </c>
      <c r="B167" s="5" t="s">
        <v>480</v>
      </c>
      <c r="C167" s="5" t="s">
        <v>481</v>
      </c>
      <c r="D167" s="6">
        <v>17095.0</v>
      </c>
      <c r="E167" s="7">
        <f t="shared" si="1"/>
        <v>4</v>
      </c>
      <c r="F167" s="7">
        <f t="shared" si="2"/>
        <v>38688</v>
      </c>
      <c r="G167" s="7">
        <f t="shared" si="3"/>
        <v>49337</v>
      </c>
      <c r="H167" s="7" t="str">
        <f t="shared" si="4"/>
        <v>E</v>
      </c>
      <c r="I167" s="7" t="str">
        <f t="shared" si="5"/>
        <v>High ambition</v>
      </c>
      <c r="J167" s="7" t="str">
        <f t="shared" si="6"/>
        <v>Medium</v>
      </c>
      <c r="K167" s="7">
        <f t="shared" si="7"/>
        <v>2084161</v>
      </c>
      <c r="L167" s="7">
        <f t="shared" si="8"/>
        <v>1556331.95</v>
      </c>
    </row>
    <row r="168">
      <c r="A168" s="5" t="s">
        <v>482</v>
      </c>
      <c r="B168" s="5" t="s">
        <v>483</v>
      </c>
      <c r="C168" s="5" t="s">
        <v>484</v>
      </c>
      <c r="D168" s="6">
        <v>13864.0</v>
      </c>
      <c r="E168" s="7">
        <f t="shared" si="1"/>
        <v>3</v>
      </c>
      <c r="F168" s="7">
        <f t="shared" si="2"/>
        <v>90663</v>
      </c>
      <c r="G168" s="7">
        <f t="shared" si="3"/>
        <v>87581</v>
      </c>
      <c r="H168" s="7" t="str">
        <f t="shared" si="4"/>
        <v>A</v>
      </c>
      <c r="I168" s="7" t="str">
        <f t="shared" si="5"/>
        <v>Transformative change</v>
      </c>
      <c r="J168" s="7" t="str">
        <f t="shared" si="6"/>
        <v>Medium</v>
      </c>
      <c r="K168" s="7">
        <f t="shared" si="7"/>
        <v>966150</v>
      </c>
      <c r="L168" s="7">
        <f t="shared" si="8"/>
        <v>531941.8806</v>
      </c>
    </row>
    <row r="169">
      <c r="A169" s="5" t="s">
        <v>485</v>
      </c>
      <c r="B169" s="5" t="s">
        <v>486</v>
      </c>
      <c r="C169" s="5" t="s">
        <v>487</v>
      </c>
      <c r="D169" s="6">
        <v>496131.0</v>
      </c>
      <c r="E169" s="7">
        <f t="shared" si="1"/>
        <v>1</v>
      </c>
      <c r="F169" s="7">
        <f t="shared" si="2"/>
        <v>62640</v>
      </c>
      <c r="G169" s="7">
        <f t="shared" si="3"/>
        <v>2378</v>
      </c>
      <c r="H169" s="7" t="str">
        <f t="shared" si="4"/>
        <v>G</v>
      </c>
      <c r="I169" s="7" t="str">
        <f t="shared" si="5"/>
        <v>Transformative change</v>
      </c>
      <c r="J169" s="7" t="str">
        <f t="shared" si="6"/>
        <v>High</v>
      </c>
      <c r="K169" s="7">
        <f t="shared" si="7"/>
        <v>2499827</v>
      </c>
      <c r="L169" s="7">
        <f t="shared" si="8"/>
        <v>1251845.136</v>
      </c>
    </row>
    <row r="170">
      <c r="A170" s="5" t="s">
        <v>488</v>
      </c>
      <c r="B170" s="5" t="s">
        <v>489</v>
      </c>
      <c r="C170" s="5" t="s">
        <v>490</v>
      </c>
      <c r="D170" s="6">
        <v>18265.0</v>
      </c>
      <c r="E170" s="7">
        <f t="shared" si="1"/>
        <v>4</v>
      </c>
      <c r="F170" s="7">
        <f t="shared" si="2"/>
        <v>58709</v>
      </c>
      <c r="G170" s="7">
        <f t="shared" si="3"/>
        <v>14096</v>
      </c>
      <c r="H170" s="7" t="str">
        <f t="shared" si="4"/>
        <v>F</v>
      </c>
      <c r="I170" s="7" t="str">
        <f t="shared" si="5"/>
        <v>Transformative change</v>
      </c>
      <c r="J170" s="7" t="str">
        <f t="shared" si="6"/>
        <v>Medium</v>
      </c>
      <c r="K170" s="7">
        <f t="shared" si="7"/>
        <v>597122</v>
      </c>
      <c r="L170" s="7">
        <f t="shared" si="8"/>
        <v>301599.3633</v>
      </c>
    </row>
    <row r="171">
      <c r="A171" s="5" t="s">
        <v>491</v>
      </c>
      <c r="B171" s="5" t="s">
        <v>492</v>
      </c>
      <c r="C171" s="5" t="s">
        <v>493</v>
      </c>
      <c r="D171" s="6">
        <v>10827.0</v>
      </c>
      <c r="E171" s="7">
        <f t="shared" si="1"/>
        <v>2</v>
      </c>
      <c r="F171" s="7">
        <f t="shared" si="2"/>
        <v>48962</v>
      </c>
      <c r="G171" s="7">
        <f t="shared" si="3"/>
        <v>4707</v>
      </c>
      <c r="H171" s="7" t="str">
        <f t="shared" si="4"/>
        <v>D</v>
      </c>
      <c r="I171" s="7" t="str">
        <f t="shared" si="5"/>
        <v>Transformative change</v>
      </c>
      <c r="J171" s="7" t="str">
        <f t="shared" si="6"/>
        <v>Low</v>
      </c>
      <c r="K171" s="7">
        <f t="shared" si="7"/>
        <v>1170169</v>
      </c>
      <c r="L171" s="7">
        <f t="shared" si="8"/>
        <v>680437.2975</v>
      </c>
    </row>
    <row r="172">
      <c r="A172" s="5" t="s">
        <v>494</v>
      </c>
      <c r="B172" s="5" t="s">
        <v>495</v>
      </c>
      <c r="C172" s="5" t="s">
        <v>496</v>
      </c>
      <c r="D172" s="6">
        <v>6929.0</v>
      </c>
      <c r="E172" s="7">
        <f t="shared" si="1"/>
        <v>5</v>
      </c>
      <c r="F172" s="7">
        <f t="shared" si="2"/>
        <v>88375</v>
      </c>
      <c r="G172" s="7">
        <f t="shared" si="3"/>
        <v>70285</v>
      </c>
      <c r="H172" s="7" t="str">
        <f t="shared" si="4"/>
        <v>B</v>
      </c>
      <c r="I172" s="7" t="str">
        <f t="shared" si="5"/>
        <v>Transformative change</v>
      </c>
      <c r="J172" s="7" t="str">
        <f t="shared" si="6"/>
        <v>High</v>
      </c>
      <c r="K172" s="7">
        <f t="shared" si="7"/>
        <v>3642594</v>
      </c>
      <c r="L172" s="7">
        <f t="shared" si="8"/>
        <v>1219891.386</v>
      </c>
    </row>
    <row r="173">
      <c r="A173" s="5" t="s">
        <v>497</v>
      </c>
      <c r="B173" s="5" t="s">
        <v>498</v>
      </c>
      <c r="C173" s="5" t="s">
        <v>499</v>
      </c>
      <c r="D173" s="6">
        <v>12685.0</v>
      </c>
      <c r="E173" s="7">
        <f t="shared" si="1"/>
        <v>1</v>
      </c>
      <c r="F173" s="7">
        <f t="shared" si="2"/>
        <v>20936</v>
      </c>
      <c r="G173" s="7">
        <f t="shared" si="3"/>
        <v>32633</v>
      </c>
      <c r="H173" s="7" t="str">
        <f t="shared" si="4"/>
        <v>B</v>
      </c>
      <c r="I173" s="7" t="str">
        <f t="shared" si="5"/>
        <v>Transformative change</v>
      </c>
      <c r="J173" s="7" t="str">
        <f t="shared" si="6"/>
        <v>High</v>
      </c>
      <c r="K173" s="7">
        <f t="shared" si="7"/>
        <v>2198220</v>
      </c>
      <c r="L173" s="7">
        <f t="shared" si="8"/>
        <v>671313.023</v>
      </c>
    </row>
    <row r="174">
      <c r="A174" s="5" t="s">
        <v>500</v>
      </c>
      <c r="B174" s="5" t="s">
        <v>501</v>
      </c>
      <c r="C174" s="5" t="s">
        <v>74</v>
      </c>
      <c r="D174" s="6">
        <v>5961.0</v>
      </c>
      <c r="E174" s="7">
        <f t="shared" si="1"/>
        <v>3</v>
      </c>
      <c r="F174" s="7">
        <f t="shared" si="2"/>
        <v>88864</v>
      </c>
      <c r="G174" s="7">
        <f t="shared" si="3"/>
        <v>28997</v>
      </c>
      <c r="H174" s="7" t="str">
        <f t="shared" si="4"/>
        <v>F</v>
      </c>
      <c r="I174" s="7" t="str">
        <f t="shared" si="5"/>
        <v>Transformative change</v>
      </c>
      <c r="J174" s="7" t="str">
        <f t="shared" si="6"/>
        <v>Low</v>
      </c>
      <c r="K174" s="7">
        <f t="shared" si="7"/>
        <v>2389503</v>
      </c>
      <c r="L174" s="7">
        <f t="shared" si="8"/>
        <v>271280.8607</v>
      </c>
    </row>
    <row r="175">
      <c r="A175" s="5" t="s">
        <v>502</v>
      </c>
      <c r="B175" s="5" t="s">
        <v>457</v>
      </c>
      <c r="C175" s="5" t="s">
        <v>433</v>
      </c>
      <c r="D175" s="6">
        <v>15309.0</v>
      </c>
      <c r="E175" s="7">
        <f t="shared" si="1"/>
        <v>2</v>
      </c>
      <c r="F175" s="7">
        <f t="shared" si="2"/>
        <v>69274</v>
      </c>
      <c r="G175" s="7">
        <f t="shared" si="3"/>
        <v>5310</v>
      </c>
      <c r="H175" s="7" t="str">
        <f t="shared" si="4"/>
        <v>C</v>
      </c>
      <c r="I175" s="7" t="str">
        <f t="shared" si="5"/>
        <v>Transformative change</v>
      </c>
      <c r="J175" s="7" t="str">
        <f t="shared" si="6"/>
        <v>High</v>
      </c>
      <c r="K175" s="7">
        <f t="shared" si="7"/>
        <v>2198064</v>
      </c>
      <c r="L175" s="7">
        <f t="shared" si="8"/>
        <v>1272000.563</v>
      </c>
    </row>
    <row r="176">
      <c r="A176" s="5" t="s">
        <v>503</v>
      </c>
      <c r="B176" s="5" t="s">
        <v>504</v>
      </c>
      <c r="C176" s="5" t="s">
        <v>505</v>
      </c>
      <c r="D176" s="6">
        <v>536921.0</v>
      </c>
      <c r="E176" s="7">
        <f t="shared" si="1"/>
        <v>2</v>
      </c>
      <c r="F176" s="7">
        <f t="shared" si="2"/>
        <v>73144</v>
      </c>
      <c r="G176" s="7">
        <f t="shared" si="3"/>
        <v>12735</v>
      </c>
      <c r="H176" s="7" t="str">
        <f t="shared" si="4"/>
        <v>B</v>
      </c>
      <c r="I176" s="7" t="str">
        <f t="shared" si="5"/>
        <v>Transformative change</v>
      </c>
      <c r="J176" s="7" t="str">
        <f t="shared" si="6"/>
        <v>High</v>
      </c>
      <c r="K176" s="7">
        <f t="shared" si="7"/>
        <v>2469648</v>
      </c>
      <c r="L176" s="7">
        <f t="shared" si="8"/>
        <v>583106.0661</v>
      </c>
    </row>
    <row r="177">
      <c r="A177" s="5" t="s">
        <v>506</v>
      </c>
      <c r="B177" s="5" t="s">
        <v>507</v>
      </c>
      <c r="C177" s="5" t="s">
        <v>508</v>
      </c>
      <c r="D177" s="6">
        <v>16946.0</v>
      </c>
      <c r="E177" s="7">
        <f t="shared" si="1"/>
        <v>1</v>
      </c>
      <c r="F177" s="7">
        <f t="shared" si="2"/>
        <v>89925</v>
      </c>
      <c r="G177" s="7">
        <f t="shared" si="3"/>
        <v>34223</v>
      </c>
      <c r="H177" s="7" t="str">
        <f t="shared" si="4"/>
        <v>C</v>
      </c>
      <c r="I177" s="7" t="str">
        <f t="shared" si="5"/>
        <v>Transformative change</v>
      </c>
      <c r="J177" s="7" t="str">
        <f t="shared" si="6"/>
        <v>High</v>
      </c>
      <c r="K177" s="7">
        <f t="shared" si="7"/>
        <v>1755855</v>
      </c>
      <c r="L177" s="7">
        <f t="shared" si="8"/>
        <v>1630248.152</v>
      </c>
    </row>
    <row r="178">
      <c r="A178" s="5" t="s">
        <v>509</v>
      </c>
      <c r="B178" s="5" t="s">
        <v>510</v>
      </c>
      <c r="C178" s="5" t="s">
        <v>511</v>
      </c>
      <c r="D178" s="6">
        <v>5096.0</v>
      </c>
      <c r="E178" s="7">
        <f t="shared" si="1"/>
        <v>5</v>
      </c>
      <c r="F178" s="7">
        <f t="shared" si="2"/>
        <v>89656</v>
      </c>
      <c r="G178" s="7">
        <f t="shared" si="3"/>
        <v>2007</v>
      </c>
      <c r="H178" s="7" t="str">
        <f t="shared" si="4"/>
        <v>A</v>
      </c>
      <c r="I178" s="7" t="str">
        <f t="shared" si="5"/>
        <v>High ambition</v>
      </c>
      <c r="J178" s="7" t="str">
        <f t="shared" si="6"/>
        <v>Low</v>
      </c>
      <c r="K178" s="7">
        <f t="shared" si="7"/>
        <v>2864999</v>
      </c>
      <c r="L178" s="7">
        <f t="shared" si="8"/>
        <v>1139602.48</v>
      </c>
    </row>
    <row r="179">
      <c r="A179" s="5" t="s">
        <v>512</v>
      </c>
      <c r="B179" s="5" t="s">
        <v>513</v>
      </c>
      <c r="C179" s="5" t="s">
        <v>153</v>
      </c>
      <c r="D179" s="6">
        <v>7134.0</v>
      </c>
      <c r="E179" s="7">
        <f t="shared" si="1"/>
        <v>1</v>
      </c>
      <c r="F179" s="7">
        <f t="shared" si="2"/>
        <v>68930</v>
      </c>
      <c r="G179" s="7">
        <f t="shared" si="3"/>
        <v>4239</v>
      </c>
      <c r="H179" s="7" t="str">
        <f t="shared" si="4"/>
        <v>C</v>
      </c>
      <c r="I179" s="7" t="str">
        <f t="shared" si="5"/>
        <v>Transformative change</v>
      </c>
      <c r="J179" s="7" t="str">
        <f t="shared" si="6"/>
        <v>High</v>
      </c>
      <c r="K179" s="7">
        <f t="shared" si="7"/>
        <v>3974419</v>
      </c>
      <c r="L179" s="7">
        <f t="shared" si="8"/>
        <v>211960.285</v>
      </c>
    </row>
    <row r="180">
      <c r="A180" s="5" t="s">
        <v>514</v>
      </c>
      <c r="B180" s="5" t="s">
        <v>515</v>
      </c>
      <c r="C180" s="5" t="s">
        <v>516</v>
      </c>
      <c r="D180" s="6">
        <v>18324.0</v>
      </c>
      <c r="E180" s="7">
        <f t="shared" si="1"/>
        <v>5</v>
      </c>
      <c r="F180" s="7">
        <f t="shared" si="2"/>
        <v>39562</v>
      </c>
      <c r="G180" s="7">
        <f t="shared" si="3"/>
        <v>49449</v>
      </c>
      <c r="H180" s="7" t="str">
        <f t="shared" si="4"/>
        <v>A</v>
      </c>
      <c r="I180" s="7" t="str">
        <f t="shared" si="5"/>
        <v>High ambition</v>
      </c>
      <c r="J180" s="7" t="str">
        <f t="shared" si="6"/>
        <v>High</v>
      </c>
      <c r="K180" s="7">
        <f t="shared" si="7"/>
        <v>3586603</v>
      </c>
      <c r="L180" s="7">
        <f t="shared" si="8"/>
        <v>1225220.748</v>
      </c>
    </row>
    <row r="181">
      <c r="A181" s="5" t="s">
        <v>517</v>
      </c>
      <c r="B181" s="5" t="s">
        <v>518</v>
      </c>
      <c r="C181" s="5" t="s">
        <v>74</v>
      </c>
      <c r="D181" s="6">
        <v>15537.0</v>
      </c>
      <c r="E181" s="7">
        <f t="shared" si="1"/>
        <v>2</v>
      </c>
      <c r="F181" s="7">
        <f t="shared" si="2"/>
        <v>81314</v>
      </c>
      <c r="G181" s="7">
        <f t="shared" si="3"/>
        <v>69435</v>
      </c>
      <c r="H181" s="7" t="str">
        <f t="shared" si="4"/>
        <v>G</v>
      </c>
      <c r="I181" s="7" t="str">
        <f t="shared" si="5"/>
        <v>Transformative change</v>
      </c>
      <c r="J181" s="7" t="str">
        <f t="shared" si="6"/>
        <v>Low</v>
      </c>
      <c r="K181" s="7">
        <f t="shared" si="7"/>
        <v>2081459</v>
      </c>
      <c r="L181" s="7">
        <f t="shared" si="8"/>
        <v>819448.3143</v>
      </c>
    </row>
    <row r="182">
      <c r="A182" s="5" t="s">
        <v>519</v>
      </c>
      <c r="B182" s="5" t="s">
        <v>520</v>
      </c>
      <c r="C182" s="5" t="s">
        <v>74</v>
      </c>
      <c r="D182" s="6">
        <v>16622.0</v>
      </c>
      <c r="E182" s="7">
        <f t="shared" si="1"/>
        <v>2</v>
      </c>
      <c r="F182" s="7">
        <f t="shared" si="2"/>
        <v>16525</v>
      </c>
      <c r="G182" s="7">
        <f t="shared" si="3"/>
        <v>45787</v>
      </c>
      <c r="H182" s="7" t="str">
        <f t="shared" si="4"/>
        <v>G</v>
      </c>
      <c r="I182" s="7" t="str">
        <f t="shared" si="5"/>
        <v>Transformative change</v>
      </c>
      <c r="J182" s="7" t="str">
        <f t="shared" si="6"/>
        <v>High</v>
      </c>
      <c r="K182" s="7">
        <f t="shared" si="7"/>
        <v>3407083</v>
      </c>
      <c r="L182" s="7">
        <f t="shared" si="8"/>
        <v>2985292.336</v>
      </c>
    </row>
    <row r="183">
      <c r="A183" s="5" t="s">
        <v>521</v>
      </c>
      <c r="B183" s="5" t="s">
        <v>522</v>
      </c>
      <c r="C183" s="5" t="s">
        <v>74</v>
      </c>
      <c r="D183" s="6">
        <v>554197.0</v>
      </c>
      <c r="E183" s="7">
        <f t="shared" si="1"/>
        <v>5</v>
      </c>
      <c r="F183" s="7">
        <f t="shared" si="2"/>
        <v>53009</v>
      </c>
      <c r="G183" s="7">
        <f t="shared" si="3"/>
        <v>47461</v>
      </c>
      <c r="H183" s="7" t="str">
        <f t="shared" si="4"/>
        <v>B</v>
      </c>
      <c r="I183" s="7" t="str">
        <f t="shared" si="5"/>
        <v>Transformative change</v>
      </c>
      <c r="J183" s="7" t="str">
        <f t="shared" si="6"/>
        <v>Low</v>
      </c>
      <c r="K183" s="7">
        <f t="shared" si="7"/>
        <v>1641354</v>
      </c>
      <c r="L183" s="7">
        <f t="shared" si="8"/>
        <v>363494.9909</v>
      </c>
    </row>
    <row r="184">
      <c r="A184" s="5" t="s">
        <v>523</v>
      </c>
      <c r="B184" s="5" t="s">
        <v>524</v>
      </c>
      <c r="C184" s="5" t="s">
        <v>74</v>
      </c>
      <c r="D184" s="6">
        <v>17345.0</v>
      </c>
      <c r="E184" s="7">
        <f t="shared" si="1"/>
        <v>2</v>
      </c>
      <c r="F184" s="7">
        <f t="shared" si="2"/>
        <v>42040</v>
      </c>
      <c r="G184" s="7">
        <f t="shared" si="3"/>
        <v>15736</v>
      </c>
      <c r="H184" s="7" t="str">
        <f t="shared" si="4"/>
        <v>G</v>
      </c>
      <c r="I184" s="7" t="str">
        <f t="shared" si="5"/>
        <v>Transformative change</v>
      </c>
      <c r="J184" s="7" t="str">
        <f t="shared" si="6"/>
        <v>High</v>
      </c>
      <c r="K184" s="7">
        <f t="shared" si="7"/>
        <v>1506729</v>
      </c>
      <c r="L184" s="7">
        <f t="shared" si="8"/>
        <v>998328.6899</v>
      </c>
    </row>
    <row r="185">
      <c r="A185" s="5" t="s">
        <v>392</v>
      </c>
      <c r="B185" s="5" t="s">
        <v>525</v>
      </c>
      <c r="C185" s="5" t="s">
        <v>74</v>
      </c>
      <c r="D185" s="6">
        <v>14221.0</v>
      </c>
      <c r="E185" s="7">
        <f t="shared" si="1"/>
        <v>3</v>
      </c>
      <c r="F185" s="7">
        <f t="shared" si="2"/>
        <v>20829</v>
      </c>
      <c r="G185" s="7">
        <f t="shared" si="3"/>
        <v>20223</v>
      </c>
      <c r="H185" s="7" t="str">
        <f t="shared" si="4"/>
        <v>F</v>
      </c>
      <c r="I185" s="7" t="str">
        <f t="shared" si="5"/>
        <v>Transformative change</v>
      </c>
      <c r="J185" s="7" t="str">
        <f t="shared" si="6"/>
        <v>Low</v>
      </c>
      <c r="K185" s="7">
        <f t="shared" si="7"/>
        <v>150542</v>
      </c>
      <c r="L185" s="7">
        <f t="shared" si="8"/>
        <v>112812.3472</v>
      </c>
    </row>
    <row r="186">
      <c r="A186" s="5" t="s">
        <v>526</v>
      </c>
      <c r="B186" s="5" t="s">
        <v>527</v>
      </c>
      <c r="C186" s="5" t="s">
        <v>528</v>
      </c>
      <c r="D186" s="6">
        <v>13575.0</v>
      </c>
      <c r="E186" s="7">
        <f t="shared" si="1"/>
        <v>4</v>
      </c>
      <c r="F186" s="7">
        <f t="shared" si="2"/>
        <v>29289</v>
      </c>
      <c r="G186" s="7">
        <f t="shared" si="3"/>
        <v>20655</v>
      </c>
      <c r="H186" s="7" t="str">
        <f t="shared" si="4"/>
        <v>A</v>
      </c>
      <c r="I186" s="7" t="str">
        <f t="shared" si="5"/>
        <v>Transformative change</v>
      </c>
      <c r="J186" s="7" t="str">
        <f t="shared" si="6"/>
        <v>High</v>
      </c>
      <c r="K186" s="7">
        <f t="shared" si="7"/>
        <v>1053188</v>
      </c>
      <c r="L186" s="7">
        <f t="shared" si="8"/>
        <v>285212.1229</v>
      </c>
    </row>
    <row r="187">
      <c r="A187" s="5" t="s">
        <v>529</v>
      </c>
      <c r="B187" s="5" t="s">
        <v>530</v>
      </c>
      <c r="C187" s="5" t="s">
        <v>74</v>
      </c>
      <c r="D187" s="6">
        <v>12438.0</v>
      </c>
      <c r="E187" s="7">
        <f t="shared" si="1"/>
        <v>4</v>
      </c>
      <c r="F187" s="7">
        <f t="shared" si="2"/>
        <v>57477</v>
      </c>
      <c r="G187" s="7">
        <f t="shared" si="3"/>
        <v>3468</v>
      </c>
      <c r="H187" s="7" t="str">
        <f t="shared" si="4"/>
        <v>D</v>
      </c>
      <c r="I187" s="7" t="str">
        <f t="shared" si="5"/>
        <v>High ambition</v>
      </c>
      <c r="J187" s="7" t="str">
        <f t="shared" si="6"/>
        <v>Low</v>
      </c>
      <c r="K187" s="7">
        <f t="shared" si="7"/>
        <v>1236509</v>
      </c>
      <c r="L187" s="7">
        <f t="shared" si="8"/>
        <v>939481.3194</v>
      </c>
    </row>
    <row r="188">
      <c r="A188" s="5" t="s">
        <v>531</v>
      </c>
      <c r="B188" s="5" t="s">
        <v>532</v>
      </c>
      <c r="C188" s="5" t="s">
        <v>533</v>
      </c>
      <c r="D188" s="6">
        <v>14024.0</v>
      </c>
      <c r="E188" s="7">
        <f t="shared" si="1"/>
        <v>3</v>
      </c>
      <c r="F188" s="7">
        <f t="shared" si="2"/>
        <v>24549</v>
      </c>
      <c r="G188" s="7">
        <f t="shared" si="3"/>
        <v>62926</v>
      </c>
      <c r="H188" s="7" t="str">
        <f t="shared" si="4"/>
        <v>B</v>
      </c>
      <c r="I188" s="7" t="str">
        <f t="shared" si="5"/>
        <v>Transformative change</v>
      </c>
      <c r="J188" s="7" t="str">
        <f t="shared" si="6"/>
        <v>Low</v>
      </c>
      <c r="K188" s="7">
        <f t="shared" si="7"/>
        <v>854740</v>
      </c>
      <c r="L188" s="7">
        <f t="shared" si="8"/>
        <v>5174.946684</v>
      </c>
    </row>
    <row r="189">
      <c r="A189" s="5" t="s">
        <v>534</v>
      </c>
      <c r="B189" s="5" t="s">
        <v>535</v>
      </c>
      <c r="C189" s="5" t="s">
        <v>536</v>
      </c>
      <c r="D189" s="6">
        <v>10083.0</v>
      </c>
      <c r="E189" s="7">
        <f t="shared" si="1"/>
        <v>4</v>
      </c>
      <c r="F189" s="7">
        <f t="shared" si="2"/>
        <v>8585</v>
      </c>
      <c r="G189" s="7">
        <f t="shared" si="3"/>
        <v>61850</v>
      </c>
      <c r="H189" s="7" t="str">
        <f t="shared" si="4"/>
        <v>G</v>
      </c>
      <c r="I189" s="7" t="str">
        <f t="shared" si="5"/>
        <v>Transformative change</v>
      </c>
      <c r="J189" s="7" t="str">
        <f t="shared" si="6"/>
        <v>Medium</v>
      </c>
      <c r="K189" s="7">
        <f t="shared" si="7"/>
        <v>2080360</v>
      </c>
      <c r="L189" s="7">
        <f t="shared" si="8"/>
        <v>526362.672</v>
      </c>
    </row>
    <row r="190">
      <c r="A190" s="5" t="s">
        <v>537</v>
      </c>
      <c r="B190" s="5" t="s">
        <v>538</v>
      </c>
      <c r="C190" s="5" t="s">
        <v>539</v>
      </c>
      <c r="D190" s="6">
        <v>64856.0</v>
      </c>
      <c r="E190" s="7">
        <f t="shared" si="1"/>
        <v>4</v>
      </c>
      <c r="F190" s="7">
        <f t="shared" si="2"/>
        <v>89132</v>
      </c>
      <c r="G190" s="7">
        <f t="shared" si="3"/>
        <v>19313</v>
      </c>
      <c r="H190" s="7" t="str">
        <f t="shared" si="4"/>
        <v>D</v>
      </c>
      <c r="I190" s="7" t="str">
        <f t="shared" si="5"/>
        <v>High ambition</v>
      </c>
      <c r="J190" s="7" t="str">
        <f t="shared" si="6"/>
        <v>Low</v>
      </c>
      <c r="K190" s="7">
        <f t="shared" si="7"/>
        <v>827174</v>
      </c>
      <c r="L190" s="7">
        <f t="shared" si="8"/>
        <v>3476.194941</v>
      </c>
    </row>
    <row r="191">
      <c r="A191" s="5" t="s">
        <v>540</v>
      </c>
      <c r="B191" s="5" t="s">
        <v>541</v>
      </c>
      <c r="C191" s="5" t="s">
        <v>542</v>
      </c>
      <c r="D191" s="6">
        <v>81637.0</v>
      </c>
      <c r="E191" s="7">
        <f t="shared" si="1"/>
        <v>2</v>
      </c>
      <c r="F191" s="7">
        <f t="shared" si="2"/>
        <v>70812</v>
      </c>
      <c r="G191" s="7">
        <f t="shared" si="3"/>
        <v>11839</v>
      </c>
      <c r="H191" s="7" t="str">
        <f t="shared" si="4"/>
        <v>A</v>
      </c>
      <c r="I191" s="7" t="str">
        <f t="shared" si="5"/>
        <v>High ambition</v>
      </c>
      <c r="J191" s="7" t="str">
        <f t="shared" si="6"/>
        <v>Medium</v>
      </c>
      <c r="K191" s="7">
        <f t="shared" si="7"/>
        <v>3562996</v>
      </c>
      <c r="L191" s="7">
        <f t="shared" si="8"/>
        <v>2192073.906</v>
      </c>
    </row>
    <row r="192">
      <c r="A192" s="5" t="s">
        <v>543</v>
      </c>
      <c r="B192" s="5" t="s">
        <v>544</v>
      </c>
      <c r="C192" s="5" t="s">
        <v>545</v>
      </c>
      <c r="D192" s="6">
        <v>14492.0</v>
      </c>
      <c r="E192" s="7">
        <f t="shared" si="1"/>
        <v>5</v>
      </c>
      <c r="F192" s="7">
        <f t="shared" si="2"/>
        <v>66864</v>
      </c>
      <c r="G192" s="7">
        <f t="shared" si="3"/>
        <v>59208</v>
      </c>
      <c r="H192" s="7" t="str">
        <f t="shared" si="4"/>
        <v>A</v>
      </c>
      <c r="I192" s="7" t="str">
        <f t="shared" si="5"/>
        <v>Transformative change</v>
      </c>
      <c r="J192" s="7" t="str">
        <f t="shared" si="6"/>
        <v>Low</v>
      </c>
      <c r="K192" s="7">
        <f t="shared" si="7"/>
        <v>3454253</v>
      </c>
      <c r="L192" s="7">
        <f t="shared" si="8"/>
        <v>335048.9994</v>
      </c>
    </row>
    <row r="193">
      <c r="A193" s="5" t="s">
        <v>546</v>
      </c>
      <c r="B193" s="5" t="s">
        <v>547</v>
      </c>
      <c r="C193" s="5" t="s">
        <v>548</v>
      </c>
      <c r="D193" s="6">
        <v>5153.0</v>
      </c>
      <c r="E193" s="7">
        <f t="shared" si="1"/>
        <v>2</v>
      </c>
      <c r="F193" s="7">
        <f t="shared" si="2"/>
        <v>5952</v>
      </c>
      <c r="G193" s="7">
        <f t="shared" si="3"/>
        <v>23077</v>
      </c>
      <c r="H193" s="7" t="str">
        <f t="shared" si="4"/>
        <v>B</v>
      </c>
      <c r="I193" s="7" t="str">
        <f t="shared" si="5"/>
        <v>Transformative change</v>
      </c>
      <c r="J193" s="7" t="str">
        <f t="shared" si="6"/>
        <v>High</v>
      </c>
      <c r="K193" s="7">
        <f t="shared" si="7"/>
        <v>1554871</v>
      </c>
      <c r="L193" s="7">
        <f t="shared" si="8"/>
        <v>1253014.002</v>
      </c>
    </row>
    <row r="194">
      <c r="A194" s="5" t="s">
        <v>549</v>
      </c>
      <c r="B194" s="5" t="s">
        <v>550</v>
      </c>
      <c r="C194" s="5" t="s">
        <v>551</v>
      </c>
      <c r="D194" s="6">
        <v>12748.0</v>
      </c>
      <c r="E194" s="7">
        <f t="shared" si="1"/>
        <v>1</v>
      </c>
      <c r="F194" s="7">
        <f t="shared" si="2"/>
        <v>70104</v>
      </c>
      <c r="G194" s="7">
        <f t="shared" si="3"/>
        <v>69697</v>
      </c>
      <c r="H194" s="7" t="str">
        <f t="shared" si="4"/>
        <v>B</v>
      </c>
      <c r="I194" s="7" t="str">
        <f t="shared" si="5"/>
        <v>Transformative change</v>
      </c>
      <c r="J194" s="7" t="str">
        <f t="shared" si="6"/>
        <v>Medium</v>
      </c>
      <c r="K194" s="7">
        <f t="shared" si="7"/>
        <v>1341777</v>
      </c>
      <c r="L194" s="7">
        <f t="shared" si="8"/>
        <v>1270276.23</v>
      </c>
    </row>
    <row r="195">
      <c r="A195" s="5" t="s">
        <v>552</v>
      </c>
      <c r="B195" s="5" t="s">
        <v>553</v>
      </c>
      <c r="C195" s="5" t="s">
        <v>554</v>
      </c>
      <c r="D195" s="6">
        <v>18401.0</v>
      </c>
      <c r="E195" s="7">
        <f t="shared" si="1"/>
        <v>5</v>
      </c>
      <c r="F195" s="7">
        <f t="shared" si="2"/>
        <v>78118</v>
      </c>
      <c r="G195" s="7">
        <f t="shared" si="3"/>
        <v>37399</v>
      </c>
      <c r="H195" s="7" t="str">
        <f t="shared" si="4"/>
        <v>F</v>
      </c>
      <c r="I195" s="7" t="str">
        <f t="shared" si="5"/>
        <v>High ambition</v>
      </c>
      <c r="J195" s="7" t="str">
        <f t="shared" si="6"/>
        <v>Low</v>
      </c>
      <c r="K195" s="7">
        <f t="shared" si="7"/>
        <v>929360</v>
      </c>
      <c r="L195" s="7">
        <f t="shared" si="8"/>
        <v>59966.42386</v>
      </c>
    </row>
    <row r="196">
      <c r="A196" s="5" t="s">
        <v>555</v>
      </c>
      <c r="B196" s="5" t="s">
        <v>556</v>
      </c>
      <c r="C196" s="5" t="s">
        <v>74</v>
      </c>
      <c r="D196" s="6">
        <v>8255.0</v>
      </c>
      <c r="E196" s="7">
        <f t="shared" si="1"/>
        <v>4</v>
      </c>
      <c r="F196" s="7">
        <f t="shared" si="2"/>
        <v>67307</v>
      </c>
      <c r="G196" s="7">
        <f t="shared" si="3"/>
        <v>1200</v>
      </c>
      <c r="H196" s="7" t="str">
        <f t="shared" si="4"/>
        <v>A</v>
      </c>
      <c r="I196" s="7" t="str">
        <f t="shared" si="5"/>
        <v>Transformative change</v>
      </c>
      <c r="J196" s="7" t="str">
        <f t="shared" si="6"/>
        <v>High</v>
      </c>
      <c r="K196" s="7">
        <f t="shared" si="7"/>
        <v>365242</v>
      </c>
      <c r="L196" s="7">
        <f t="shared" si="8"/>
        <v>347113.2798</v>
      </c>
    </row>
    <row r="197">
      <c r="A197" s="5" t="s">
        <v>369</v>
      </c>
      <c r="B197" s="5" t="s">
        <v>557</v>
      </c>
      <c r="C197" s="5" t="s">
        <v>558</v>
      </c>
      <c r="D197" s="6">
        <v>234264.0</v>
      </c>
      <c r="E197" s="7">
        <f t="shared" si="1"/>
        <v>2</v>
      </c>
      <c r="F197" s="7">
        <f t="shared" si="2"/>
        <v>38925</v>
      </c>
      <c r="G197" s="7">
        <f t="shared" si="3"/>
        <v>24777</v>
      </c>
      <c r="H197" s="7" t="str">
        <f t="shared" si="4"/>
        <v>B</v>
      </c>
      <c r="I197" s="7" t="str">
        <f t="shared" si="5"/>
        <v>Transformative change</v>
      </c>
      <c r="J197" s="7" t="str">
        <f t="shared" si="6"/>
        <v>Low</v>
      </c>
      <c r="K197" s="7">
        <f t="shared" si="7"/>
        <v>2799702</v>
      </c>
      <c r="L197" s="7">
        <f t="shared" si="8"/>
        <v>1784808.911</v>
      </c>
    </row>
    <row r="198">
      <c r="A198" s="5" t="s">
        <v>559</v>
      </c>
      <c r="B198" s="5" t="s">
        <v>560</v>
      </c>
      <c r="C198" s="5" t="s">
        <v>561</v>
      </c>
      <c r="D198" s="6">
        <v>16714.0</v>
      </c>
      <c r="E198" s="7">
        <f t="shared" si="1"/>
        <v>1</v>
      </c>
      <c r="F198" s="7">
        <f t="shared" si="2"/>
        <v>91115</v>
      </c>
      <c r="G198" s="7">
        <f t="shared" si="3"/>
        <v>41969</v>
      </c>
      <c r="H198" s="7" t="str">
        <f t="shared" si="4"/>
        <v>B</v>
      </c>
      <c r="I198" s="7" t="str">
        <f t="shared" si="5"/>
        <v>Transformative change</v>
      </c>
      <c r="J198" s="7" t="str">
        <f t="shared" si="6"/>
        <v>Medium</v>
      </c>
      <c r="K198" s="7">
        <f t="shared" si="7"/>
        <v>1191082</v>
      </c>
      <c r="L198" s="7">
        <f t="shared" si="8"/>
        <v>492448.6089</v>
      </c>
    </row>
    <row r="199">
      <c r="A199" s="5" t="s">
        <v>562</v>
      </c>
      <c r="B199" s="5" t="s">
        <v>563</v>
      </c>
      <c r="C199" s="5" t="s">
        <v>564</v>
      </c>
      <c r="D199" s="6">
        <v>8985.0</v>
      </c>
      <c r="E199" s="7">
        <f t="shared" si="1"/>
        <v>4</v>
      </c>
      <c r="F199" s="7">
        <f t="shared" si="2"/>
        <v>31747</v>
      </c>
      <c r="G199" s="7">
        <f t="shared" si="3"/>
        <v>6413</v>
      </c>
      <c r="H199" s="7" t="str">
        <f t="shared" si="4"/>
        <v>E</v>
      </c>
      <c r="I199" s="7" t="str">
        <f t="shared" si="5"/>
        <v>Transformative change</v>
      </c>
      <c r="J199" s="7" t="str">
        <f t="shared" si="6"/>
        <v>Medium</v>
      </c>
      <c r="K199" s="7">
        <f t="shared" si="7"/>
        <v>2599548</v>
      </c>
      <c r="L199" s="7">
        <f t="shared" si="8"/>
        <v>61714.94347</v>
      </c>
    </row>
    <row r="200">
      <c r="A200" s="5" t="s">
        <v>565</v>
      </c>
      <c r="B200" s="5" t="s">
        <v>566</v>
      </c>
      <c r="C200" s="5" t="s">
        <v>74</v>
      </c>
      <c r="D200" s="6">
        <v>7691.0</v>
      </c>
      <c r="E200" s="7">
        <f t="shared" si="1"/>
        <v>4</v>
      </c>
      <c r="F200" s="7">
        <f t="shared" si="2"/>
        <v>37996</v>
      </c>
      <c r="G200" s="7">
        <f t="shared" si="3"/>
        <v>26210</v>
      </c>
      <c r="H200" s="7" t="str">
        <f t="shared" si="4"/>
        <v>E</v>
      </c>
      <c r="I200" s="7" t="str">
        <f t="shared" si="5"/>
        <v>Transformative change</v>
      </c>
      <c r="J200" s="7" t="str">
        <f t="shared" si="6"/>
        <v>Low</v>
      </c>
      <c r="K200" s="7">
        <f t="shared" si="7"/>
        <v>551514</v>
      </c>
      <c r="L200" s="7">
        <f t="shared" si="8"/>
        <v>272000.6952</v>
      </c>
    </row>
    <row r="201">
      <c r="A201" s="5" t="s">
        <v>567</v>
      </c>
      <c r="B201" s="5" t="s">
        <v>568</v>
      </c>
      <c r="C201" s="5" t="s">
        <v>74</v>
      </c>
      <c r="D201" s="6">
        <v>21380.0</v>
      </c>
      <c r="E201" s="7">
        <f t="shared" si="1"/>
        <v>3</v>
      </c>
      <c r="F201" s="7">
        <f t="shared" si="2"/>
        <v>33992</v>
      </c>
      <c r="G201" s="7">
        <f t="shared" si="3"/>
        <v>22213</v>
      </c>
      <c r="H201" s="7" t="str">
        <f t="shared" si="4"/>
        <v>F</v>
      </c>
      <c r="I201" s="7" t="str">
        <f t="shared" si="5"/>
        <v>Transformative change</v>
      </c>
      <c r="J201" s="7" t="str">
        <f t="shared" si="6"/>
        <v>High</v>
      </c>
      <c r="K201" s="7">
        <f t="shared" si="7"/>
        <v>987104</v>
      </c>
      <c r="L201" s="7">
        <f t="shared" si="8"/>
        <v>237300.0074</v>
      </c>
    </row>
    <row r="202">
      <c r="A202" s="5" t="s">
        <v>569</v>
      </c>
      <c r="B202" s="5" t="s">
        <v>570</v>
      </c>
      <c r="C202" s="5" t="s">
        <v>571</v>
      </c>
      <c r="D202" s="6">
        <v>6465.0</v>
      </c>
      <c r="E202" s="7">
        <f t="shared" si="1"/>
        <v>2</v>
      </c>
      <c r="F202" s="7">
        <f t="shared" si="2"/>
        <v>88424</v>
      </c>
      <c r="G202" s="7">
        <f t="shared" si="3"/>
        <v>16284</v>
      </c>
      <c r="H202" s="7" t="str">
        <f t="shared" si="4"/>
        <v>F</v>
      </c>
      <c r="I202" s="7" t="str">
        <f t="shared" si="5"/>
        <v>Transformative change</v>
      </c>
      <c r="J202" s="7" t="str">
        <f t="shared" si="6"/>
        <v>High</v>
      </c>
      <c r="K202" s="7">
        <f t="shared" si="7"/>
        <v>2372977</v>
      </c>
      <c r="L202" s="7">
        <f t="shared" si="8"/>
        <v>976168.4017</v>
      </c>
    </row>
    <row r="203">
      <c r="A203" s="5" t="s">
        <v>572</v>
      </c>
      <c r="B203" s="5" t="s">
        <v>573</v>
      </c>
      <c r="C203" s="5" t="s">
        <v>329</v>
      </c>
      <c r="D203" s="6">
        <v>39445.0</v>
      </c>
      <c r="E203" s="7">
        <f t="shared" si="1"/>
        <v>3</v>
      </c>
      <c r="F203" s="7">
        <f t="shared" si="2"/>
        <v>42420</v>
      </c>
      <c r="G203" s="7">
        <f t="shared" si="3"/>
        <v>41808</v>
      </c>
      <c r="H203" s="7" t="str">
        <f t="shared" si="4"/>
        <v>G</v>
      </c>
      <c r="I203" s="7" t="str">
        <f t="shared" si="5"/>
        <v>Transformative change</v>
      </c>
      <c r="J203" s="7" t="str">
        <f t="shared" si="6"/>
        <v>Medium</v>
      </c>
      <c r="K203" s="7">
        <f t="shared" si="7"/>
        <v>1832861</v>
      </c>
      <c r="L203" s="7">
        <f t="shared" si="8"/>
        <v>1114190.203</v>
      </c>
    </row>
    <row r="204">
      <c r="A204" s="5" t="s">
        <v>574</v>
      </c>
      <c r="B204" s="5" t="s">
        <v>575</v>
      </c>
      <c r="C204" s="5" t="s">
        <v>576</v>
      </c>
      <c r="D204" s="6">
        <v>774847.0</v>
      </c>
      <c r="E204" s="7">
        <f t="shared" si="1"/>
        <v>3</v>
      </c>
      <c r="F204" s="7">
        <f t="shared" si="2"/>
        <v>32584</v>
      </c>
      <c r="G204" s="7">
        <f t="shared" si="3"/>
        <v>28269</v>
      </c>
      <c r="H204" s="7" t="str">
        <f t="shared" si="4"/>
        <v>A</v>
      </c>
      <c r="I204" s="7" t="str">
        <f t="shared" si="5"/>
        <v>High ambition</v>
      </c>
      <c r="J204" s="7" t="str">
        <f t="shared" si="6"/>
        <v>Medium</v>
      </c>
      <c r="K204" s="7">
        <f t="shared" si="7"/>
        <v>1138156</v>
      </c>
      <c r="L204" s="7">
        <f t="shared" si="8"/>
        <v>496956.4784</v>
      </c>
    </row>
    <row r="205">
      <c r="A205" s="5" t="s">
        <v>577</v>
      </c>
      <c r="B205" s="5" t="s">
        <v>578</v>
      </c>
      <c r="C205" s="5" t="s">
        <v>579</v>
      </c>
      <c r="D205" s="6">
        <v>7949.0</v>
      </c>
      <c r="E205" s="7">
        <f t="shared" si="1"/>
        <v>2</v>
      </c>
      <c r="F205" s="7">
        <f t="shared" si="2"/>
        <v>70508</v>
      </c>
      <c r="G205" s="7">
        <f t="shared" si="3"/>
        <v>5752</v>
      </c>
      <c r="H205" s="7" t="str">
        <f t="shared" si="4"/>
        <v>D</v>
      </c>
      <c r="I205" s="7" t="str">
        <f t="shared" si="5"/>
        <v>Transformative change</v>
      </c>
      <c r="J205" s="7" t="str">
        <f t="shared" si="6"/>
        <v>High</v>
      </c>
      <c r="K205" s="7">
        <f t="shared" si="7"/>
        <v>3230921</v>
      </c>
      <c r="L205" s="7">
        <f t="shared" si="8"/>
        <v>1791579.258</v>
      </c>
    </row>
    <row r="206">
      <c r="A206" s="5" t="s">
        <v>580</v>
      </c>
      <c r="B206" s="5" t="s">
        <v>581</v>
      </c>
      <c r="C206" s="5" t="s">
        <v>74</v>
      </c>
      <c r="D206" s="6">
        <v>10245.0</v>
      </c>
      <c r="E206" s="7">
        <f t="shared" si="1"/>
        <v>5</v>
      </c>
      <c r="F206" s="7">
        <f t="shared" si="2"/>
        <v>98639</v>
      </c>
      <c r="G206" s="7">
        <f t="shared" si="3"/>
        <v>9604</v>
      </c>
      <c r="H206" s="7" t="str">
        <f t="shared" si="4"/>
        <v>E</v>
      </c>
      <c r="I206" s="7" t="str">
        <f t="shared" si="5"/>
        <v>High ambition</v>
      </c>
      <c r="J206" s="7" t="str">
        <f t="shared" si="6"/>
        <v>Medium</v>
      </c>
      <c r="K206" s="7">
        <f t="shared" si="7"/>
        <v>2821614</v>
      </c>
      <c r="L206" s="7">
        <f t="shared" si="8"/>
        <v>384766.3986</v>
      </c>
    </row>
    <row r="207">
      <c r="A207" s="5" t="s">
        <v>582</v>
      </c>
      <c r="B207" s="5" t="s">
        <v>583</v>
      </c>
      <c r="C207" s="5" t="s">
        <v>584</v>
      </c>
      <c r="D207" s="6">
        <v>297192.0</v>
      </c>
      <c r="E207" s="7">
        <f t="shared" si="1"/>
        <v>3</v>
      </c>
      <c r="F207" s="7">
        <f t="shared" si="2"/>
        <v>6841</v>
      </c>
      <c r="G207" s="7">
        <f t="shared" si="3"/>
        <v>25109</v>
      </c>
      <c r="H207" s="7" t="str">
        <f t="shared" si="4"/>
        <v>A</v>
      </c>
      <c r="I207" s="7" t="str">
        <f t="shared" si="5"/>
        <v>Transformative change</v>
      </c>
      <c r="J207" s="7" t="str">
        <f t="shared" si="6"/>
        <v>Low</v>
      </c>
      <c r="K207" s="7">
        <f t="shared" si="7"/>
        <v>3313920</v>
      </c>
      <c r="L207" s="7">
        <f t="shared" si="8"/>
        <v>3116776.117</v>
      </c>
    </row>
    <row r="208">
      <c r="A208" s="5" t="s">
        <v>585</v>
      </c>
      <c r="B208" s="5" t="s">
        <v>586</v>
      </c>
      <c r="C208" s="5" t="s">
        <v>587</v>
      </c>
      <c r="D208" s="6">
        <v>93489.0</v>
      </c>
      <c r="E208" s="7">
        <f t="shared" si="1"/>
        <v>3</v>
      </c>
      <c r="F208" s="7">
        <f t="shared" si="2"/>
        <v>98508</v>
      </c>
      <c r="G208" s="7">
        <f t="shared" si="3"/>
        <v>85894</v>
      </c>
      <c r="H208" s="7" t="str">
        <f t="shared" si="4"/>
        <v>G</v>
      </c>
      <c r="I208" s="7" t="str">
        <f t="shared" si="5"/>
        <v>Transformative change</v>
      </c>
      <c r="J208" s="7" t="str">
        <f t="shared" si="6"/>
        <v>Medium</v>
      </c>
      <c r="K208" s="7">
        <f t="shared" si="7"/>
        <v>2219002</v>
      </c>
      <c r="L208" s="7">
        <f t="shared" si="8"/>
        <v>883318.2909</v>
      </c>
    </row>
    <row r="209">
      <c r="A209" s="5" t="s">
        <v>412</v>
      </c>
      <c r="B209" s="5" t="s">
        <v>588</v>
      </c>
      <c r="C209" s="5" t="s">
        <v>589</v>
      </c>
      <c r="D209" s="6">
        <v>8744.0</v>
      </c>
      <c r="E209" s="7">
        <f t="shared" si="1"/>
        <v>1</v>
      </c>
      <c r="F209" s="7">
        <f t="shared" si="2"/>
        <v>69559</v>
      </c>
      <c r="G209" s="7">
        <f t="shared" si="3"/>
        <v>3003</v>
      </c>
      <c r="H209" s="7" t="str">
        <f t="shared" si="4"/>
        <v>A</v>
      </c>
      <c r="I209" s="7" t="str">
        <f t="shared" si="5"/>
        <v>Transformative change</v>
      </c>
      <c r="J209" s="7" t="str">
        <f t="shared" si="6"/>
        <v>Low</v>
      </c>
      <c r="K209" s="7">
        <f t="shared" si="7"/>
        <v>3051541</v>
      </c>
      <c r="L209" s="7">
        <f t="shared" si="8"/>
        <v>1226149.491</v>
      </c>
    </row>
    <row r="210">
      <c r="A210" s="5" t="s">
        <v>590</v>
      </c>
      <c r="B210" s="5" t="s">
        <v>591</v>
      </c>
      <c r="C210" s="5" t="s">
        <v>592</v>
      </c>
      <c r="D210" s="6">
        <v>732994.0</v>
      </c>
      <c r="E210" s="7">
        <f t="shared" si="1"/>
        <v>4</v>
      </c>
      <c r="F210" s="7">
        <f t="shared" si="2"/>
        <v>76209</v>
      </c>
      <c r="G210" s="7">
        <f t="shared" si="3"/>
        <v>67588</v>
      </c>
      <c r="H210" s="7" t="str">
        <f t="shared" si="4"/>
        <v>E</v>
      </c>
      <c r="I210" s="7" t="str">
        <f t="shared" si="5"/>
        <v>Transformative change</v>
      </c>
      <c r="J210" s="7" t="str">
        <f t="shared" si="6"/>
        <v>Medium</v>
      </c>
      <c r="K210" s="7">
        <f t="shared" si="7"/>
        <v>1809875</v>
      </c>
      <c r="L210" s="7">
        <f t="shared" si="8"/>
        <v>1303672.599</v>
      </c>
    </row>
    <row r="211">
      <c r="A211" s="5" t="s">
        <v>593</v>
      </c>
      <c r="B211" s="5" t="s">
        <v>594</v>
      </c>
      <c r="C211" s="5" t="s">
        <v>595</v>
      </c>
      <c r="D211" s="6">
        <v>23160.0</v>
      </c>
      <c r="E211" s="7">
        <f t="shared" si="1"/>
        <v>3</v>
      </c>
      <c r="F211" s="7">
        <f t="shared" si="2"/>
        <v>43821</v>
      </c>
      <c r="G211" s="7">
        <f t="shared" si="3"/>
        <v>41106</v>
      </c>
      <c r="H211" s="7" t="str">
        <f t="shared" si="4"/>
        <v>F</v>
      </c>
      <c r="I211" s="7" t="str">
        <f t="shared" si="5"/>
        <v>Transformative change</v>
      </c>
      <c r="J211" s="7" t="str">
        <f t="shared" si="6"/>
        <v>High</v>
      </c>
      <c r="K211" s="7">
        <f t="shared" si="7"/>
        <v>92622</v>
      </c>
      <c r="L211" s="7">
        <f t="shared" si="8"/>
        <v>19744.47079</v>
      </c>
    </row>
    <row r="212">
      <c r="A212" s="5" t="s">
        <v>596</v>
      </c>
      <c r="B212" s="5" t="s">
        <v>597</v>
      </c>
      <c r="C212" s="5" t="s">
        <v>598</v>
      </c>
      <c r="D212" s="6">
        <v>19494.0</v>
      </c>
      <c r="E212" s="7">
        <f t="shared" si="1"/>
        <v>5</v>
      </c>
      <c r="F212" s="7">
        <f t="shared" si="2"/>
        <v>57725</v>
      </c>
      <c r="G212" s="7">
        <f t="shared" si="3"/>
        <v>9838</v>
      </c>
      <c r="H212" s="7" t="str">
        <f t="shared" si="4"/>
        <v>C</v>
      </c>
      <c r="I212" s="7" t="str">
        <f t="shared" si="5"/>
        <v>Transformative change</v>
      </c>
      <c r="J212" s="7" t="str">
        <f t="shared" si="6"/>
        <v>High</v>
      </c>
      <c r="K212" s="7">
        <f t="shared" si="7"/>
        <v>2854094</v>
      </c>
      <c r="L212" s="7">
        <f t="shared" si="8"/>
        <v>779601.0119</v>
      </c>
    </row>
    <row r="213">
      <c r="A213" s="5" t="s">
        <v>599</v>
      </c>
      <c r="B213" s="5" t="s">
        <v>600</v>
      </c>
      <c r="C213" s="5" t="s">
        <v>601</v>
      </c>
      <c r="D213" s="6">
        <v>7939.0</v>
      </c>
      <c r="E213" s="7">
        <f t="shared" si="1"/>
        <v>2</v>
      </c>
      <c r="F213" s="7">
        <f t="shared" si="2"/>
        <v>95333</v>
      </c>
      <c r="G213" s="7">
        <f t="shared" si="3"/>
        <v>11660</v>
      </c>
      <c r="H213" s="7" t="str">
        <f t="shared" si="4"/>
        <v>A</v>
      </c>
      <c r="I213" s="7" t="str">
        <f t="shared" si="5"/>
        <v>Transformative change</v>
      </c>
      <c r="J213" s="7" t="str">
        <f t="shared" si="6"/>
        <v>Medium</v>
      </c>
      <c r="K213" s="7">
        <f t="shared" si="7"/>
        <v>3350863</v>
      </c>
      <c r="L213" s="7">
        <f t="shared" si="8"/>
        <v>572662.9691</v>
      </c>
    </row>
    <row r="214">
      <c r="A214" s="5" t="s">
        <v>602</v>
      </c>
      <c r="B214" s="5" t="s">
        <v>603</v>
      </c>
      <c r="C214" s="5" t="s">
        <v>604</v>
      </c>
      <c r="D214" s="6">
        <v>353591.0</v>
      </c>
      <c r="E214" s="7">
        <f t="shared" si="1"/>
        <v>3</v>
      </c>
      <c r="F214" s="7">
        <f t="shared" si="2"/>
        <v>29415</v>
      </c>
      <c r="G214" s="7">
        <f t="shared" si="3"/>
        <v>21013</v>
      </c>
      <c r="H214" s="7" t="str">
        <f t="shared" si="4"/>
        <v>C</v>
      </c>
      <c r="I214" s="7" t="str">
        <f t="shared" si="5"/>
        <v>Transformative change</v>
      </c>
      <c r="J214" s="7" t="str">
        <f t="shared" si="6"/>
        <v>Low</v>
      </c>
      <c r="K214" s="7">
        <f t="shared" si="7"/>
        <v>2381827</v>
      </c>
      <c r="L214" s="7">
        <f t="shared" si="8"/>
        <v>543417.2468</v>
      </c>
    </row>
    <row r="215">
      <c r="A215" s="5" t="s">
        <v>605</v>
      </c>
      <c r="B215" s="5" t="s">
        <v>606</v>
      </c>
      <c r="C215" s="5" t="s">
        <v>607</v>
      </c>
      <c r="D215" s="6">
        <v>6870.0</v>
      </c>
      <c r="E215" s="7">
        <f t="shared" si="1"/>
        <v>4</v>
      </c>
      <c r="F215" s="7">
        <f t="shared" si="2"/>
        <v>72892</v>
      </c>
      <c r="G215" s="7">
        <f t="shared" si="3"/>
        <v>45742</v>
      </c>
      <c r="H215" s="7" t="str">
        <f t="shared" si="4"/>
        <v>F</v>
      </c>
      <c r="I215" s="7" t="str">
        <f t="shared" si="5"/>
        <v>Transformative change</v>
      </c>
      <c r="J215" s="7" t="str">
        <f t="shared" si="6"/>
        <v>Medium</v>
      </c>
      <c r="K215" s="7">
        <f t="shared" si="7"/>
        <v>2994110</v>
      </c>
      <c r="L215" s="7">
        <f t="shared" si="8"/>
        <v>2979492.382</v>
      </c>
    </row>
    <row r="216">
      <c r="A216" s="5" t="s">
        <v>608</v>
      </c>
      <c r="B216" s="5" t="s">
        <v>609</v>
      </c>
      <c r="C216" s="5" t="s">
        <v>74</v>
      </c>
      <c r="D216" s="6">
        <v>13809.0</v>
      </c>
      <c r="E216" s="7">
        <f t="shared" si="1"/>
        <v>2</v>
      </c>
      <c r="F216" s="7">
        <f t="shared" si="2"/>
        <v>95966</v>
      </c>
      <c r="G216" s="7">
        <f t="shared" si="3"/>
        <v>37603</v>
      </c>
      <c r="H216" s="7" t="str">
        <f t="shared" si="4"/>
        <v>D</v>
      </c>
      <c r="I216" s="7" t="str">
        <f t="shared" si="5"/>
        <v>High ambition</v>
      </c>
      <c r="J216" s="7" t="str">
        <f t="shared" si="6"/>
        <v>Low</v>
      </c>
      <c r="K216" s="7">
        <f t="shared" si="7"/>
        <v>2017140</v>
      </c>
      <c r="L216" s="7">
        <f t="shared" si="8"/>
        <v>1730461.029</v>
      </c>
    </row>
    <row r="217">
      <c r="A217" s="5" t="s">
        <v>610</v>
      </c>
      <c r="B217" s="5" t="s">
        <v>611</v>
      </c>
      <c r="C217" s="5" t="s">
        <v>612</v>
      </c>
      <c r="D217" s="6">
        <v>53678.0</v>
      </c>
      <c r="E217" s="7">
        <f t="shared" si="1"/>
        <v>2</v>
      </c>
      <c r="F217" s="7">
        <f t="shared" si="2"/>
        <v>92989</v>
      </c>
      <c r="G217" s="7">
        <f t="shared" si="3"/>
        <v>32131</v>
      </c>
      <c r="H217" s="7" t="str">
        <f t="shared" si="4"/>
        <v>F</v>
      </c>
      <c r="I217" s="7" t="str">
        <f t="shared" si="5"/>
        <v>Transformative change</v>
      </c>
      <c r="J217" s="7" t="str">
        <f t="shared" si="6"/>
        <v>Low</v>
      </c>
      <c r="K217" s="7">
        <f t="shared" si="7"/>
        <v>777257</v>
      </c>
      <c r="L217" s="7">
        <f t="shared" si="8"/>
        <v>584140.8416</v>
      </c>
    </row>
    <row r="218">
      <c r="A218" s="5" t="s">
        <v>613</v>
      </c>
      <c r="B218" s="5" t="s">
        <v>614</v>
      </c>
      <c r="C218" s="5" t="s">
        <v>615</v>
      </c>
      <c r="D218" s="6">
        <v>18907.0</v>
      </c>
      <c r="E218" s="7">
        <f t="shared" si="1"/>
        <v>4</v>
      </c>
      <c r="F218" s="7">
        <f t="shared" si="2"/>
        <v>82873</v>
      </c>
      <c r="G218" s="7">
        <f t="shared" si="3"/>
        <v>48170</v>
      </c>
      <c r="H218" s="7" t="str">
        <f t="shared" si="4"/>
        <v>F</v>
      </c>
      <c r="I218" s="7" t="str">
        <f t="shared" si="5"/>
        <v>Transformative change</v>
      </c>
      <c r="J218" s="7" t="str">
        <f t="shared" si="6"/>
        <v>High</v>
      </c>
      <c r="K218" s="7">
        <f t="shared" si="7"/>
        <v>2895186</v>
      </c>
      <c r="L218" s="7">
        <f t="shared" si="8"/>
        <v>2620032.197</v>
      </c>
    </row>
    <row r="219">
      <c r="A219" s="5" t="s">
        <v>616</v>
      </c>
      <c r="B219" s="5" t="s">
        <v>617</v>
      </c>
      <c r="C219" s="5" t="s">
        <v>74</v>
      </c>
      <c r="D219" s="6">
        <v>5756.0</v>
      </c>
      <c r="E219" s="7">
        <f t="shared" si="1"/>
        <v>2</v>
      </c>
      <c r="F219" s="7">
        <f t="shared" si="2"/>
        <v>5431</v>
      </c>
      <c r="G219" s="7">
        <f t="shared" si="3"/>
        <v>8029</v>
      </c>
      <c r="H219" s="7" t="str">
        <f t="shared" si="4"/>
        <v>D</v>
      </c>
      <c r="I219" s="7" t="str">
        <f t="shared" si="5"/>
        <v>Transformative change</v>
      </c>
      <c r="J219" s="7" t="str">
        <f t="shared" si="6"/>
        <v>Low</v>
      </c>
      <c r="K219" s="7">
        <f t="shared" si="7"/>
        <v>3698724</v>
      </c>
      <c r="L219" s="7">
        <f t="shared" si="8"/>
        <v>2932329.084</v>
      </c>
    </row>
    <row r="220">
      <c r="A220" s="5" t="s">
        <v>618</v>
      </c>
      <c r="B220" s="5" t="s">
        <v>619</v>
      </c>
      <c r="C220" s="5" t="s">
        <v>620</v>
      </c>
      <c r="D220" s="6">
        <v>14167.0</v>
      </c>
      <c r="E220" s="7">
        <f t="shared" si="1"/>
        <v>1</v>
      </c>
      <c r="F220" s="7">
        <f t="shared" si="2"/>
        <v>4474</v>
      </c>
      <c r="G220" s="7">
        <f t="shared" si="3"/>
        <v>22506</v>
      </c>
      <c r="H220" s="7" t="str">
        <f t="shared" si="4"/>
        <v>E</v>
      </c>
      <c r="I220" s="7" t="str">
        <f t="shared" si="5"/>
        <v>Transformative change</v>
      </c>
      <c r="J220" s="7" t="str">
        <f t="shared" si="6"/>
        <v>Medium</v>
      </c>
      <c r="K220" s="7">
        <f t="shared" si="7"/>
        <v>532980</v>
      </c>
      <c r="L220" s="7">
        <f t="shared" si="8"/>
        <v>384102.2783</v>
      </c>
    </row>
    <row r="221">
      <c r="A221" s="5" t="s">
        <v>621</v>
      </c>
      <c r="B221" s="5" t="s">
        <v>622</v>
      </c>
      <c r="C221" s="5" t="s">
        <v>623</v>
      </c>
      <c r="D221" s="6">
        <v>16039.0</v>
      </c>
      <c r="E221" s="7">
        <f t="shared" si="1"/>
        <v>2</v>
      </c>
      <c r="F221" s="7">
        <f t="shared" si="2"/>
        <v>43026</v>
      </c>
      <c r="G221" s="7">
        <f t="shared" si="3"/>
        <v>6500</v>
      </c>
      <c r="H221" s="7" t="str">
        <f t="shared" si="4"/>
        <v>C</v>
      </c>
      <c r="I221" s="7" t="str">
        <f t="shared" si="5"/>
        <v>Transformative change</v>
      </c>
      <c r="J221" s="7" t="str">
        <f t="shared" si="6"/>
        <v>Low</v>
      </c>
      <c r="K221" s="7">
        <f t="shared" si="7"/>
        <v>2760528</v>
      </c>
      <c r="L221" s="7">
        <f t="shared" si="8"/>
        <v>1985527.189</v>
      </c>
    </row>
    <row r="222">
      <c r="A222" s="5" t="s">
        <v>624</v>
      </c>
      <c r="B222" s="5" t="s">
        <v>625</v>
      </c>
      <c r="C222" s="5" t="s">
        <v>626</v>
      </c>
      <c r="D222" s="6">
        <v>9575.0</v>
      </c>
      <c r="E222" s="7">
        <f t="shared" si="1"/>
        <v>3</v>
      </c>
      <c r="F222" s="7">
        <f t="shared" si="2"/>
        <v>74515</v>
      </c>
      <c r="G222" s="7">
        <f t="shared" si="3"/>
        <v>27579</v>
      </c>
      <c r="H222" s="7" t="str">
        <f t="shared" si="4"/>
        <v>G</v>
      </c>
      <c r="I222" s="7" t="str">
        <f t="shared" si="5"/>
        <v>High ambition</v>
      </c>
      <c r="J222" s="7" t="str">
        <f t="shared" si="6"/>
        <v>Medium</v>
      </c>
      <c r="K222" s="7">
        <f t="shared" si="7"/>
        <v>1433779</v>
      </c>
      <c r="L222" s="7">
        <f t="shared" si="8"/>
        <v>964963.9391</v>
      </c>
    </row>
    <row r="223">
      <c r="A223" s="5" t="s">
        <v>412</v>
      </c>
      <c r="B223" s="5" t="s">
        <v>627</v>
      </c>
      <c r="C223" s="5" t="s">
        <v>628</v>
      </c>
      <c r="D223" s="6">
        <v>91575.0</v>
      </c>
      <c r="E223" s="7">
        <f t="shared" si="1"/>
        <v>4</v>
      </c>
      <c r="F223" s="7">
        <f t="shared" si="2"/>
        <v>58279</v>
      </c>
      <c r="G223" s="7">
        <f t="shared" si="3"/>
        <v>23601</v>
      </c>
      <c r="H223" s="7" t="str">
        <f t="shared" si="4"/>
        <v>F</v>
      </c>
      <c r="I223" s="7" t="str">
        <f t="shared" si="5"/>
        <v>Transformative change</v>
      </c>
      <c r="J223" s="7" t="str">
        <f t="shared" si="6"/>
        <v>Medium</v>
      </c>
      <c r="K223" s="7">
        <f t="shared" si="7"/>
        <v>2171966</v>
      </c>
      <c r="L223" s="7">
        <f t="shared" si="8"/>
        <v>1866665.596</v>
      </c>
    </row>
    <row r="224">
      <c r="A224" s="5" t="s">
        <v>629</v>
      </c>
      <c r="B224" s="5" t="s">
        <v>630</v>
      </c>
      <c r="C224" s="5" t="s">
        <v>631</v>
      </c>
      <c r="D224" s="6">
        <v>16471.0</v>
      </c>
      <c r="E224" s="7">
        <f t="shared" si="1"/>
        <v>1</v>
      </c>
      <c r="F224" s="7">
        <f t="shared" si="2"/>
        <v>14250</v>
      </c>
      <c r="G224" s="7">
        <f t="shared" si="3"/>
        <v>12826</v>
      </c>
      <c r="H224" s="7" t="str">
        <f t="shared" si="4"/>
        <v>A</v>
      </c>
      <c r="I224" s="7" t="str">
        <f t="shared" si="5"/>
        <v>Transformative change</v>
      </c>
      <c r="J224" s="7" t="str">
        <f t="shared" si="6"/>
        <v>Medium</v>
      </c>
      <c r="K224" s="7">
        <f t="shared" si="7"/>
        <v>45043</v>
      </c>
      <c r="L224" s="7">
        <f t="shared" si="8"/>
        <v>14613.41226</v>
      </c>
    </row>
    <row r="225">
      <c r="A225" s="5" t="s">
        <v>632</v>
      </c>
      <c r="B225" s="5" t="s">
        <v>633</v>
      </c>
      <c r="C225" s="5" t="s">
        <v>634</v>
      </c>
      <c r="D225" s="6">
        <v>11656.0</v>
      </c>
      <c r="E225" s="7">
        <f t="shared" si="1"/>
        <v>5</v>
      </c>
      <c r="F225" s="7">
        <f t="shared" si="2"/>
        <v>42154</v>
      </c>
      <c r="G225" s="7">
        <f t="shared" si="3"/>
        <v>23525</v>
      </c>
      <c r="H225" s="7" t="str">
        <f t="shared" si="4"/>
        <v>D</v>
      </c>
      <c r="I225" s="7" t="str">
        <f t="shared" si="5"/>
        <v>High ambition</v>
      </c>
      <c r="J225" s="7" t="str">
        <f t="shared" si="6"/>
        <v>Low</v>
      </c>
      <c r="K225" s="7">
        <f t="shared" si="7"/>
        <v>1976869</v>
      </c>
      <c r="L225" s="7">
        <f t="shared" si="8"/>
        <v>1521958.78</v>
      </c>
    </row>
    <row r="226">
      <c r="A226" s="5" t="s">
        <v>635</v>
      </c>
      <c r="B226" s="5" t="s">
        <v>636</v>
      </c>
      <c r="C226" s="5" t="s">
        <v>637</v>
      </c>
      <c r="D226" s="6">
        <v>5537.0</v>
      </c>
      <c r="E226" s="7">
        <f t="shared" si="1"/>
        <v>2</v>
      </c>
      <c r="F226" s="7">
        <f t="shared" si="2"/>
        <v>59094</v>
      </c>
      <c r="G226" s="7">
        <f t="shared" si="3"/>
        <v>45287</v>
      </c>
      <c r="H226" s="7" t="str">
        <f t="shared" si="4"/>
        <v>F</v>
      </c>
      <c r="I226" s="7" t="str">
        <f t="shared" si="5"/>
        <v>Transformative change</v>
      </c>
      <c r="J226" s="7" t="str">
        <f t="shared" si="6"/>
        <v>Low</v>
      </c>
      <c r="K226" s="7">
        <f t="shared" si="7"/>
        <v>1210002</v>
      </c>
      <c r="L226" s="7">
        <f t="shared" si="8"/>
        <v>1063452.949</v>
      </c>
    </row>
    <row r="227">
      <c r="A227" s="5" t="s">
        <v>638</v>
      </c>
      <c r="B227" s="5" t="s">
        <v>639</v>
      </c>
      <c r="C227" s="5" t="s">
        <v>640</v>
      </c>
      <c r="D227" s="6">
        <v>396662.0</v>
      </c>
      <c r="E227" s="7">
        <f t="shared" si="1"/>
        <v>3</v>
      </c>
      <c r="F227" s="7">
        <f t="shared" si="2"/>
        <v>13856</v>
      </c>
      <c r="G227" s="7">
        <f t="shared" si="3"/>
        <v>28850</v>
      </c>
      <c r="H227" s="7" t="str">
        <f t="shared" si="4"/>
        <v>A</v>
      </c>
      <c r="I227" s="7" t="str">
        <f t="shared" si="5"/>
        <v>Transformative change</v>
      </c>
      <c r="J227" s="7" t="str">
        <f t="shared" si="6"/>
        <v>High</v>
      </c>
      <c r="K227" s="7">
        <f t="shared" si="7"/>
        <v>3404465</v>
      </c>
      <c r="L227" s="7">
        <f t="shared" si="8"/>
        <v>866873.8483</v>
      </c>
    </row>
    <row r="228">
      <c r="A228" s="5" t="s">
        <v>641</v>
      </c>
      <c r="B228" s="5" t="s">
        <v>642</v>
      </c>
      <c r="C228" s="5" t="s">
        <v>576</v>
      </c>
      <c r="D228" s="6">
        <v>5524.0</v>
      </c>
      <c r="E228" s="7">
        <f t="shared" si="1"/>
        <v>3</v>
      </c>
      <c r="F228" s="7">
        <f t="shared" si="2"/>
        <v>86798</v>
      </c>
      <c r="G228" s="7">
        <f t="shared" si="3"/>
        <v>30281</v>
      </c>
      <c r="H228" s="7" t="str">
        <f t="shared" si="4"/>
        <v>G</v>
      </c>
      <c r="I228" s="7" t="str">
        <f t="shared" si="5"/>
        <v>Transformative change</v>
      </c>
      <c r="J228" s="7" t="str">
        <f t="shared" si="6"/>
        <v>High</v>
      </c>
      <c r="K228" s="7">
        <f t="shared" si="7"/>
        <v>2972807</v>
      </c>
      <c r="L228" s="7">
        <f t="shared" si="8"/>
        <v>1185068.819</v>
      </c>
    </row>
    <row r="229">
      <c r="A229" s="5" t="s">
        <v>643</v>
      </c>
      <c r="B229" s="5" t="s">
        <v>644</v>
      </c>
      <c r="C229" s="5" t="s">
        <v>645</v>
      </c>
      <c r="D229" s="6">
        <v>8152.0</v>
      </c>
      <c r="E229" s="7">
        <f t="shared" si="1"/>
        <v>3</v>
      </c>
      <c r="F229" s="7">
        <f t="shared" si="2"/>
        <v>16661</v>
      </c>
      <c r="G229" s="7">
        <f t="shared" si="3"/>
        <v>58517</v>
      </c>
      <c r="H229" s="7" t="str">
        <f t="shared" si="4"/>
        <v>F</v>
      </c>
      <c r="I229" s="7" t="str">
        <f t="shared" si="5"/>
        <v>Transformative change</v>
      </c>
      <c r="J229" s="7" t="str">
        <f t="shared" si="6"/>
        <v>Medium</v>
      </c>
      <c r="K229" s="7">
        <f t="shared" si="7"/>
        <v>3283828</v>
      </c>
      <c r="L229" s="7">
        <f t="shared" si="8"/>
        <v>1327163.092</v>
      </c>
    </row>
    <row r="230">
      <c r="A230" s="5" t="s">
        <v>646</v>
      </c>
      <c r="B230" s="5" t="s">
        <v>647</v>
      </c>
      <c r="C230" s="5" t="s">
        <v>74</v>
      </c>
      <c r="D230" s="6">
        <v>14394.0</v>
      </c>
      <c r="E230" s="7">
        <f t="shared" si="1"/>
        <v>5</v>
      </c>
      <c r="F230" s="7">
        <f t="shared" si="2"/>
        <v>52175</v>
      </c>
      <c r="G230" s="7">
        <f t="shared" si="3"/>
        <v>29888</v>
      </c>
      <c r="H230" s="7" t="str">
        <f t="shared" si="4"/>
        <v>C</v>
      </c>
      <c r="I230" s="7" t="str">
        <f t="shared" si="5"/>
        <v>Transformative change</v>
      </c>
      <c r="J230" s="7" t="str">
        <f t="shared" si="6"/>
        <v>Medium</v>
      </c>
      <c r="K230" s="7">
        <f t="shared" si="7"/>
        <v>1117282</v>
      </c>
      <c r="L230" s="7">
        <f t="shared" si="8"/>
        <v>324517.3237</v>
      </c>
    </row>
    <row r="231">
      <c r="A231" s="5" t="s">
        <v>648</v>
      </c>
      <c r="B231" s="5" t="s">
        <v>649</v>
      </c>
      <c r="C231" s="5" t="s">
        <v>650</v>
      </c>
      <c r="D231" s="6">
        <v>15903.0</v>
      </c>
      <c r="E231" s="7">
        <f t="shared" si="1"/>
        <v>2</v>
      </c>
      <c r="F231" s="7">
        <f t="shared" si="2"/>
        <v>72783</v>
      </c>
      <c r="G231" s="7">
        <f t="shared" si="3"/>
        <v>51211</v>
      </c>
      <c r="H231" s="7" t="str">
        <f t="shared" si="4"/>
        <v>A</v>
      </c>
      <c r="I231" s="7" t="str">
        <f t="shared" si="5"/>
        <v>Transformative change</v>
      </c>
      <c r="J231" s="7" t="str">
        <f t="shared" si="6"/>
        <v>High</v>
      </c>
      <c r="K231" s="7">
        <f t="shared" si="7"/>
        <v>3261929</v>
      </c>
      <c r="L231" s="7">
        <f t="shared" si="8"/>
        <v>501960.6257</v>
      </c>
    </row>
    <row r="232">
      <c r="A232" s="5" t="s">
        <v>651</v>
      </c>
      <c r="B232" s="5" t="s">
        <v>652</v>
      </c>
      <c r="C232" s="5" t="s">
        <v>653</v>
      </c>
      <c r="D232" s="6">
        <v>319013.0</v>
      </c>
      <c r="E232" s="7">
        <f t="shared" si="1"/>
        <v>1</v>
      </c>
      <c r="F232" s="7">
        <f t="shared" si="2"/>
        <v>13363</v>
      </c>
      <c r="G232" s="7">
        <f t="shared" si="3"/>
        <v>4812</v>
      </c>
      <c r="H232" s="7" t="str">
        <f t="shared" si="4"/>
        <v>A</v>
      </c>
      <c r="I232" s="7" t="str">
        <f t="shared" si="5"/>
        <v>Transformative change</v>
      </c>
      <c r="J232" s="7" t="str">
        <f t="shared" si="6"/>
        <v>High</v>
      </c>
      <c r="K232" s="7">
        <f t="shared" si="7"/>
        <v>1579264</v>
      </c>
      <c r="L232" s="7">
        <f t="shared" si="8"/>
        <v>886565.2002</v>
      </c>
    </row>
    <row r="233">
      <c r="A233" s="5" t="s">
        <v>654</v>
      </c>
      <c r="B233" s="5" t="s">
        <v>655</v>
      </c>
      <c r="C233" s="5" t="s">
        <v>656</v>
      </c>
      <c r="D233" s="6">
        <v>50560.0</v>
      </c>
      <c r="E233" s="7">
        <f t="shared" si="1"/>
        <v>4</v>
      </c>
      <c r="F233" s="7">
        <f t="shared" si="2"/>
        <v>48281</v>
      </c>
      <c r="G233" s="7">
        <f t="shared" si="3"/>
        <v>36108</v>
      </c>
      <c r="H233" s="7" t="str">
        <f t="shared" si="4"/>
        <v>B</v>
      </c>
      <c r="I233" s="7" t="str">
        <f t="shared" si="5"/>
        <v>Transformative change</v>
      </c>
      <c r="J233" s="7" t="str">
        <f t="shared" si="6"/>
        <v>Medium</v>
      </c>
      <c r="K233" s="7">
        <f t="shared" si="7"/>
        <v>165269</v>
      </c>
      <c r="L233" s="7">
        <f t="shared" si="8"/>
        <v>142502.8446</v>
      </c>
    </row>
    <row r="234">
      <c r="A234" s="5" t="s">
        <v>657</v>
      </c>
      <c r="B234" s="5" t="s">
        <v>658</v>
      </c>
      <c r="C234" s="5" t="s">
        <v>659</v>
      </c>
      <c r="D234" s="6">
        <v>9979.0</v>
      </c>
      <c r="E234" s="7">
        <f t="shared" si="1"/>
        <v>3</v>
      </c>
      <c r="F234" s="7">
        <f t="shared" si="2"/>
        <v>92627</v>
      </c>
      <c r="G234" s="7">
        <f t="shared" si="3"/>
        <v>44312</v>
      </c>
      <c r="H234" s="7" t="str">
        <f t="shared" si="4"/>
        <v>B</v>
      </c>
      <c r="I234" s="7" t="str">
        <f t="shared" si="5"/>
        <v>Transformative change</v>
      </c>
      <c r="J234" s="7" t="str">
        <f t="shared" si="6"/>
        <v>Medium</v>
      </c>
      <c r="K234" s="7">
        <f t="shared" si="7"/>
        <v>3112540</v>
      </c>
      <c r="L234" s="7">
        <f t="shared" si="8"/>
        <v>1070829.854</v>
      </c>
    </row>
    <row r="235">
      <c r="A235" s="5" t="s">
        <v>660</v>
      </c>
      <c r="B235" s="5" t="s">
        <v>661</v>
      </c>
      <c r="C235" s="5" t="s">
        <v>662</v>
      </c>
      <c r="D235" s="6">
        <v>5061.0</v>
      </c>
      <c r="E235" s="7">
        <f t="shared" si="1"/>
        <v>1</v>
      </c>
      <c r="F235" s="7">
        <f t="shared" si="2"/>
        <v>65002</v>
      </c>
      <c r="G235" s="7">
        <f t="shared" si="3"/>
        <v>32165</v>
      </c>
      <c r="H235" s="7" t="str">
        <f t="shared" si="4"/>
        <v>A</v>
      </c>
      <c r="I235" s="7" t="str">
        <f t="shared" si="5"/>
        <v>Transformative change</v>
      </c>
      <c r="J235" s="7" t="str">
        <f t="shared" si="6"/>
        <v>Medium</v>
      </c>
      <c r="K235" s="7">
        <f t="shared" si="7"/>
        <v>3045116</v>
      </c>
      <c r="L235" s="7">
        <f t="shared" si="8"/>
        <v>1243050.829</v>
      </c>
    </row>
    <row r="236">
      <c r="A236" s="5" t="s">
        <v>663</v>
      </c>
      <c r="B236" s="5" t="s">
        <v>664</v>
      </c>
      <c r="C236" s="5" t="s">
        <v>74</v>
      </c>
      <c r="D236" s="6">
        <v>10676.0</v>
      </c>
      <c r="E236" s="7">
        <f t="shared" si="1"/>
        <v>1</v>
      </c>
      <c r="F236" s="7">
        <f t="shared" si="2"/>
        <v>28689</v>
      </c>
      <c r="G236" s="7">
        <f t="shared" si="3"/>
        <v>25492</v>
      </c>
      <c r="H236" s="7" t="str">
        <f t="shared" si="4"/>
        <v>A</v>
      </c>
      <c r="I236" s="7" t="str">
        <f t="shared" si="5"/>
        <v>Transformative change</v>
      </c>
      <c r="J236" s="7" t="str">
        <f t="shared" si="6"/>
        <v>Medium</v>
      </c>
      <c r="K236" s="7">
        <f t="shared" si="7"/>
        <v>3668377</v>
      </c>
      <c r="L236" s="7">
        <f t="shared" si="8"/>
        <v>702339.7786</v>
      </c>
    </row>
    <row r="237">
      <c r="A237" s="5" t="s">
        <v>665</v>
      </c>
      <c r="B237" s="5" t="s">
        <v>666</v>
      </c>
      <c r="C237" s="5" t="s">
        <v>667</v>
      </c>
      <c r="D237" s="6">
        <v>7791.0</v>
      </c>
      <c r="E237" s="7">
        <f t="shared" si="1"/>
        <v>5</v>
      </c>
      <c r="F237" s="7">
        <f t="shared" si="2"/>
        <v>38566</v>
      </c>
      <c r="G237" s="7">
        <f t="shared" si="3"/>
        <v>23493</v>
      </c>
      <c r="H237" s="7" t="str">
        <f t="shared" si="4"/>
        <v>C</v>
      </c>
      <c r="I237" s="7" t="str">
        <f t="shared" si="5"/>
        <v>Transformative change</v>
      </c>
      <c r="J237" s="7" t="str">
        <f t="shared" si="6"/>
        <v>High</v>
      </c>
      <c r="K237" s="7">
        <f t="shared" si="7"/>
        <v>3646331</v>
      </c>
      <c r="L237" s="7">
        <f t="shared" si="8"/>
        <v>1124499.531</v>
      </c>
    </row>
    <row r="238">
      <c r="A238" s="5" t="s">
        <v>668</v>
      </c>
      <c r="B238" s="5" t="s">
        <v>669</v>
      </c>
      <c r="C238" s="5" t="s">
        <v>670</v>
      </c>
      <c r="D238" s="6">
        <v>18951.0</v>
      </c>
      <c r="E238" s="7">
        <f t="shared" si="1"/>
        <v>5</v>
      </c>
      <c r="F238" s="7">
        <f t="shared" si="2"/>
        <v>35619</v>
      </c>
      <c r="G238" s="7">
        <f t="shared" si="3"/>
        <v>14955</v>
      </c>
      <c r="H238" s="7" t="str">
        <f t="shared" si="4"/>
        <v>D</v>
      </c>
      <c r="I238" s="7" t="str">
        <f t="shared" si="5"/>
        <v>Transformative change</v>
      </c>
      <c r="J238" s="7" t="str">
        <f t="shared" si="6"/>
        <v>Low</v>
      </c>
      <c r="K238" s="7">
        <f t="shared" si="7"/>
        <v>788647</v>
      </c>
      <c r="L238" s="7">
        <f t="shared" si="8"/>
        <v>505869.2765</v>
      </c>
    </row>
    <row r="239">
      <c r="A239" s="5" t="s">
        <v>671</v>
      </c>
      <c r="B239" s="5" t="s">
        <v>672</v>
      </c>
      <c r="C239" s="5" t="s">
        <v>673</v>
      </c>
      <c r="D239" s="6">
        <v>11694.0</v>
      </c>
      <c r="E239" s="7">
        <f t="shared" si="1"/>
        <v>1</v>
      </c>
      <c r="F239" s="7">
        <f t="shared" si="2"/>
        <v>57392</v>
      </c>
      <c r="G239" s="7">
        <f t="shared" si="3"/>
        <v>30849</v>
      </c>
      <c r="H239" s="7" t="str">
        <f t="shared" si="4"/>
        <v>F</v>
      </c>
      <c r="I239" s="7" t="str">
        <f t="shared" si="5"/>
        <v>Transformative change</v>
      </c>
      <c r="J239" s="7" t="str">
        <f t="shared" si="6"/>
        <v>Low</v>
      </c>
      <c r="K239" s="7">
        <f t="shared" si="7"/>
        <v>1279786</v>
      </c>
      <c r="L239" s="7">
        <f t="shared" si="8"/>
        <v>452636.4345</v>
      </c>
    </row>
    <row r="240">
      <c r="A240" s="5" t="s">
        <v>151</v>
      </c>
      <c r="B240" s="5" t="s">
        <v>674</v>
      </c>
      <c r="C240" s="5" t="s">
        <v>675</v>
      </c>
      <c r="D240" s="6">
        <v>12505.0</v>
      </c>
      <c r="E240" s="7">
        <f t="shared" si="1"/>
        <v>3</v>
      </c>
      <c r="F240" s="7">
        <f t="shared" si="2"/>
        <v>77246</v>
      </c>
      <c r="G240" s="7">
        <f t="shared" si="3"/>
        <v>1609</v>
      </c>
      <c r="H240" s="7" t="str">
        <f t="shared" si="4"/>
        <v>G</v>
      </c>
      <c r="I240" s="7" t="str">
        <f t="shared" si="5"/>
        <v>Transformative change</v>
      </c>
      <c r="J240" s="7" t="str">
        <f t="shared" si="6"/>
        <v>High</v>
      </c>
      <c r="K240" s="7">
        <f t="shared" si="7"/>
        <v>3832545</v>
      </c>
      <c r="L240" s="7">
        <f t="shared" si="8"/>
        <v>2109596.038</v>
      </c>
    </row>
    <row r="241">
      <c r="A241" s="5" t="s">
        <v>676</v>
      </c>
      <c r="B241" s="5" t="s">
        <v>677</v>
      </c>
      <c r="C241" s="5" t="s">
        <v>678</v>
      </c>
      <c r="D241" s="6">
        <v>25098.0</v>
      </c>
      <c r="E241" s="7">
        <f t="shared" si="1"/>
        <v>4</v>
      </c>
      <c r="F241" s="7">
        <f t="shared" si="2"/>
        <v>83755</v>
      </c>
      <c r="G241" s="7">
        <f t="shared" si="3"/>
        <v>17879</v>
      </c>
      <c r="H241" s="7" t="str">
        <f t="shared" si="4"/>
        <v>A</v>
      </c>
      <c r="I241" s="7" t="str">
        <f t="shared" si="5"/>
        <v>High ambition</v>
      </c>
      <c r="J241" s="7" t="str">
        <f t="shared" si="6"/>
        <v>Medium</v>
      </c>
      <c r="K241" s="7">
        <f t="shared" si="7"/>
        <v>918386</v>
      </c>
      <c r="L241" s="7">
        <f t="shared" si="8"/>
        <v>243742.3981</v>
      </c>
    </row>
    <row r="242">
      <c r="A242" s="5" t="s">
        <v>679</v>
      </c>
      <c r="B242" s="5" t="s">
        <v>680</v>
      </c>
      <c r="C242" s="5" t="s">
        <v>681</v>
      </c>
      <c r="D242" s="6">
        <v>16234.0</v>
      </c>
      <c r="E242" s="7">
        <f t="shared" si="1"/>
        <v>5</v>
      </c>
      <c r="F242" s="7">
        <f t="shared" si="2"/>
        <v>56115</v>
      </c>
      <c r="G242" s="7">
        <f t="shared" si="3"/>
        <v>31644</v>
      </c>
      <c r="H242" s="7" t="str">
        <f t="shared" si="4"/>
        <v>F</v>
      </c>
      <c r="I242" s="7" t="str">
        <f t="shared" si="5"/>
        <v>Transformative change</v>
      </c>
      <c r="J242" s="7" t="str">
        <f t="shared" si="6"/>
        <v>Low</v>
      </c>
      <c r="K242" s="7">
        <f t="shared" si="7"/>
        <v>616893</v>
      </c>
      <c r="L242" s="7">
        <f t="shared" si="8"/>
        <v>429983.1978</v>
      </c>
    </row>
    <row r="243">
      <c r="A243" s="5" t="s">
        <v>682</v>
      </c>
      <c r="B243" s="5" t="s">
        <v>683</v>
      </c>
      <c r="C243" s="5" t="s">
        <v>684</v>
      </c>
      <c r="D243" s="6">
        <v>13532.0</v>
      </c>
      <c r="E243" s="7">
        <f t="shared" si="1"/>
        <v>2</v>
      </c>
      <c r="F243" s="7">
        <f t="shared" si="2"/>
        <v>5891</v>
      </c>
      <c r="G243" s="7">
        <f t="shared" si="3"/>
        <v>42218</v>
      </c>
      <c r="H243" s="7" t="str">
        <f t="shared" si="4"/>
        <v>E</v>
      </c>
      <c r="I243" s="7" t="str">
        <f t="shared" si="5"/>
        <v>Transformative change</v>
      </c>
      <c r="J243" s="7" t="str">
        <f t="shared" si="6"/>
        <v>Low</v>
      </c>
      <c r="K243" s="7">
        <f t="shared" si="7"/>
        <v>2336669</v>
      </c>
      <c r="L243" s="7">
        <f t="shared" si="8"/>
        <v>2035245.879</v>
      </c>
    </row>
    <row r="244">
      <c r="A244" s="5" t="s">
        <v>685</v>
      </c>
      <c r="B244" s="5" t="s">
        <v>686</v>
      </c>
      <c r="C244" s="5" t="s">
        <v>687</v>
      </c>
      <c r="D244" s="6">
        <v>15731.0</v>
      </c>
      <c r="E244" s="7">
        <f t="shared" si="1"/>
        <v>2</v>
      </c>
      <c r="F244" s="7">
        <f t="shared" si="2"/>
        <v>83986</v>
      </c>
      <c r="G244" s="7">
        <f t="shared" si="3"/>
        <v>13779</v>
      </c>
      <c r="H244" s="7" t="str">
        <f t="shared" si="4"/>
        <v>G</v>
      </c>
      <c r="I244" s="7" t="str">
        <f t="shared" si="5"/>
        <v>Transformative change</v>
      </c>
      <c r="J244" s="7" t="str">
        <f t="shared" si="6"/>
        <v>Low</v>
      </c>
      <c r="K244" s="7">
        <f t="shared" si="7"/>
        <v>3210058</v>
      </c>
      <c r="L244" s="7">
        <f t="shared" si="8"/>
        <v>496732.0054</v>
      </c>
    </row>
    <row r="245">
      <c r="A245" s="5" t="s">
        <v>688</v>
      </c>
      <c r="B245" s="5" t="s">
        <v>689</v>
      </c>
      <c r="C245" s="5" t="s">
        <v>690</v>
      </c>
      <c r="D245" s="6">
        <v>15013.0</v>
      </c>
      <c r="E245" s="7">
        <f t="shared" si="1"/>
        <v>3</v>
      </c>
      <c r="F245" s="7">
        <f t="shared" si="2"/>
        <v>90140</v>
      </c>
      <c r="G245" s="7">
        <f t="shared" si="3"/>
        <v>64304</v>
      </c>
      <c r="H245" s="7" t="str">
        <f t="shared" si="4"/>
        <v>D</v>
      </c>
      <c r="I245" s="7" t="str">
        <f t="shared" si="5"/>
        <v>Transformative change</v>
      </c>
      <c r="J245" s="7" t="str">
        <f t="shared" si="6"/>
        <v>Low</v>
      </c>
      <c r="K245" s="7">
        <f t="shared" si="7"/>
        <v>2074010</v>
      </c>
      <c r="L245" s="7">
        <f t="shared" si="8"/>
        <v>620690.7586</v>
      </c>
    </row>
    <row r="246">
      <c r="A246" s="5" t="s">
        <v>691</v>
      </c>
      <c r="B246" s="5" t="s">
        <v>692</v>
      </c>
      <c r="C246" s="5" t="s">
        <v>74</v>
      </c>
      <c r="D246" s="6">
        <v>5535.0</v>
      </c>
      <c r="E246" s="7">
        <f t="shared" si="1"/>
        <v>1</v>
      </c>
      <c r="F246" s="7">
        <f t="shared" si="2"/>
        <v>98865</v>
      </c>
      <c r="G246" s="7">
        <f t="shared" si="3"/>
        <v>93838</v>
      </c>
      <c r="H246" s="7" t="str">
        <f t="shared" si="4"/>
        <v>F</v>
      </c>
      <c r="I246" s="7" t="str">
        <f t="shared" si="5"/>
        <v>Transformative change</v>
      </c>
      <c r="J246" s="7" t="str">
        <f t="shared" si="6"/>
        <v>Low</v>
      </c>
      <c r="K246" s="7">
        <f t="shared" si="7"/>
        <v>619439</v>
      </c>
      <c r="L246" s="7">
        <f t="shared" si="8"/>
        <v>579016.3205</v>
      </c>
    </row>
    <row r="247">
      <c r="A247" s="5" t="s">
        <v>693</v>
      </c>
      <c r="B247" s="5" t="s">
        <v>694</v>
      </c>
      <c r="C247" s="5" t="s">
        <v>74</v>
      </c>
      <c r="D247" s="6">
        <v>9769.0</v>
      </c>
      <c r="E247" s="7">
        <f t="shared" si="1"/>
        <v>4</v>
      </c>
      <c r="F247" s="7">
        <f t="shared" si="2"/>
        <v>20116</v>
      </c>
      <c r="G247" s="7">
        <f t="shared" si="3"/>
        <v>39668</v>
      </c>
      <c r="H247" s="7" t="str">
        <f t="shared" si="4"/>
        <v>D</v>
      </c>
      <c r="I247" s="7" t="str">
        <f t="shared" si="5"/>
        <v>Transformative change</v>
      </c>
      <c r="J247" s="7" t="str">
        <f t="shared" si="6"/>
        <v>High</v>
      </c>
      <c r="K247" s="7">
        <f t="shared" si="7"/>
        <v>2281420</v>
      </c>
      <c r="L247" s="7">
        <f t="shared" si="8"/>
        <v>1585794.528</v>
      </c>
    </row>
    <row r="248">
      <c r="A248" s="5" t="s">
        <v>695</v>
      </c>
      <c r="B248" s="5" t="s">
        <v>696</v>
      </c>
      <c r="C248" s="5" t="s">
        <v>697</v>
      </c>
      <c r="D248" s="6">
        <v>13041.0</v>
      </c>
      <c r="E248" s="7">
        <f t="shared" si="1"/>
        <v>4</v>
      </c>
      <c r="F248" s="7">
        <f t="shared" si="2"/>
        <v>53583</v>
      </c>
      <c r="G248" s="7">
        <f t="shared" si="3"/>
        <v>40791</v>
      </c>
      <c r="H248" s="7" t="str">
        <f t="shared" si="4"/>
        <v>A</v>
      </c>
      <c r="I248" s="7" t="str">
        <f t="shared" si="5"/>
        <v>Transformative change</v>
      </c>
      <c r="J248" s="7" t="str">
        <f t="shared" si="6"/>
        <v>High</v>
      </c>
      <c r="K248" s="7">
        <f t="shared" si="7"/>
        <v>2512566</v>
      </c>
      <c r="L248" s="7">
        <f t="shared" si="8"/>
        <v>999192.2666</v>
      </c>
    </row>
    <row r="249">
      <c r="A249" s="5" t="s">
        <v>698</v>
      </c>
      <c r="B249" s="5" t="s">
        <v>699</v>
      </c>
      <c r="C249" s="5" t="s">
        <v>74</v>
      </c>
      <c r="D249" s="6">
        <v>9418.0</v>
      </c>
      <c r="E249" s="7">
        <f t="shared" si="1"/>
        <v>3</v>
      </c>
      <c r="F249" s="7">
        <f t="shared" si="2"/>
        <v>99938</v>
      </c>
      <c r="G249" s="7">
        <f t="shared" si="3"/>
        <v>45442</v>
      </c>
      <c r="H249" s="7" t="str">
        <f t="shared" si="4"/>
        <v>F</v>
      </c>
      <c r="I249" s="7" t="str">
        <f t="shared" si="5"/>
        <v>Transformative change</v>
      </c>
      <c r="J249" s="7" t="str">
        <f t="shared" si="6"/>
        <v>Low</v>
      </c>
      <c r="K249" s="7">
        <f t="shared" si="7"/>
        <v>711931</v>
      </c>
      <c r="L249" s="7">
        <f t="shared" si="8"/>
        <v>678987.8486</v>
      </c>
    </row>
    <row r="250">
      <c r="A250" s="5" t="s">
        <v>700</v>
      </c>
      <c r="B250" s="5" t="s">
        <v>701</v>
      </c>
      <c r="C250" s="5" t="s">
        <v>702</v>
      </c>
      <c r="D250" s="6">
        <v>11128.0</v>
      </c>
      <c r="E250" s="7">
        <f t="shared" si="1"/>
        <v>2</v>
      </c>
      <c r="F250" s="7">
        <f t="shared" si="2"/>
        <v>38903</v>
      </c>
      <c r="G250" s="7">
        <f t="shared" si="3"/>
        <v>39321</v>
      </c>
      <c r="H250" s="7" t="str">
        <f t="shared" si="4"/>
        <v>C</v>
      </c>
      <c r="I250" s="7" t="str">
        <f t="shared" si="5"/>
        <v>Transformative change</v>
      </c>
      <c r="J250" s="7" t="str">
        <f t="shared" si="6"/>
        <v>Low</v>
      </c>
      <c r="K250" s="7">
        <f t="shared" si="7"/>
        <v>1711783</v>
      </c>
      <c r="L250" s="7">
        <f t="shared" si="8"/>
        <v>1601036.998</v>
      </c>
    </row>
    <row r="251">
      <c r="A251" s="5" t="s">
        <v>703</v>
      </c>
      <c r="B251" s="5" t="s">
        <v>704</v>
      </c>
      <c r="C251" s="5" t="s">
        <v>74</v>
      </c>
      <c r="D251" s="6">
        <v>12667.0</v>
      </c>
      <c r="E251" s="7">
        <f t="shared" si="1"/>
        <v>5</v>
      </c>
      <c r="F251" s="7">
        <f t="shared" si="2"/>
        <v>64477</v>
      </c>
      <c r="G251" s="7">
        <f t="shared" si="3"/>
        <v>9230</v>
      </c>
      <c r="H251" s="7" t="str">
        <f t="shared" si="4"/>
        <v>C</v>
      </c>
      <c r="I251" s="7" t="str">
        <f t="shared" si="5"/>
        <v>Transformative change</v>
      </c>
      <c r="J251" s="7" t="str">
        <f t="shared" si="6"/>
        <v>High</v>
      </c>
      <c r="K251" s="7">
        <f t="shared" si="7"/>
        <v>3434584</v>
      </c>
      <c r="L251" s="7">
        <f t="shared" si="8"/>
        <v>3347469.355</v>
      </c>
    </row>
    <row r="252">
      <c r="A252" s="5" t="s">
        <v>705</v>
      </c>
      <c r="B252" s="5" t="s">
        <v>706</v>
      </c>
      <c r="C252" s="5" t="s">
        <v>74</v>
      </c>
      <c r="D252" s="6">
        <v>145699.0</v>
      </c>
      <c r="E252" s="7">
        <f t="shared" si="1"/>
        <v>4</v>
      </c>
      <c r="F252" s="7">
        <f t="shared" si="2"/>
        <v>96179</v>
      </c>
      <c r="G252" s="7">
        <f t="shared" si="3"/>
        <v>20203</v>
      </c>
      <c r="H252" s="7" t="str">
        <f t="shared" si="4"/>
        <v>E</v>
      </c>
      <c r="I252" s="7" t="str">
        <f t="shared" si="5"/>
        <v>Transformative change</v>
      </c>
      <c r="J252" s="7" t="str">
        <f t="shared" si="6"/>
        <v>Medium</v>
      </c>
      <c r="K252" s="7">
        <f t="shared" si="7"/>
        <v>3962532</v>
      </c>
      <c r="L252" s="7">
        <f t="shared" si="8"/>
        <v>1670412.35</v>
      </c>
    </row>
    <row r="253">
      <c r="A253" s="5" t="s">
        <v>707</v>
      </c>
      <c r="B253" s="5" t="s">
        <v>708</v>
      </c>
      <c r="C253" s="5" t="s">
        <v>709</v>
      </c>
      <c r="D253" s="6">
        <v>12684.0</v>
      </c>
      <c r="E253" s="7">
        <f t="shared" si="1"/>
        <v>2</v>
      </c>
      <c r="F253" s="7">
        <f t="shared" si="2"/>
        <v>53660</v>
      </c>
      <c r="G253" s="7">
        <f t="shared" si="3"/>
        <v>5399</v>
      </c>
      <c r="H253" s="7" t="str">
        <f t="shared" si="4"/>
        <v>E</v>
      </c>
      <c r="I253" s="7" t="str">
        <f t="shared" si="5"/>
        <v>Transformative change</v>
      </c>
      <c r="J253" s="7" t="str">
        <f t="shared" si="6"/>
        <v>High</v>
      </c>
      <c r="K253" s="7">
        <f t="shared" si="7"/>
        <v>2852000</v>
      </c>
      <c r="L253" s="7">
        <f t="shared" si="8"/>
        <v>2666091.06</v>
      </c>
    </row>
    <row r="254">
      <c r="A254" s="5" t="s">
        <v>710</v>
      </c>
      <c r="B254" s="5" t="s">
        <v>711</v>
      </c>
      <c r="C254" s="5" t="s">
        <v>712</v>
      </c>
      <c r="D254" s="6">
        <v>11734.0</v>
      </c>
      <c r="E254" s="7">
        <f t="shared" si="1"/>
        <v>4</v>
      </c>
      <c r="F254" s="7">
        <f t="shared" si="2"/>
        <v>62539</v>
      </c>
      <c r="G254" s="7">
        <f t="shared" si="3"/>
        <v>7857</v>
      </c>
      <c r="H254" s="7" t="str">
        <f t="shared" si="4"/>
        <v>G</v>
      </c>
      <c r="I254" s="7" t="str">
        <f t="shared" si="5"/>
        <v>Transformative change</v>
      </c>
      <c r="J254" s="7" t="str">
        <f t="shared" si="6"/>
        <v>Medium</v>
      </c>
      <c r="K254" s="7">
        <f t="shared" si="7"/>
        <v>235221</v>
      </c>
      <c r="L254" s="7">
        <f t="shared" si="8"/>
        <v>219494.226</v>
      </c>
    </row>
    <row r="255">
      <c r="A255" s="5" t="s">
        <v>713</v>
      </c>
      <c r="B255" s="5" t="s">
        <v>714</v>
      </c>
      <c r="C255" s="5" t="s">
        <v>715</v>
      </c>
      <c r="D255" s="6">
        <v>18553.0</v>
      </c>
      <c r="E255" s="7">
        <f t="shared" si="1"/>
        <v>1</v>
      </c>
      <c r="F255" s="7">
        <f t="shared" si="2"/>
        <v>75802</v>
      </c>
      <c r="G255" s="7">
        <f t="shared" si="3"/>
        <v>59448</v>
      </c>
      <c r="H255" s="7" t="str">
        <f t="shared" si="4"/>
        <v>C</v>
      </c>
      <c r="I255" s="7" t="str">
        <f t="shared" si="5"/>
        <v>Transformative change</v>
      </c>
      <c r="J255" s="7" t="str">
        <f t="shared" si="6"/>
        <v>High</v>
      </c>
      <c r="K255" s="7">
        <f t="shared" si="7"/>
        <v>2201556</v>
      </c>
      <c r="L255" s="7">
        <f t="shared" si="8"/>
        <v>179813.7921</v>
      </c>
    </row>
    <row r="256">
      <c r="A256" s="5" t="s">
        <v>716</v>
      </c>
      <c r="B256" s="5" t="s">
        <v>717</v>
      </c>
      <c r="C256" s="5" t="s">
        <v>718</v>
      </c>
      <c r="D256" s="6">
        <v>13627.0</v>
      </c>
      <c r="E256" s="7">
        <f t="shared" si="1"/>
        <v>3</v>
      </c>
      <c r="F256" s="7">
        <f t="shared" si="2"/>
        <v>85625</v>
      </c>
      <c r="G256" s="7">
        <f t="shared" si="3"/>
        <v>73058</v>
      </c>
      <c r="H256" s="7" t="str">
        <f t="shared" si="4"/>
        <v>A</v>
      </c>
      <c r="I256" s="7" t="str">
        <f t="shared" si="5"/>
        <v>Transformative change</v>
      </c>
      <c r="J256" s="7" t="str">
        <f t="shared" si="6"/>
        <v>Low</v>
      </c>
      <c r="K256" s="7">
        <f t="shared" si="7"/>
        <v>2340698</v>
      </c>
      <c r="L256" s="7">
        <f t="shared" si="8"/>
        <v>561106.4769</v>
      </c>
    </row>
    <row r="257">
      <c r="A257" s="5" t="s">
        <v>719</v>
      </c>
      <c r="B257" s="5" t="s">
        <v>720</v>
      </c>
      <c r="C257" s="5" t="s">
        <v>74</v>
      </c>
      <c r="D257" s="6">
        <v>976075.0</v>
      </c>
      <c r="E257" s="7">
        <f t="shared" si="1"/>
        <v>4</v>
      </c>
      <c r="F257" s="7">
        <f t="shared" si="2"/>
        <v>66980</v>
      </c>
      <c r="G257" s="7">
        <f t="shared" si="3"/>
        <v>1331</v>
      </c>
      <c r="H257" s="7" t="str">
        <f t="shared" si="4"/>
        <v>A</v>
      </c>
      <c r="I257" s="7" t="str">
        <f t="shared" si="5"/>
        <v>Transformative change</v>
      </c>
      <c r="J257" s="7" t="str">
        <f t="shared" si="6"/>
        <v>High</v>
      </c>
      <c r="K257" s="7">
        <f t="shared" si="7"/>
        <v>1400147</v>
      </c>
      <c r="L257" s="7">
        <f t="shared" si="8"/>
        <v>763721.5593</v>
      </c>
    </row>
    <row r="258">
      <c r="A258" s="5" t="s">
        <v>721</v>
      </c>
      <c r="B258" s="5" t="s">
        <v>722</v>
      </c>
      <c r="C258" s="5" t="s">
        <v>723</v>
      </c>
      <c r="D258" s="6">
        <v>17107.0</v>
      </c>
      <c r="E258" s="7">
        <f t="shared" si="1"/>
        <v>5</v>
      </c>
      <c r="F258" s="7">
        <f t="shared" si="2"/>
        <v>92853</v>
      </c>
      <c r="G258" s="7">
        <f t="shared" si="3"/>
        <v>71319</v>
      </c>
      <c r="H258" s="7" t="str">
        <f t="shared" si="4"/>
        <v>D</v>
      </c>
      <c r="I258" s="7" t="str">
        <f t="shared" si="5"/>
        <v>Transformative change</v>
      </c>
      <c r="J258" s="7" t="str">
        <f t="shared" si="6"/>
        <v>Medium</v>
      </c>
      <c r="K258" s="7">
        <f t="shared" si="7"/>
        <v>1279306</v>
      </c>
      <c r="L258" s="7">
        <f t="shared" si="8"/>
        <v>720933.123</v>
      </c>
    </row>
    <row r="259">
      <c r="A259" s="5" t="s">
        <v>724</v>
      </c>
      <c r="B259" s="5" t="s">
        <v>725</v>
      </c>
      <c r="C259" s="5" t="s">
        <v>726</v>
      </c>
      <c r="D259" s="6">
        <v>72609.0</v>
      </c>
      <c r="E259" s="7">
        <f t="shared" si="1"/>
        <v>3</v>
      </c>
      <c r="F259" s="7">
        <f t="shared" si="2"/>
        <v>7450</v>
      </c>
      <c r="G259" s="7">
        <f t="shared" si="3"/>
        <v>65393</v>
      </c>
      <c r="H259" s="7" t="str">
        <f t="shared" si="4"/>
        <v>C</v>
      </c>
      <c r="I259" s="7" t="str">
        <f t="shared" si="5"/>
        <v>Transformative change</v>
      </c>
      <c r="J259" s="7" t="str">
        <f t="shared" si="6"/>
        <v>Low</v>
      </c>
      <c r="K259" s="7">
        <f t="shared" si="7"/>
        <v>1652542</v>
      </c>
      <c r="L259" s="7">
        <f t="shared" si="8"/>
        <v>1109128.071</v>
      </c>
    </row>
    <row r="260">
      <c r="A260" s="5" t="s">
        <v>727</v>
      </c>
      <c r="B260" s="5" t="s">
        <v>728</v>
      </c>
      <c r="C260" s="5" t="s">
        <v>74</v>
      </c>
      <c r="D260" s="6">
        <v>8075.0</v>
      </c>
      <c r="E260" s="7">
        <f t="shared" si="1"/>
        <v>2</v>
      </c>
      <c r="F260" s="7">
        <f t="shared" si="2"/>
        <v>28228</v>
      </c>
      <c r="G260" s="7">
        <f t="shared" si="3"/>
        <v>5017</v>
      </c>
      <c r="H260" s="7" t="str">
        <f t="shared" si="4"/>
        <v>F</v>
      </c>
      <c r="I260" s="7" t="str">
        <f t="shared" si="5"/>
        <v>Transformative change</v>
      </c>
      <c r="J260" s="7" t="str">
        <f t="shared" si="6"/>
        <v>Low</v>
      </c>
      <c r="K260" s="7">
        <f t="shared" si="7"/>
        <v>783544</v>
      </c>
      <c r="L260" s="7">
        <f t="shared" si="8"/>
        <v>85133.33642</v>
      </c>
    </row>
    <row r="261">
      <c r="A261" s="5" t="s">
        <v>488</v>
      </c>
      <c r="B261" s="5" t="s">
        <v>729</v>
      </c>
      <c r="C261" s="5" t="s">
        <v>730</v>
      </c>
      <c r="D261" s="6">
        <v>11759.0</v>
      </c>
      <c r="E261" s="7">
        <f t="shared" si="1"/>
        <v>3</v>
      </c>
      <c r="F261" s="7">
        <f t="shared" si="2"/>
        <v>46101</v>
      </c>
      <c r="G261" s="7">
        <f t="shared" si="3"/>
        <v>41799</v>
      </c>
      <c r="H261" s="7" t="str">
        <f t="shared" si="4"/>
        <v>D</v>
      </c>
      <c r="I261" s="7" t="str">
        <f t="shared" si="5"/>
        <v>High ambition</v>
      </c>
      <c r="J261" s="7" t="str">
        <f t="shared" si="6"/>
        <v>Medium</v>
      </c>
      <c r="K261" s="7">
        <f t="shared" si="7"/>
        <v>3083342</v>
      </c>
      <c r="L261" s="7">
        <f t="shared" si="8"/>
        <v>1140943.984</v>
      </c>
    </row>
    <row r="262">
      <c r="A262" s="5" t="s">
        <v>731</v>
      </c>
      <c r="B262" s="5" t="s">
        <v>732</v>
      </c>
      <c r="C262" s="5" t="s">
        <v>733</v>
      </c>
      <c r="D262" s="6">
        <v>11928.0</v>
      </c>
      <c r="E262" s="7">
        <f t="shared" si="1"/>
        <v>1</v>
      </c>
      <c r="F262" s="7">
        <f t="shared" si="2"/>
        <v>23688</v>
      </c>
      <c r="G262" s="7">
        <f t="shared" si="3"/>
        <v>39983</v>
      </c>
      <c r="H262" s="7" t="str">
        <f t="shared" si="4"/>
        <v>C</v>
      </c>
      <c r="I262" s="7" t="str">
        <f t="shared" si="5"/>
        <v>Transformative change</v>
      </c>
      <c r="J262" s="7" t="str">
        <f t="shared" si="6"/>
        <v>Low</v>
      </c>
      <c r="K262" s="7">
        <f t="shared" si="7"/>
        <v>1314311</v>
      </c>
      <c r="L262" s="7">
        <f t="shared" si="8"/>
        <v>1129879.731</v>
      </c>
    </row>
    <row r="263">
      <c r="A263" s="5" t="s">
        <v>734</v>
      </c>
      <c r="B263" s="5" t="s">
        <v>735</v>
      </c>
      <c r="C263" s="5" t="s">
        <v>736</v>
      </c>
      <c r="D263" s="6">
        <v>19877.0</v>
      </c>
      <c r="E263" s="7">
        <f t="shared" si="1"/>
        <v>4</v>
      </c>
      <c r="F263" s="7">
        <f t="shared" si="2"/>
        <v>93940</v>
      </c>
      <c r="G263" s="7">
        <f t="shared" si="3"/>
        <v>40763</v>
      </c>
      <c r="H263" s="7" t="str">
        <f t="shared" si="4"/>
        <v>D</v>
      </c>
      <c r="I263" s="7" t="str">
        <f t="shared" si="5"/>
        <v>Transformative change</v>
      </c>
      <c r="J263" s="7" t="str">
        <f t="shared" si="6"/>
        <v>High</v>
      </c>
      <c r="K263" s="7">
        <f t="shared" si="7"/>
        <v>1332519</v>
      </c>
      <c r="L263" s="7">
        <f t="shared" si="8"/>
        <v>1319920.259</v>
      </c>
    </row>
    <row r="264">
      <c r="A264" s="5" t="s">
        <v>737</v>
      </c>
      <c r="B264" s="5" t="s">
        <v>738</v>
      </c>
      <c r="C264" s="5" t="s">
        <v>739</v>
      </c>
      <c r="D264" s="6">
        <v>14485.0</v>
      </c>
      <c r="E264" s="7">
        <f t="shared" si="1"/>
        <v>5</v>
      </c>
      <c r="F264" s="7">
        <f t="shared" si="2"/>
        <v>63994</v>
      </c>
      <c r="G264" s="7">
        <f t="shared" si="3"/>
        <v>44274</v>
      </c>
      <c r="H264" s="7" t="str">
        <f t="shared" si="4"/>
        <v>F</v>
      </c>
      <c r="I264" s="7" t="str">
        <f t="shared" si="5"/>
        <v>Transformative change</v>
      </c>
      <c r="J264" s="7" t="str">
        <f t="shared" si="6"/>
        <v>High</v>
      </c>
      <c r="K264" s="7">
        <f t="shared" si="7"/>
        <v>3810751</v>
      </c>
      <c r="L264" s="7">
        <f t="shared" si="8"/>
        <v>571698.1245</v>
      </c>
    </row>
    <row r="265">
      <c r="A265" s="5" t="s">
        <v>740</v>
      </c>
      <c r="B265" s="5" t="s">
        <v>741</v>
      </c>
      <c r="C265" s="5" t="s">
        <v>742</v>
      </c>
      <c r="D265" s="6">
        <v>27341.0</v>
      </c>
      <c r="E265" s="7">
        <f t="shared" si="1"/>
        <v>1</v>
      </c>
      <c r="F265" s="7">
        <f t="shared" si="2"/>
        <v>13629</v>
      </c>
      <c r="G265" s="7">
        <f t="shared" si="3"/>
        <v>54728</v>
      </c>
      <c r="H265" s="7" t="str">
        <f t="shared" si="4"/>
        <v>E</v>
      </c>
      <c r="I265" s="7" t="str">
        <f t="shared" si="5"/>
        <v>Transformative change</v>
      </c>
      <c r="J265" s="7" t="str">
        <f t="shared" si="6"/>
        <v>Medium</v>
      </c>
      <c r="K265" s="7">
        <f t="shared" si="7"/>
        <v>934559</v>
      </c>
      <c r="L265" s="7">
        <f t="shared" si="8"/>
        <v>195270.6904</v>
      </c>
    </row>
    <row r="266">
      <c r="A266" s="5" t="s">
        <v>743</v>
      </c>
      <c r="B266" s="5" t="s">
        <v>744</v>
      </c>
      <c r="C266" s="5" t="s">
        <v>745</v>
      </c>
      <c r="D266" s="6">
        <v>8393.0</v>
      </c>
      <c r="E266" s="7">
        <f t="shared" si="1"/>
        <v>1</v>
      </c>
      <c r="F266" s="7">
        <f t="shared" si="2"/>
        <v>76150</v>
      </c>
      <c r="G266" s="7">
        <f t="shared" si="3"/>
        <v>41698</v>
      </c>
      <c r="H266" s="7" t="str">
        <f t="shared" si="4"/>
        <v>E</v>
      </c>
      <c r="I266" s="7" t="str">
        <f t="shared" si="5"/>
        <v>Transformative change</v>
      </c>
      <c r="J266" s="7" t="str">
        <f t="shared" si="6"/>
        <v>Low</v>
      </c>
      <c r="K266" s="7">
        <f t="shared" si="7"/>
        <v>3493687</v>
      </c>
      <c r="L266" s="7">
        <f t="shared" si="8"/>
        <v>1745888.406</v>
      </c>
    </row>
    <row r="267">
      <c r="A267" s="5" t="s">
        <v>746</v>
      </c>
      <c r="B267" s="5" t="s">
        <v>747</v>
      </c>
      <c r="C267" s="5" t="s">
        <v>748</v>
      </c>
      <c r="D267" s="6">
        <v>65528.0</v>
      </c>
      <c r="E267" s="7">
        <f t="shared" si="1"/>
        <v>2</v>
      </c>
      <c r="F267" s="7">
        <f t="shared" si="2"/>
        <v>62057</v>
      </c>
      <c r="G267" s="7">
        <f t="shared" si="3"/>
        <v>11907</v>
      </c>
      <c r="H267" s="7" t="str">
        <f t="shared" si="4"/>
        <v>G</v>
      </c>
      <c r="I267" s="7" t="str">
        <f t="shared" si="5"/>
        <v>Transformative change</v>
      </c>
      <c r="J267" s="7" t="str">
        <f t="shared" si="6"/>
        <v>High</v>
      </c>
      <c r="K267" s="7">
        <f t="shared" si="7"/>
        <v>3901196</v>
      </c>
      <c r="L267" s="7">
        <f t="shared" si="8"/>
        <v>1713859.497</v>
      </c>
    </row>
    <row r="268">
      <c r="A268" s="5" t="s">
        <v>749</v>
      </c>
      <c r="B268" s="5" t="s">
        <v>750</v>
      </c>
      <c r="C268" s="5" t="s">
        <v>751</v>
      </c>
      <c r="D268" s="6">
        <v>6183.0</v>
      </c>
      <c r="E268" s="7">
        <f t="shared" si="1"/>
        <v>3</v>
      </c>
      <c r="F268" s="7">
        <f t="shared" si="2"/>
        <v>2371</v>
      </c>
      <c r="G268" s="7">
        <f t="shared" si="3"/>
        <v>81197</v>
      </c>
      <c r="H268" s="7" t="str">
        <f t="shared" si="4"/>
        <v>E</v>
      </c>
      <c r="I268" s="7" t="str">
        <f t="shared" si="5"/>
        <v>Transformative change</v>
      </c>
      <c r="J268" s="7" t="str">
        <f t="shared" si="6"/>
        <v>Medium</v>
      </c>
      <c r="K268" s="7">
        <f t="shared" si="7"/>
        <v>3422656</v>
      </c>
      <c r="L268" s="7">
        <f t="shared" si="8"/>
        <v>762435.0574</v>
      </c>
    </row>
    <row r="269">
      <c r="A269" s="5" t="s">
        <v>752</v>
      </c>
      <c r="B269" s="5" t="s">
        <v>753</v>
      </c>
      <c r="C269" s="5" t="s">
        <v>754</v>
      </c>
      <c r="D269" s="6">
        <v>10830.0</v>
      </c>
      <c r="E269" s="7">
        <f t="shared" si="1"/>
        <v>4</v>
      </c>
      <c r="F269" s="7">
        <f t="shared" si="2"/>
        <v>66941</v>
      </c>
      <c r="G269" s="7">
        <f t="shared" si="3"/>
        <v>9133</v>
      </c>
      <c r="H269" s="7" t="str">
        <f t="shared" si="4"/>
        <v>F</v>
      </c>
      <c r="I269" s="7" t="str">
        <f t="shared" si="5"/>
        <v>Transformative change</v>
      </c>
      <c r="J269" s="7" t="str">
        <f t="shared" si="6"/>
        <v>Medium</v>
      </c>
      <c r="K269" s="7">
        <f t="shared" si="7"/>
        <v>3207734</v>
      </c>
      <c r="L269" s="7">
        <f t="shared" si="8"/>
        <v>844206.5412</v>
      </c>
    </row>
    <row r="270">
      <c r="A270" s="5" t="s">
        <v>21</v>
      </c>
      <c r="B270" s="5" t="s">
        <v>755</v>
      </c>
      <c r="C270" s="5" t="s">
        <v>756</v>
      </c>
      <c r="D270" s="6">
        <v>15751.0</v>
      </c>
      <c r="E270" s="7">
        <f t="shared" si="1"/>
        <v>1</v>
      </c>
      <c r="F270" s="7">
        <f t="shared" si="2"/>
        <v>3592</v>
      </c>
      <c r="G270" s="7">
        <f t="shared" si="3"/>
        <v>66979</v>
      </c>
      <c r="H270" s="7" t="str">
        <f t="shared" si="4"/>
        <v>D</v>
      </c>
      <c r="I270" s="7" t="str">
        <f t="shared" si="5"/>
        <v>Transformative change</v>
      </c>
      <c r="J270" s="7" t="str">
        <f t="shared" si="6"/>
        <v>High</v>
      </c>
      <c r="K270" s="7">
        <f t="shared" si="7"/>
        <v>2266526</v>
      </c>
      <c r="L270" s="7">
        <f t="shared" si="8"/>
        <v>688807.8637</v>
      </c>
    </row>
    <row r="271">
      <c r="A271" s="5" t="s">
        <v>757</v>
      </c>
      <c r="B271" s="5" t="s">
        <v>758</v>
      </c>
      <c r="C271" s="5" t="s">
        <v>759</v>
      </c>
      <c r="D271" s="6">
        <v>58382.0</v>
      </c>
      <c r="E271" s="7">
        <f t="shared" si="1"/>
        <v>2</v>
      </c>
      <c r="F271" s="7">
        <f t="shared" si="2"/>
        <v>32482</v>
      </c>
      <c r="G271" s="7">
        <f t="shared" si="3"/>
        <v>15649</v>
      </c>
      <c r="H271" s="7" t="str">
        <f t="shared" si="4"/>
        <v>E</v>
      </c>
      <c r="I271" s="7" t="str">
        <f t="shared" si="5"/>
        <v>Transformative change</v>
      </c>
      <c r="J271" s="7" t="str">
        <f t="shared" si="6"/>
        <v>Low</v>
      </c>
      <c r="K271" s="7">
        <f t="shared" si="7"/>
        <v>2962975</v>
      </c>
      <c r="L271" s="7">
        <f t="shared" si="8"/>
        <v>1121800.607</v>
      </c>
    </row>
    <row r="272">
      <c r="A272" s="5" t="s">
        <v>760</v>
      </c>
      <c r="B272" s="5" t="s">
        <v>761</v>
      </c>
      <c r="C272" s="5" t="s">
        <v>74</v>
      </c>
      <c r="D272" s="6">
        <v>7716.0</v>
      </c>
      <c r="E272" s="7">
        <f t="shared" si="1"/>
        <v>2</v>
      </c>
      <c r="F272" s="7">
        <f t="shared" si="2"/>
        <v>58499</v>
      </c>
      <c r="G272" s="7">
        <f t="shared" si="3"/>
        <v>13578</v>
      </c>
      <c r="H272" s="7" t="str">
        <f t="shared" si="4"/>
        <v>A</v>
      </c>
      <c r="I272" s="7" t="str">
        <f t="shared" si="5"/>
        <v>Transformative change</v>
      </c>
      <c r="J272" s="7" t="str">
        <f t="shared" si="6"/>
        <v>Medium</v>
      </c>
      <c r="K272" s="7">
        <f t="shared" si="7"/>
        <v>1827720</v>
      </c>
      <c r="L272" s="7">
        <f t="shared" si="8"/>
        <v>82489.31676</v>
      </c>
    </row>
    <row r="273">
      <c r="A273" s="5" t="s">
        <v>762</v>
      </c>
      <c r="B273" s="5" t="s">
        <v>763</v>
      </c>
      <c r="C273" s="5" t="s">
        <v>764</v>
      </c>
      <c r="D273" s="6">
        <v>18591.0</v>
      </c>
      <c r="E273" s="7">
        <f t="shared" si="1"/>
        <v>4</v>
      </c>
      <c r="F273" s="7">
        <f t="shared" si="2"/>
        <v>67050</v>
      </c>
      <c r="G273" s="7">
        <f t="shared" si="3"/>
        <v>31223</v>
      </c>
      <c r="H273" s="7" t="str">
        <f t="shared" si="4"/>
        <v>E</v>
      </c>
      <c r="I273" s="7" t="str">
        <f t="shared" si="5"/>
        <v>Transformative change</v>
      </c>
      <c r="J273" s="7" t="str">
        <f t="shared" si="6"/>
        <v>High</v>
      </c>
      <c r="K273" s="7">
        <f t="shared" si="7"/>
        <v>3882727</v>
      </c>
      <c r="L273" s="7">
        <f t="shared" si="8"/>
        <v>2208856.508</v>
      </c>
    </row>
    <row r="274">
      <c r="A274" s="5" t="s">
        <v>765</v>
      </c>
      <c r="B274" s="5" t="s">
        <v>766</v>
      </c>
      <c r="C274" s="5" t="s">
        <v>767</v>
      </c>
      <c r="D274" s="6">
        <v>11990.0</v>
      </c>
      <c r="E274" s="7">
        <f t="shared" si="1"/>
        <v>2</v>
      </c>
      <c r="F274" s="7">
        <f t="shared" si="2"/>
        <v>85120</v>
      </c>
      <c r="G274" s="7">
        <f t="shared" si="3"/>
        <v>38054</v>
      </c>
      <c r="H274" s="7" t="str">
        <f t="shared" si="4"/>
        <v>B</v>
      </c>
      <c r="I274" s="7" t="str">
        <f t="shared" si="5"/>
        <v>Transformative change</v>
      </c>
      <c r="J274" s="7" t="str">
        <f t="shared" si="6"/>
        <v>High</v>
      </c>
      <c r="K274" s="7">
        <f t="shared" si="7"/>
        <v>660023</v>
      </c>
      <c r="L274" s="7">
        <f t="shared" si="8"/>
        <v>647839.5899</v>
      </c>
    </row>
    <row r="275">
      <c r="A275" s="5" t="s">
        <v>768</v>
      </c>
      <c r="B275" s="5" t="s">
        <v>769</v>
      </c>
      <c r="C275" s="5" t="s">
        <v>770</v>
      </c>
      <c r="D275" s="6">
        <v>16921.0</v>
      </c>
      <c r="E275" s="7">
        <f t="shared" si="1"/>
        <v>3</v>
      </c>
      <c r="F275" s="7">
        <f t="shared" si="2"/>
        <v>73908</v>
      </c>
      <c r="G275" s="7">
        <f t="shared" si="3"/>
        <v>57434</v>
      </c>
      <c r="H275" s="7" t="str">
        <f t="shared" si="4"/>
        <v>F</v>
      </c>
      <c r="I275" s="7" t="str">
        <f t="shared" si="5"/>
        <v>Transformative change</v>
      </c>
      <c r="J275" s="7" t="str">
        <f t="shared" si="6"/>
        <v>High</v>
      </c>
      <c r="K275" s="7">
        <f t="shared" si="7"/>
        <v>3566915</v>
      </c>
      <c r="L275" s="7">
        <f t="shared" si="8"/>
        <v>680354.0966</v>
      </c>
    </row>
    <row r="276">
      <c r="A276" s="5" t="s">
        <v>771</v>
      </c>
      <c r="B276" s="5" t="s">
        <v>772</v>
      </c>
      <c r="C276" s="5" t="s">
        <v>773</v>
      </c>
      <c r="D276" s="6">
        <v>15639.0</v>
      </c>
      <c r="E276" s="7">
        <f t="shared" si="1"/>
        <v>3</v>
      </c>
      <c r="F276" s="7">
        <f t="shared" si="2"/>
        <v>45942</v>
      </c>
      <c r="G276" s="7">
        <f t="shared" si="3"/>
        <v>30489</v>
      </c>
      <c r="H276" s="7" t="str">
        <f t="shared" si="4"/>
        <v>D</v>
      </c>
      <c r="I276" s="7" t="str">
        <f t="shared" si="5"/>
        <v>Transformative change</v>
      </c>
      <c r="J276" s="7" t="str">
        <f t="shared" si="6"/>
        <v>High</v>
      </c>
      <c r="K276" s="7">
        <f t="shared" si="7"/>
        <v>3479988</v>
      </c>
      <c r="L276" s="7">
        <f t="shared" si="8"/>
        <v>1972469.133</v>
      </c>
    </row>
    <row r="277">
      <c r="A277" s="5" t="s">
        <v>774</v>
      </c>
      <c r="B277" s="5" t="s">
        <v>775</v>
      </c>
      <c r="C277" s="5" t="s">
        <v>74</v>
      </c>
      <c r="D277" s="6">
        <v>16162.0</v>
      </c>
      <c r="E277" s="7">
        <f t="shared" si="1"/>
        <v>2</v>
      </c>
      <c r="F277" s="7">
        <f t="shared" si="2"/>
        <v>37980</v>
      </c>
      <c r="G277" s="7">
        <f t="shared" si="3"/>
        <v>929</v>
      </c>
      <c r="H277" s="7" t="str">
        <f t="shared" si="4"/>
        <v>B</v>
      </c>
      <c r="I277" s="7" t="str">
        <f t="shared" si="5"/>
        <v>Transformative change</v>
      </c>
      <c r="J277" s="7" t="str">
        <f t="shared" si="6"/>
        <v>Low</v>
      </c>
      <c r="K277" s="7">
        <f t="shared" si="7"/>
        <v>1680282</v>
      </c>
      <c r="L277" s="7">
        <f t="shared" si="8"/>
        <v>1145913.454</v>
      </c>
    </row>
    <row r="278">
      <c r="A278" s="5" t="s">
        <v>776</v>
      </c>
      <c r="B278" s="5" t="s">
        <v>777</v>
      </c>
      <c r="C278" s="5" t="s">
        <v>778</v>
      </c>
      <c r="D278" s="6">
        <v>18228.0</v>
      </c>
      <c r="E278" s="7">
        <f t="shared" si="1"/>
        <v>1</v>
      </c>
      <c r="F278" s="7">
        <f t="shared" si="2"/>
        <v>85576</v>
      </c>
      <c r="G278" s="7">
        <f t="shared" si="3"/>
        <v>38493</v>
      </c>
      <c r="H278" s="7" t="str">
        <f t="shared" si="4"/>
        <v>G</v>
      </c>
      <c r="I278" s="7" t="str">
        <f t="shared" si="5"/>
        <v>Transformative change</v>
      </c>
      <c r="J278" s="7" t="str">
        <f t="shared" si="6"/>
        <v>High</v>
      </c>
      <c r="K278" s="7">
        <f t="shared" si="7"/>
        <v>831935</v>
      </c>
      <c r="L278" s="7">
        <f t="shared" si="8"/>
        <v>106617.512</v>
      </c>
    </row>
    <row r="279">
      <c r="A279" s="5" t="s">
        <v>779</v>
      </c>
      <c r="B279" s="5" t="s">
        <v>780</v>
      </c>
      <c r="C279" s="5" t="s">
        <v>781</v>
      </c>
      <c r="D279" s="6">
        <v>19517.0</v>
      </c>
      <c r="E279" s="7">
        <f t="shared" si="1"/>
        <v>1</v>
      </c>
      <c r="F279" s="7">
        <f t="shared" si="2"/>
        <v>75655</v>
      </c>
      <c r="G279" s="7">
        <f t="shared" si="3"/>
        <v>31704</v>
      </c>
      <c r="H279" s="7" t="str">
        <f t="shared" si="4"/>
        <v>D</v>
      </c>
      <c r="I279" s="7" t="str">
        <f t="shared" si="5"/>
        <v>Transformative change</v>
      </c>
      <c r="J279" s="7" t="str">
        <f t="shared" si="6"/>
        <v>Medium</v>
      </c>
      <c r="K279" s="7">
        <f t="shared" si="7"/>
        <v>136686</v>
      </c>
      <c r="L279" s="7">
        <f t="shared" si="8"/>
        <v>80482.49252</v>
      </c>
    </row>
    <row r="280">
      <c r="A280" s="5" t="s">
        <v>782</v>
      </c>
      <c r="B280" s="5" t="s">
        <v>783</v>
      </c>
      <c r="C280" s="5" t="s">
        <v>784</v>
      </c>
      <c r="D280" s="6">
        <v>11738.0</v>
      </c>
      <c r="E280" s="7">
        <f t="shared" si="1"/>
        <v>5</v>
      </c>
      <c r="F280" s="7">
        <f t="shared" si="2"/>
        <v>63947</v>
      </c>
      <c r="G280" s="7">
        <f t="shared" si="3"/>
        <v>17181</v>
      </c>
      <c r="H280" s="7" t="str">
        <f t="shared" si="4"/>
        <v>C</v>
      </c>
      <c r="I280" s="7" t="str">
        <f t="shared" si="5"/>
        <v>Transformative change</v>
      </c>
      <c r="J280" s="7" t="str">
        <f t="shared" si="6"/>
        <v>High</v>
      </c>
      <c r="K280" s="7">
        <f t="shared" si="7"/>
        <v>186544</v>
      </c>
      <c r="L280" s="7">
        <f t="shared" si="8"/>
        <v>110231.7955</v>
      </c>
    </row>
    <row r="281">
      <c r="A281" s="5" t="s">
        <v>785</v>
      </c>
      <c r="B281" s="5" t="s">
        <v>786</v>
      </c>
      <c r="C281" s="5" t="s">
        <v>238</v>
      </c>
      <c r="D281" s="6">
        <v>11866.0</v>
      </c>
      <c r="E281" s="7">
        <f t="shared" si="1"/>
        <v>1</v>
      </c>
      <c r="F281" s="7">
        <f t="shared" si="2"/>
        <v>2629</v>
      </c>
      <c r="G281" s="7">
        <f t="shared" si="3"/>
        <v>28635</v>
      </c>
      <c r="H281" s="7" t="str">
        <f t="shared" si="4"/>
        <v>D</v>
      </c>
      <c r="I281" s="7" t="str">
        <f t="shared" si="5"/>
        <v>Transformative change</v>
      </c>
      <c r="J281" s="7" t="str">
        <f t="shared" si="6"/>
        <v>Medium</v>
      </c>
      <c r="K281" s="7">
        <f t="shared" si="7"/>
        <v>266990</v>
      </c>
      <c r="L281" s="7">
        <f t="shared" si="8"/>
        <v>163564.0652</v>
      </c>
    </row>
    <row r="282">
      <c r="A282" s="5" t="s">
        <v>787</v>
      </c>
      <c r="B282" s="5" t="s">
        <v>788</v>
      </c>
      <c r="C282" s="5" t="s">
        <v>789</v>
      </c>
      <c r="D282" s="6">
        <v>8573.0</v>
      </c>
      <c r="E282" s="7">
        <f t="shared" si="1"/>
        <v>4</v>
      </c>
      <c r="F282" s="7">
        <f t="shared" si="2"/>
        <v>4040</v>
      </c>
      <c r="G282" s="7">
        <f t="shared" si="3"/>
        <v>38350</v>
      </c>
      <c r="H282" s="7" t="str">
        <f t="shared" si="4"/>
        <v>G</v>
      </c>
      <c r="I282" s="7" t="str">
        <f t="shared" si="5"/>
        <v>Transformative change</v>
      </c>
      <c r="J282" s="7" t="str">
        <f t="shared" si="6"/>
        <v>Medium</v>
      </c>
      <c r="K282" s="7">
        <f t="shared" si="7"/>
        <v>3533043</v>
      </c>
      <c r="L282" s="7">
        <f t="shared" si="8"/>
        <v>1669467.315</v>
      </c>
    </row>
    <row r="283">
      <c r="A283" s="5" t="s">
        <v>790</v>
      </c>
      <c r="B283" s="5" t="s">
        <v>791</v>
      </c>
      <c r="C283" s="5" t="s">
        <v>792</v>
      </c>
      <c r="D283" s="6">
        <v>16760.0</v>
      </c>
      <c r="E283" s="7">
        <f t="shared" si="1"/>
        <v>2</v>
      </c>
      <c r="F283" s="7">
        <f t="shared" si="2"/>
        <v>36793</v>
      </c>
      <c r="G283" s="7">
        <f t="shared" si="3"/>
        <v>13375</v>
      </c>
      <c r="H283" s="7" t="str">
        <f t="shared" si="4"/>
        <v>E</v>
      </c>
      <c r="I283" s="7" t="str">
        <f t="shared" si="5"/>
        <v>High ambition</v>
      </c>
      <c r="J283" s="7" t="str">
        <f t="shared" si="6"/>
        <v>High</v>
      </c>
      <c r="K283" s="7">
        <f t="shared" si="7"/>
        <v>2910541</v>
      </c>
      <c r="L283" s="7">
        <f t="shared" si="8"/>
        <v>513005.6438</v>
      </c>
    </row>
    <row r="284">
      <c r="A284" s="5" t="s">
        <v>793</v>
      </c>
      <c r="B284" s="5" t="s">
        <v>794</v>
      </c>
      <c r="C284" s="5" t="s">
        <v>795</v>
      </c>
      <c r="D284" s="6">
        <v>252534.0</v>
      </c>
      <c r="E284" s="7">
        <f t="shared" si="1"/>
        <v>5</v>
      </c>
      <c r="F284" s="7">
        <f t="shared" si="2"/>
        <v>33175</v>
      </c>
      <c r="G284" s="7">
        <f t="shared" si="3"/>
        <v>36130</v>
      </c>
      <c r="H284" s="7" t="str">
        <f t="shared" si="4"/>
        <v>F</v>
      </c>
      <c r="I284" s="7" t="str">
        <f t="shared" si="5"/>
        <v>Transformative change</v>
      </c>
      <c r="J284" s="7" t="str">
        <f t="shared" si="6"/>
        <v>High</v>
      </c>
      <c r="K284" s="7">
        <f t="shared" si="7"/>
        <v>764980</v>
      </c>
      <c r="L284" s="7">
        <f t="shared" si="8"/>
        <v>494295.4023</v>
      </c>
    </row>
    <row r="285">
      <c r="A285" s="5" t="s">
        <v>796</v>
      </c>
      <c r="B285" s="5" t="s">
        <v>797</v>
      </c>
      <c r="C285" s="5" t="s">
        <v>798</v>
      </c>
      <c r="D285" s="6">
        <v>322262.0</v>
      </c>
      <c r="E285" s="7">
        <f t="shared" si="1"/>
        <v>1</v>
      </c>
      <c r="F285" s="7">
        <f t="shared" si="2"/>
        <v>39147</v>
      </c>
      <c r="G285" s="7">
        <f t="shared" si="3"/>
        <v>36103</v>
      </c>
      <c r="H285" s="7" t="str">
        <f t="shared" si="4"/>
        <v>B</v>
      </c>
      <c r="I285" s="7" t="str">
        <f t="shared" si="5"/>
        <v>High ambition</v>
      </c>
      <c r="J285" s="7" t="str">
        <f t="shared" si="6"/>
        <v>High</v>
      </c>
      <c r="K285" s="7">
        <f t="shared" si="7"/>
        <v>1530250</v>
      </c>
      <c r="L285" s="7">
        <f t="shared" si="8"/>
        <v>15143.99713</v>
      </c>
    </row>
    <row r="286">
      <c r="A286" s="5" t="s">
        <v>799</v>
      </c>
      <c r="B286" s="5" t="s">
        <v>800</v>
      </c>
      <c r="C286" s="5" t="s">
        <v>801</v>
      </c>
      <c r="D286" s="6">
        <v>9680.0</v>
      </c>
      <c r="E286" s="7">
        <f t="shared" si="1"/>
        <v>2</v>
      </c>
      <c r="F286" s="7">
        <f t="shared" si="2"/>
        <v>62822</v>
      </c>
      <c r="G286" s="7">
        <f t="shared" si="3"/>
        <v>15390</v>
      </c>
      <c r="H286" s="7" t="str">
        <f t="shared" si="4"/>
        <v>E</v>
      </c>
      <c r="I286" s="7" t="str">
        <f t="shared" si="5"/>
        <v>High ambition</v>
      </c>
      <c r="J286" s="7" t="str">
        <f t="shared" si="6"/>
        <v>Medium</v>
      </c>
      <c r="K286" s="7">
        <f t="shared" si="7"/>
        <v>639610</v>
      </c>
      <c r="L286" s="7">
        <f t="shared" si="8"/>
        <v>239067.1215</v>
      </c>
    </row>
    <row r="287">
      <c r="A287" s="5" t="s">
        <v>802</v>
      </c>
      <c r="B287" s="5" t="s">
        <v>803</v>
      </c>
      <c r="C287" s="5" t="s">
        <v>804</v>
      </c>
      <c r="D287" s="6">
        <v>15052.0</v>
      </c>
      <c r="E287" s="7">
        <f t="shared" si="1"/>
        <v>4</v>
      </c>
      <c r="F287" s="7">
        <f t="shared" si="2"/>
        <v>85765</v>
      </c>
      <c r="G287" s="7">
        <f t="shared" si="3"/>
        <v>6557</v>
      </c>
      <c r="H287" s="7" t="str">
        <f t="shared" si="4"/>
        <v>B</v>
      </c>
      <c r="I287" s="7" t="str">
        <f t="shared" si="5"/>
        <v>Transformative change</v>
      </c>
      <c r="J287" s="7" t="str">
        <f t="shared" si="6"/>
        <v>Medium</v>
      </c>
      <c r="K287" s="7">
        <f t="shared" si="7"/>
        <v>2011263</v>
      </c>
      <c r="L287" s="7">
        <f t="shared" si="8"/>
        <v>515722.5924</v>
      </c>
    </row>
    <row r="288">
      <c r="A288" s="5" t="s">
        <v>805</v>
      </c>
      <c r="B288" s="5" t="s">
        <v>806</v>
      </c>
      <c r="C288" s="5" t="s">
        <v>807</v>
      </c>
      <c r="D288" s="6">
        <v>10573.0</v>
      </c>
      <c r="E288" s="7">
        <f t="shared" si="1"/>
        <v>4</v>
      </c>
      <c r="F288" s="7">
        <f t="shared" si="2"/>
        <v>39956</v>
      </c>
      <c r="G288" s="7">
        <f t="shared" si="3"/>
        <v>41213</v>
      </c>
      <c r="H288" s="7" t="str">
        <f t="shared" si="4"/>
        <v>C</v>
      </c>
      <c r="I288" s="7" t="str">
        <f t="shared" si="5"/>
        <v>High ambition</v>
      </c>
      <c r="J288" s="7" t="str">
        <f t="shared" si="6"/>
        <v>Low</v>
      </c>
      <c r="K288" s="7">
        <f t="shared" si="7"/>
        <v>2290850</v>
      </c>
      <c r="L288" s="7">
        <f t="shared" si="8"/>
        <v>249289.6624</v>
      </c>
    </row>
    <row r="289">
      <c r="A289" s="5" t="s">
        <v>808</v>
      </c>
      <c r="B289" s="5" t="s">
        <v>809</v>
      </c>
      <c r="C289" s="5" t="s">
        <v>74</v>
      </c>
      <c r="D289" s="6">
        <v>58999.0</v>
      </c>
      <c r="E289" s="7">
        <f t="shared" si="1"/>
        <v>3</v>
      </c>
      <c r="F289" s="7">
        <f t="shared" si="2"/>
        <v>67793</v>
      </c>
      <c r="G289" s="7">
        <f t="shared" si="3"/>
        <v>5560</v>
      </c>
      <c r="H289" s="7" t="str">
        <f t="shared" si="4"/>
        <v>G</v>
      </c>
      <c r="I289" s="7" t="str">
        <f t="shared" si="5"/>
        <v>Transformative change</v>
      </c>
      <c r="J289" s="7" t="str">
        <f t="shared" si="6"/>
        <v>Low</v>
      </c>
      <c r="K289" s="7">
        <f t="shared" si="7"/>
        <v>3803226</v>
      </c>
      <c r="L289" s="7">
        <f t="shared" si="8"/>
        <v>2267901.019</v>
      </c>
    </row>
    <row r="290">
      <c r="A290" s="5" t="s">
        <v>540</v>
      </c>
      <c r="B290" s="5" t="s">
        <v>810</v>
      </c>
      <c r="C290" s="5" t="s">
        <v>74</v>
      </c>
      <c r="D290" s="6">
        <v>42796.0</v>
      </c>
      <c r="E290" s="7">
        <f t="shared" si="1"/>
        <v>4</v>
      </c>
      <c r="F290" s="7">
        <f t="shared" si="2"/>
        <v>34954</v>
      </c>
      <c r="G290" s="7">
        <f t="shared" si="3"/>
        <v>9601</v>
      </c>
      <c r="H290" s="7" t="str">
        <f t="shared" si="4"/>
        <v>C</v>
      </c>
      <c r="I290" s="7" t="str">
        <f t="shared" si="5"/>
        <v>High ambition</v>
      </c>
      <c r="J290" s="7" t="str">
        <f t="shared" si="6"/>
        <v>Low</v>
      </c>
      <c r="K290" s="7">
        <f t="shared" si="7"/>
        <v>355848</v>
      </c>
      <c r="L290" s="7">
        <f t="shared" si="8"/>
        <v>202258.9597</v>
      </c>
    </row>
    <row r="291">
      <c r="A291" s="5" t="s">
        <v>811</v>
      </c>
      <c r="B291" s="5" t="s">
        <v>812</v>
      </c>
      <c r="C291" s="5" t="s">
        <v>74</v>
      </c>
      <c r="D291" s="6">
        <v>10548.0</v>
      </c>
      <c r="E291" s="7">
        <f t="shared" si="1"/>
        <v>5</v>
      </c>
      <c r="F291" s="7">
        <f t="shared" si="2"/>
        <v>34494</v>
      </c>
      <c r="G291" s="7">
        <f t="shared" si="3"/>
        <v>32733</v>
      </c>
      <c r="H291" s="7" t="str">
        <f t="shared" si="4"/>
        <v>C</v>
      </c>
      <c r="I291" s="7" t="str">
        <f t="shared" si="5"/>
        <v>Transformative change</v>
      </c>
      <c r="J291" s="7" t="str">
        <f t="shared" si="6"/>
        <v>Medium</v>
      </c>
      <c r="K291" s="7">
        <f t="shared" si="7"/>
        <v>3786138</v>
      </c>
      <c r="L291" s="7">
        <f t="shared" si="8"/>
        <v>3377664.483</v>
      </c>
    </row>
    <row r="292">
      <c r="A292" s="5" t="s">
        <v>813</v>
      </c>
      <c r="B292" s="5" t="s">
        <v>814</v>
      </c>
      <c r="C292" s="5" t="s">
        <v>815</v>
      </c>
      <c r="D292" s="6">
        <v>12565.0</v>
      </c>
      <c r="E292" s="7">
        <f t="shared" si="1"/>
        <v>3</v>
      </c>
      <c r="F292" s="7">
        <f t="shared" si="2"/>
        <v>19024</v>
      </c>
      <c r="G292" s="7">
        <f t="shared" si="3"/>
        <v>57187</v>
      </c>
      <c r="H292" s="7" t="str">
        <f t="shared" si="4"/>
        <v>B</v>
      </c>
      <c r="I292" s="7" t="str">
        <f t="shared" si="5"/>
        <v>Transformative change</v>
      </c>
      <c r="J292" s="7" t="str">
        <f t="shared" si="6"/>
        <v>High</v>
      </c>
      <c r="K292" s="7">
        <f t="shared" si="7"/>
        <v>1935134</v>
      </c>
      <c r="L292" s="7">
        <f t="shared" si="8"/>
        <v>1112498.937</v>
      </c>
    </row>
    <row r="293">
      <c r="A293" s="5" t="s">
        <v>816</v>
      </c>
      <c r="B293" s="5" t="s">
        <v>817</v>
      </c>
      <c r="C293" s="5" t="s">
        <v>818</v>
      </c>
      <c r="D293" s="6">
        <v>16137.0</v>
      </c>
      <c r="E293" s="7">
        <f t="shared" si="1"/>
        <v>5</v>
      </c>
      <c r="F293" s="7">
        <f t="shared" si="2"/>
        <v>54316</v>
      </c>
      <c r="G293" s="7">
        <f t="shared" si="3"/>
        <v>29893</v>
      </c>
      <c r="H293" s="7" t="str">
        <f t="shared" si="4"/>
        <v>C</v>
      </c>
      <c r="I293" s="7" t="str">
        <f t="shared" si="5"/>
        <v>Transformative change</v>
      </c>
      <c r="J293" s="7" t="str">
        <f t="shared" si="6"/>
        <v>Low</v>
      </c>
      <c r="K293" s="7">
        <f t="shared" si="7"/>
        <v>1079810</v>
      </c>
      <c r="L293" s="7">
        <f t="shared" si="8"/>
        <v>920417.4587</v>
      </c>
    </row>
    <row r="294">
      <c r="A294" s="5" t="s">
        <v>819</v>
      </c>
      <c r="B294" s="5" t="s">
        <v>820</v>
      </c>
      <c r="C294" s="5" t="s">
        <v>821</v>
      </c>
      <c r="D294" s="6">
        <v>149925.0</v>
      </c>
      <c r="E294" s="7">
        <f t="shared" si="1"/>
        <v>3</v>
      </c>
      <c r="F294" s="7">
        <f t="shared" si="2"/>
        <v>66185</v>
      </c>
      <c r="G294" s="7">
        <f t="shared" si="3"/>
        <v>20968</v>
      </c>
      <c r="H294" s="7" t="str">
        <f t="shared" si="4"/>
        <v>B</v>
      </c>
      <c r="I294" s="7" t="str">
        <f t="shared" si="5"/>
        <v>Transformative change</v>
      </c>
      <c r="J294" s="7" t="str">
        <f t="shared" si="6"/>
        <v>Low</v>
      </c>
      <c r="K294" s="7">
        <f t="shared" si="7"/>
        <v>1926373</v>
      </c>
      <c r="L294" s="7">
        <f t="shared" si="8"/>
        <v>322387.1714</v>
      </c>
    </row>
    <row r="295">
      <c r="A295" s="5" t="s">
        <v>822</v>
      </c>
      <c r="B295" s="5" t="s">
        <v>823</v>
      </c>
      <c r="C295" s="5" t="s">
        <v>824</v>
      </c>
      <c r="D295" s="6">
        <v>16405.0</v>
      </c>
      <c r="E295" s="7">
        <f t="shared" si="1"/>
        <v>1</v>
      </c>
      <c r="F295" s="7">
        <f t="shared" si="2"/>
        <v>35017</v>
      </c>
      <c r="G295" s="7">
        <f t="shared" si="3"/>
        <v>10304</v>
      </c>
      <c r="H295" s="7" t="str">
        <f t="shared" si="4"/>
        <v>C</v>
      </c>
      <c r="I295" s="7" t="str">
        <f t="shared" si="5"/>
        <v>High ambition</v>
      </c>
      <c r="J295" s="7" t="str">
        <f t="shared" si="6"/>
        <v>Low</v>
      </c>
      <c r="K295" s="7">
        <f t="shared" si="7"/>
        <v>816907</v>
      </c>
      <c r="L295" s="7">
        <f t="shared" si="8"/>
        <v>175813.1505</v>
      </c>
    </row>
    <row r="296">
      <c r="A296" s="5" t="s">
        <v>825</v>
      </c>
      <c r="B296" s="5" t="s">
        <v>826</v>
      </c>
      <c r="C296" s="5" t="s">
        <v>827</v>
      </c>
      <c r="D296" s="6">
        <v>5506.0</v>
      </c>
      <c r="E296" s="7">
        <f t="shared" si="1"/>
        <v>3</v>
      </c>
      <c r="F296" s="7">
        <f t="shared" si="2"/>
        <v>48769</v>
      </c>
      <c r="G296" s="7">
        <f t="shared" si="3"/>
        <v>41186</v>
      </c>
      <c r="H296" s="7" t="str">
        <f t="shared" si="4"/>
        <v>B</v>
      </c>
      <c r="I296" s="7" t="str">
        <f t="shared" si="5"/>
        <v>High ambition</v>
      </c>
      <c r="J296" s="7" t="str">
        <f t="shared" si="6"/>
        <v>Low</v>
      </c>
      <c r="K296" s="7">
        <f t="shared" si="7"/>
        <v>1871701</v>
      </c>
      <c r="L296" s="7">
        <f t="shared" si="8"/>
        <v>902384.0351</v>
      </c>
    </row>
    <row r="297">
      <c r="A297" s="5" t="s">
        <v>828</v>
      </c>
      <c r="B297" s="5" t="s">
        <v>829</v>
      </c>
      <c r="C297" s="5" t="s">
        <v>74</v>
      </c>
      <c r="D297" s="6">
        <v>19985.0</v>
      </c>
      <c r="E297" s="7">
        <f t="shared" si="1"/>
        <v>4</v>
      </c>
      <c r="F297" s="7">
        <f t="shared" si="2"/>
        <v>41816</v>
      </c>
      <c r="G297" s="7">
        <f t="shared" si="3"/>
        <v>24103</v>
      </c>
      <c r="H297" s="7" t="str">
        <f t="shared" si="4"/>
        <v>A</v>
      </c>
      <c r="I297" s="7" t="str">
        <f t="shared" si="5"/>
        <v>Transformative change</v>
      </c>
      <c r="J297" s="7" t="str">
        <f t="shared" si="6"/>
        <v>Medium</v>
      </c>
      <c r="K297" s="7">
        <f t="shared" si="7"/>
        <v>3019588</v>
      </c>
      <c r="L297" s="7">
        <f t="shared" si="8"/>
        <v>2872360.888</v>
      </c>
    </row>
    <row r="298">
      <c r="A298" s="5" t="s">
        <v>830</v>
      </c>
      <c r="B298" s="5" t="s">
        <v>831</v>
      </c>
      <c r="C298" s="5" t="s">
        <v>832</v>
      </c>
      <c r="D298" s="6">
        <v>52856.0</v>
      </c>
      <c r="E298" s="7">
        <f t="shared" si="1"/>
        <v>3</v>
      </c>
      <c r="F298" s="7">
        <f t="shared" si="2"/>
        <v>51479</v>
      </c>
      <c r="G298" s="7">
        <f t="shared" si="3"/>
        <v>30519</v>
      </c>
      <c r="H298" s="7" t="str">
        <f t="shared" si="4"/>
        <v>B</v>
      </c>
      <c r="I298" s="7" t="str">
        <f t="shared" si="5"/>
        <v>Transformative change</v>
      </c>
      <c r="J298" s="7" t="str">
        <f t="shared" si="6"/>
        <v>High</v>
      </c>
      <c r="K298" s="7">
        <f t="shared" si="7"/>
        <v>3018669</v>
      </c>
      <c r="L298" s="7">
        <f t="shared" si="8"/>
        <v>2726443.798</v>
      </c>
    </row>
    <row r="299">
      <c r="A299" s="5" t="s">
        <v>833</v>
      </c>
      <c r="B299" s="5" t="s">
        <v>834</v>
      </c>
      <c r="C299" s="5" t="s">
        <v>238</v>
      </c>
      <c r="D299" s="6">
        <v>5433.0</v>
      </c>
      <c r="E299" s="7">
        <f t="shared" si="1"/>
        <v>5</v>
      </c>
      <c r="F299" s="7">
        <f t="shared" si="2"/>
        <v>84594</v>
      </c>
      <c r="G299" s="7">
        <f t="shared" si="3"/>
        <v>23715</v>
      </c>
      <c r="H299" s="7" t="str">
        <f t="shared" si="4"/>
        <v>C</v>
      </c>
      <c r="I299" s="7" t="str">
        <f t="shared" si="5"/>
        <v>High ambition</v>
      </c>
      <c r="J299" s="7" t="str">
        <f t="shared" si="6"/>
        <v>High</v>
      </c>
      <c r="K299" s="7">
        <f t="shared" si="7"/>
        <v>2319736</v>
      </c>
      <c r="L299" s="7">
        <f t="shared" si="8"/>
        <v>2287777.837</v>
      </c>
    </row>
    <row r="300">
      <c r="A300" s="5" t="s">
        <v>835</v>
      </c>
      <c r="B300" s="5" t="s">
        <v>836</v>
      </c>
      <c r="C300" s="5" t="s">
        <v>837</v>
      </c>
      <c r="D300" s="6">
        <v>7539.0</v>
      </c>
      <c r="E300" s="7">
        <f t="shared" si="1"/>
        <v>5</v>
      </c>
      <c r="F300" s="7">
        <f t="shared" si="2"/>
        <v>82975</v>
      </c>
      <c r="G300" s="7">
        <f t="shared" si="3"/>
        <v>56296</v>
      </c>
      <c r="H300" s="7" t="str">
        <f t="shared" si="4"/>
        <v>F</v>
      </c>
      <c r="I300" s="7" t="str">
        <f t="shared" si="5"/>
        <v>Transformative change</v>
      </c>
      <c r="J300" s="7" t="str">
        <f t="shared" si="6"/>
        <v>Medium</v>
      </c>
      <c r="K300" s="7">
        <f t="shared" si="7"/>
        <v>3294765</v>
      </c>
      <c r="L300" s="7">
        <f t="shared" si="8"/>
        <v>3235650.976</v>
      </c>
    </row>
    <row r="301">
      <c r="A301" s="5" t="s">
        <v>838</v>
      </c>
      <c r="B301" s="5" t="s">
        <v>839</v>
      </c>
      <c r="C301" s="5" t="s">
        <v>840</v>
      </c>
      <c r="D301" s="6">
        <v>335638.0</v>
      </c>
      <c r="E301" s="7">
        <f t="shared" si="1"/>
        <v>3</v>
      </c>
      <c r="F301" s="7">
        <f t="shared" si="2"/>
        <v>11118</v>
      </c>
      <c r="G301" s="7">
        <f t="shared" si="3"/>
        <v>65711</v>
      </c>
      <c r="H301" s="7" t="str">
        <f t="shared" si="4"/>
        <v>B</v>
      </c>
      <c r="I301" s="7" t="str">
        <f t="shared" si="5"/>
        <v>Transformative change</v>
      </c>
      <c r="J301" s="7" t="str">
        <f t="shared" si="6"/>
        <v>Medium</v>
      </c>
      <c r="K301" s="7">
        <f t="shared" si="7"/>
        <v>502792</v>
      </c>
      <c r="L301" s="7">
        <f t="shared" si="8"/>
        <v>474202.6039</v>
      </c>
    </row>
    <row r="302">
      <c r="A302" s="5" t="s">
        <v>841</v>
      </c>
      <c r="B302" s="5" t="s">
        <v>842</v>
      </c>
      <c r="C302" s="5" t="s">
        <v>843</v>
      </c>
      <c r="D302" s="6">
        <v>8074.0</v>
      </c>
      <c r="E302" s="7">
        <f t="shared" si="1"/>
        <v>3</v>
      </c>
      <c r="F302" s="7">
        <f t="shared" si="2"/>
        <v>16002</v>
      </c>
      <c r="G302" s="7">
        <f t="shared" si="3"/>
        <v>5886</v>
      </c>
      <c r="H302" s="7" t="str">
        <f t="shared" si="4"/>
        <v>C</v>
      </c>
      <c r="I302" s="7" t="str">
        <f t="shared" si="5"/>
        <v>Transformative change</v>
      </c>
      <c r="J302" s="7" t="str">
        <f t="shared" si="6"/>
        <v>High</v>
      </c>
      <c r="K302" s="7">
        <f t="shared" si="7"/>
        <v>175546</v>
      </c>
      <c r="L302" s="7">
        <f t="shared" si="8"/>
        <v>110073.0834</v>
      </c>
    </row>
    <row r="303">
      <c r="A303" s="5" t="s">
        <v>844</v>
      </c>
      <c r="B303" s="5" t="s">
        <v>845</v>
      </c>
      <c r="C303" s="5" t="s">
        <v>74</v>
      </c>
      <c r="D303" s="6">
        <v>11487.0</v>
      </c>
      <c r="E303" s="7">
        <f t="shared" si="1"/>
        <v>2</v>
      </c>
      <c r="F303" s="7">
        <f t="shared" si="2"/>
        <v>45328</v>
      </c>
      <c r="G303" s="7">
        <f t="shared" si="3"/>
        <v>24485</v>
      </c>
      <c r="H303" s="7" t="str">
        <f t="shared" si="4"/>
        <v>G</v>
      </c>
      <c r="I303" s="7" t="str">
        <f t="shared" si="5"/>
        <v>Transformative change</v>
      </c>
      <c r="J303" s="7" t="str">
        <f t="shared" si="6"/>
        <v>High</v>
      </c>
      <c r="K303" s="7">
        <f t="shared" si="7"/>
        <v>2175168</v>
      </c>
      <c r="L303" s="7">
        <f t="shared" si="8"/>
        <v>878358.3517</v>
      </c>
    </row>
    <row r="304">
      <c r="A304" s="5" t="s">
        <v>846</v>
      </c>
      <c r="B304" s="5" t="s">
        <v>847</v>
      </c>
      <c r="C304" s="5" t="s">
        <v>848</v>
      </c>
      <c r="D304" s="6">
        <v>16900.0</v>
      </c>
      <c r="E304" s="7">
        <f t="shared" si="1"/>
        <v>3</v>
      </c>
      <c r="F304" s="7">
        <f t="shared" si="2"/>
        <v>99065</v>
      </c>
      <c r="G304" s="7">
        <f t="shared" si="3"/>
        <v>48808</v>
      </c>
      <c r="H304" s="7" t="str">
        <f t="shared" si="4"/>
        <v>G</v>
      </c>
      <c r="I304" s="7" t="str">
        <f t="shared" si="5"/>
        <v>Transformative change</v>
      </c>
      <c r="J304" s="7" t="str">
        <f t="shared" si="6"/>
        <v>Low</v>
      </c>
      <c r="K304" s="7">
        <f t="shared" si="7"/>
        <v>1426351</v>
      </c>
      <c r="L304" s="7">
        <f t="shared" si="8"/>
        <v>88676.50737</v>
      </c>
    </row>
    <row r="305">
      <c r="A305" s="5" t="s">
        <v>849</v>
      </c>
      <c r="B305" s="5" t="s">
        <v>850</v>
      </c>
      <c r="C305" s="5" t="s">
        <v>851</v>
      </c>
      <c r="D305" s="6">
        <v>15728.0</v>
      </c>
      <c r="E305" s="7">
        <f t="shared" si="1"/>
        <v>5</v>
      </c>
      <c r="F305" s="7">
        <f t="shared" si="2"/>
        <v>59638</v>
      </c>
      <c r="G305" s="7">
        <f t="shared" si="3"/>
        <v>7460</v>
      </c>
      <c r="H305" s="7" t="str">
        <f t="shared" si="4"/>
        <v>A</v>
      </c>
      <c r="I305" s="7" t="str">
        <f t="shared" si="5"/>
        <v>High ambition</v>
      </c>
      <c r="J305" s="7" t="str">
        <f t="shared" si="6"/>
        <v>Low</v>
      </c>
      <c r="K305" s="7">
        <f t="shared" si="7"/>
        <v>3455268</v>
      </c>
      <c r="L305" s="7">
        <f t="shared" si="8"/>
        <v>656736.5169</v>
      </c>
    </row>
    <row r="306">
      <c r="A306" s="5" t="s">
        <v>852</v>
      </c>
      <c r="B306" s="5" t="s">
        <v>853</v>
      </c>
      <c r="C306" s="5" t="s">
        <v>854</v>
      </c>
      <c r="D306" s="6">
        <v>5691.0</v>
      </c>
      <c r="E306" s="7">
        <f t="shared" si="1"/>
        <v>5</v>
      </c>
      <c r="F306" s="7">
        <f t="shared" si="2"/>
        <v>30624</v>
      </c>
      <c r="G306" s="7">
        <f t="shared" si="3"/>
        <v>47244</v>
      </c>
      <c r="H306" s="7" t="str">
        <f t="shared" si="4"/>
        <v>E</v>
      </c>
      <c r="I306" s="7" t="str">
        <f t="shared" si="5"/>
        <v>Transformative change</v>
      </c>
      <c r="J306" s="7" t="str">
        <f t="shared" si="6"/>
        <v>High</v>
      </c>
      <c r="K306" s="7">
        <f t="shared" si="7"/>
        <v>2137609</v>
      </c>
      <c r="L306" s="7">
        <f t="shared" si="8"/>
        <v>119021.1801</v>
      </c>
    </row>
    <row r="307">
      <c r="A307" s="5" t="s">
        <v>855</v>
      </c>
      <c r="B307" s="5" t="s">
        <v>856</v>
      </c>
      <c r="C307" s="5" t="s">
        <v>857</v>
      </c>
      <c r="D307" s="6">
        <v>10794.0</v>
      </c>
      <c r="E307" s="7">
        <f t="shared" si="1"/>
        <v>2</v>
      </c>
      <c r="F307" s="7">
        <f t="shared" si="2"/>
        <v>80292</v>
      </c>
      <c r="G307" s="7">
        <f t="shared" si="3"/>
        <v>9711</v>
      </c>
      <c r="H307" s="7" t="str">
        <f t="shared" si="4"/>
        <v>D</v>
      </c>
      <c r="I307" s="7" t="str">
        <f t="shared" si="5"/>
        <v>Transformative change</v>
      </c>
      <c r="J307" s="7" t="str">
        <f t="shared" si="6"/>
        <v>Low</v>
      </c>
      <c r="K307" s="7">
        <f t="shared" si="7"/>
        <v>3388090</v>
      </c>
      <c r="L307" s="7">
        <f t="shared" si="8"/>
        <v>557091.7172</v>
      </c>
    </row>
    <row r="308">
      <c r="A308" s="5" t="s">
        <v>858</v>
      </c>
      <c r="B308" s="5" t="s">
        <v>859</v>
      </c>
      <c r="C308" s="5" t="s">
        <v>860</v>
      </c>
      <c r="D308" s="6">
        <v>19393.0</v>
      </c>
      <c r="E308" s="7">
        <f t="shared" si="1"/>
        <v>1</v>
      </c>
      <c r="F308" s="7">
        <f t="shared" si="2"/>
        <v>74850</v>
      </c>
      <c r="G308" s="7">
        <f t="shared" si="3"/>
        <v>69508</v>
      </c>
      <c r="H308" s="7" t="str">
        <f t="shared" si="4"/>
        <v>E</v>
      </c>
      <c r="I308" s="7" t="str">
        <f t="shared" si="5"/>
        <v>Transformative change</v>
      </c>
      <c r="J308" s="7" t="str">
        <f t="shared" si="6"/>
        <v>Low</v>
      </c>
      <c r="K308" s="7">
        <f t="shared" si="7"/>
        <v>1313752</v>
      </c>
      <c r="L308" s="7">
        <f t="shared" si="8"/>
        <v>1205868.592</v>
      </c>
    </row>
    <row r="309">
      <c r="A309" s="5" t="s">
        <v>861</v>
      </c>
      <c r="B309" s="5" t="s">
        <v>862</v>
      </c>
      <c r="C309" s="5" t="s">
        <v>863</v>
      </c>
      <c r="D309" s="6">
        <v>8652.0</v>
      </c>
      <c r="E309" s="7">
        <f t="shared" si="1"/>
        <v>5</v>
      </c>
      <c r="F309" s="7">
        <f t="shared" si="2"/>
        <v>16752</v>
      </c>
      <c r="G309" s="7">
        <f t="shared" si="3"/>
        <v>46968</v>
      </c>
      <c r="H309" s="7" t="str">
        <f t="shared" si="4"/>
        <v>E</v>
      </c>
      <c r="I309" s="7" t="str">
        <f t="shared" si="5"/>
        <v>Transformative change</v>
      </c>
      <c r="J309" s="7" t="str">
        <f t="shared" si="6"/>
        <v>High</v>
      </c>
      <c r="K309" s="7">
        <f t="shared" si="7"/>
        <v>463432</v>
      </c>
      <c r="L309" s="7">
        <f t="shared" si="8"/>
        <v>23319.215</v>
      </c>
    </row>
    <row r="310">
      <c r="A310" s="5" t="s">
        <v>864</v>
      </c>
      <c r="B310" s="5" t="s">
        <v>865</v>
      </c>
      <c r="C310" s="5" t="s">
        <v>866</v>
      </c>
      <c r="D310" s="6">
        <v>14336.0</v>
      </c>
      <c r="E310" s="7">
        <f t="shared" si="1"/>
        <v>2</v>
      </c>
      <c r="F310" s="7">
        <f t="shared" si="2"/>
        <v>53905</v>
      </c>
      <c r="G310" s="7">
        <f t="shared" si="3"/>
        <v>3680</v>
      </c>
      <c r="H310" s="7" t="str">
        <f t="shared" si="4"/>
        <v>E</v>
      </c>
      <c r="I310" s="7" t="str">
        <f t="shared" si="5"/>
        <v>Transformative change</v>
      </c>
      <c r="J310" s="7" t="str">
        <f t="shared" si="6"/>
        <v>High</v>
      </c>
      <c r="K310" s="7">
        <f t="shared" si="7"/>
        <v>595707</v>
      </c>
      <c r="L310" s="7">
        <f t="shared" si="8"/>
        <v>457916.7558</v>
      </c>
    </row>
    <row r="311">
      <c r="A311" s="5" t="s">
        <v>867</v>
      </c>
      <c r="B311" s="5" t="s">
        <v>868</v>
      </c>
      <c r="C311" s="5" t="s">
        <v>869</v>
      </c>
      <c r="D311" s="6">
        <v>17548.0</v>
      </c>
      <c r="E311" s="7">
        <f t="shared" si="1"/>
        <v>2</v>
      </c>
      <c r="F311" s="7">
        <f t="shared" si="2"/>
        <v>36135</v>
      </c>
      <c r="G311" s="7">
        <f t="shared" si="3"/>
        <v>7459</v>
      </c>
      <c r="H311" s="7" t="str">
        <f t="shared" si="4"/>
        <v>B</v>
      </c>
      <c r="I311" s="7" t="str">
        <f t="shared" si="5"/>
        <v>Transformative change</v>
      </c>
      <c r="J311" s="7" t="str">
        <f t="shared" si="6"/>
        <v>Medium</v>
      </c>
      <c r="K311" s="7">
        <f t="shared" si="7"/>
        <v>3937689</v>
      </c>
      <c r="L311" s="7">
        <f t="shared" si="8"/>
        <v>3039273.594</v>
      </c>
    </row>
    <row r="312">
      <c r="A312" s="5" t="s">
        <v>870</v>
      </c>
      <c r="B312" s="5" t="s">
        <v>871</v>
      </c>
      <c r="C312" s="5" t="s">
        <v>872</v>
      </c>
      <c r="D312" s="6">
        <v>8946.0</v>
      </c>
      <c r="E312" s="7">
        <f t="shared" si="1"/>
        <v>5</v>
      </c>
      <c r="F312" s="7">
        <f t="shared" si="2"/>
        <v>87769</v>
      </c>
      <c r="G312" s="7">
        <f t="shared" si="3"/>
        <v>54062</v>
      </c>
      <c r="H312" s="7" t="str">
        <f t="shared" si="4"/>
        <v>F</v>
      </c>
      <c r="I312" s="7" t="str">
        <f t="shared" si="5"/>
        <v>Transformative change</v>
      </c>
      <c r="J312" s="7" t="str">
        <f t="shared" si="6"/>
        <v>High</v>
      </c>
      <c r="K312" s="7">
        <f t="shared" si="7"/>
        <v>2936993</v>
      </c>
      <c r="L312" s="7">
        <f t="shared" si="8"/>
        <v>1687754.33</v>
      </c>
    </row>
    <row r="313">
      <c r="A313" s="5" t="s">
        <v>873</v>
      </c>
      <c r="B313" s="5" t="s">
        <v>874</v>
      </c>
      <c r="C313" s="5" t="s">
        <v>875</v>
      </c>
      <c r="D313" s="6">
        <v>48467.0</v>
      </c>
      <c r="E313" s="7">
        <f t="shared" si="1"/>
        <v>3</v>
      </c>
      <c r="F313" s="7">
        <f t="shared" si="2"/>
        <v>63671</v>
      </c>
      <c r="G313" s="7">
        <f t="shared" si="3"/>
        <v>44891</v>
      </c>
      <c r="H313" s="7" t="str">
        <f t="shared" si="4"/>
        <v>G</v>
      </c>
      <c r="I313" s="7" t="str">
        <f t="shared" si="5"/>
        <v>Transformative change</v>
      </c>
      <c r="J313" s="7" t="str">
        <f t="shared" si="6"/>
        <v>Medium</v>
      </c>
      <c r="K313" s="7">
        <f t="shared" si="7"/>
        <v>2539237</v>
      </c>
      <c r="L313" s="7">
        <f t="shared" si="8"/>
        <v>2064510.286</v>
      </c>
    </row>
    <row r="314">
      <c r="A314" s="5" t="s">
        <v>876</v>
      </c>
      <c r="B314" s="5" t="s">
        <v>877</v>
      </c>
      <c r="C314" s="5" t="s">
        <v>878</v>
      </c>
      <c r="D314" s="6">
        <v>7293.0</v>
      </c>
      <c r="E314" s="7">
        <f t="shared" si="1"/>
        <v>5</v>
      </c>
      <c r="F314" s="7">
        <f t="shared" si="2"/>
        <v>92598</v>
      </c>
      <c r="G314" s="7">
        <f t="shared" si="3"/>
        <v>14590</v>
      </c>
      <c r="H314" s="7" t="str">
        <f t="shared" si="4"/>
        <v>C</v>
      </c>
      <c r="I314" s="7" t="str">
        <f t="shared" si="5"/>
        <v>Transformative change</v>
      </c>
      <c r="J314" s="7" t="str">
        <f t="shared" si="6"/>
        <v>High</v>
      </c>
      <c r="K314" s="7">
        <f t="shared" si="7"/>
        <v>1333403</v>
      </c>
      <c r="L314" s="7">
        <f t="shared" si="8"/>
        <v>607310.5174</v>
      </c>
    </row>
    <row r="315">
      <c r="A315" s="5" t="s">
        <v>879</v>
      </c>
      <c r="B315" s="5" t="s">
        <v>880</v>
      </c>
      <c r="C315" s="5" t="s">
        <v>881</v>
      </c>
      <c r="D315" s="6">
        <v>13356.0</v>
      </c>
      <c r="E315" s="7">
        <f t="shared" si="1"/>
        <v>4</v>
      </c>
      <c r="F315" s="7">
        <f t="shared" si="2"/>
        <v>26216</v>
      </c>
      <c r="G315" s="7">
        <f t="shared" si="3"/>
        <v>34599</v>
      </c>
      <c r="H315" s="7" t="str">
        <f t="shared" si="4"/>
        <v>F</v>
      </c>
      <c r="I315" s="7" t="str">
        <f t="shared" si="5"/>
        <v>Transformative change</v>
      </c>
      <c r="J315" s="7" t="str">
        <f t="shared" si="6"/>
        <v>Medium</v>
      </c>
      <c r="K315" s="7">
        <f t="shared" si="7"/>
        <v>3417420</v>
      </c>
      <c r="L315" s="7">
        <f t="shared" si="8"/>
        <v>330580.5345</v>
      </c>
    </row>
    <row r="316">
      <c r="A316" s="5" t="s">
        <v>882</v>
      </c>
      <c r="B316" s="5" t="s">
        <v>883</v>
      </c>
      <c r="C316" s="5" t="s">
        <v>884</v>
      </c>
      <c r="D316" s="6">
        <v>9491.0</v>
      </c>
      <c r="E316" s="7">
        <f t="shared" si="1"/>
        <v>2</v>
      </c>
      <c r="F316" s="7">
        <f t="shared" si="2"/>
        <v>46633</v>
      </c>
      <c r="G316" s="7">
        <f t="shared" si="3"/>
        <v>6103</v>
      </c>
      <c r="H316" s="7" t="str">
        <f t="shared" si="4"/>
        <v>C</v>
      </c>
      <c r="I316" s="7" t="str">
        <f t="shared" si="5"/>
        <v>Transformative change</v>
      </c>
      <c r="J316" s="7" t="str">
        <f t="shared" si="6"/>
        <v>Medium</v>
      </c>
      <c r="K316" s="7">
        <f t="shared" si="7"/>
        <v>3146289</v>
      </c>
      <c r="L316" s="7">
        <f t="shared" si="8"/>
        <v>2391354.907</v>
      </c>
    </row>
    <row r="317">
      <c r="A317" s="5" t="s">
        <v>885</v>
      </c>
      <c r="B317" s="5" t="s">
        <v>886</v>
      </c>
      <c r="C317" s="5" t="s">
        <v>74</v>
      </c>
      <c r="D317" s="6">
        <v>800980.0</v>
      </c>
      <c r="E317" s="7">
        <f t="shared" si="1"/>
        <v>1</v>
      </c>
      <c r="F317" s="7">
        <f t="shared" si="2"/>
        <v>5800</v>
      </c>
      <c r="G317" s="7">
        <f t="shared" si="3"/>
        <v>16617</v>
      </c>
      <c r="H317" s="7" t="str">
        <f t="shared" si="4"/>
        <v>D</v>
      </c>
      <c r="I317" s="7" t="str">
        <f t="shared" si="5"/>
        <v>Transformative change</v>
      </c>
      <c r="J317" s="7" t="str">
        <f t="shared" si="6"/>
        <v>Medium</v>
      </c>
      <c r="K317" s="7">
        <f t="shared" si="7"/>
        <v>755125</v>
      </c>
      <c r="L317" s="7">
        <f t="shared" si="8"/>
        <v>666649.7099</v>
      </c>
    </row>
    <row r="318">
      <c r="A318" s="5" t="s">
        <v>887</v>
      </c>
      <c r="B318" s="5" t="s">
        <v>888</v>
      </c>
      <c r="C318" s="5" t="s">
        <v>74</v>
      </c>
      <c r="D318" s="6">
        <v>8680.0</v>
      </c>
      <c r="E318" s="7">
        <f t="shared" si="1"/>
        <v>5</v>
      </c>
      <c r="F318" s="7">
        <f t="shared" si="2"/>
        <v>92635</v>
      </c>
      <c r="G318" s="7">
        <f t="shared" si="3"/>
        <v>4552</v>
      </c>
      <c r="H318" s="7" t="str">
        <f t="shared" si="4"/>
        <v>B</v>
      </c>
      <c r="I318" s="7" t="str">
        <f t="shared" si="5"/>
        <v>Transformative change</v>
      </c>
      <c r="J318" s="7" t="str">
        <f t="shared" si="6"/>
        <v>High</v>
      </c>
      <c r="K318" s="7">
        <f t="shared" si="7"/>
        <v>919431</v>
      </c>
      <c r="L318" s="7">
        <f t="shared" si="8"/>
        <v>379031.7705</v>
      </c>
    </row>
    <row r="319">
      <c r="A319" s="5" t="s">
        <v>889</v>
      </c>
      <c r="B319" s="5" t="s">
        <v>890</v>
      </c>
      <c r="C319" s="5" t="s">
        <v>891</v>
      </c>
      <c r="D319" s="6">
        <v>6998.0</v>
      </c>
      <c r="E319" s="7">
        <f t="shared" si="1"/>
        <v>3</v>
      </c>
      <c r="F319" s="7">
        <f t="shared" si="2"/>
        <v>58210</v>
      </c>
      <c r="G319" s="7">
        <f t="shared" si="3"/>
        <v>27318</v>
      </c>
      <c r="H319" s="7" t="str">
        <f t="shared" si="4"/>
        <v>E</v>
      </c>
      <c r="I319" s="7" t="str">
        <f t="shared" si="5"/>
        <v>Transformative change</v>
      </c>
      <c r="J319" s="7" t="str">
        <f t="shared" si="6"/>
        <v>High</v>
      </c>
      <c r="K319" s="7">
        <f t="shared" si="7"/>
        <v>2744959</v>
      </c>
      <c r="L319" s="7">
        <f t="shared" si="8"/>
        <v>511248.3039</v>
      </c>
    </row>
    <row r="320">
      <c r="A320" s="5" t="s">
        <v>892</v>
      </c>
      <c r="B320" s="5" t="s">
        <v>893</v>
      </c>
      <c r="C320" s="5" t="s">
        <v>394</v>
      </c>
      <c r="D320" s="6">
        <v>14338.0</v>
      </c>
      <c r="E320" s="7">
        <f t="shared" si="1"/>
        <v>1</v>
      </c>
      <c r="F320" s="7">
        <f t="shared" si="2"/>
        <v>35870</v>
      </c>
      <c r="G320" s="7">
        <f t="shared" si="3"/>
        <v>49361</v>
      </c>
      <c r="H320" s="7" t="str">
        <f t="shared" si="4"/>
        <v>E</v>
      </c>
      <c r="I320" s="7" t="str">
        <f t="shared" si="5"/>
        <v>Transformative change</v>
      </c>
      <c r="J320" s="7" t="str">
        <f t="shared" si="6"/>
        <v>Low</v>
      </c>
      <c r="K320" s="7">
        <f t="shared" si="7"/>
        <v>2549508</v>
      </c>
      <c r="L320" s="7">
        <f t="shared" si="8"/>
        <v>65859.37168</v>
      </c>
    </row>
    <row r="321">
      <c r="A321" s="5" t="s">
        <v>894</v>
      </c>
      <c r="B321" s="5" t="s">
        <v>895</v>
      </c>
      <c r="C321" s="5" t="s">
        <v>74</v>
      </c>
      <c r="D321" s="6">
        <v>19596.0</v>
      </c>
      <c r="E321" s="7">
        <f t="shared" si="1"/>
        <v>2</v>
      </c>
      <c r="F321" s="7">
        <f t="shared" si="2"/>
        <v>39617</v>
      </c>
      <c r="G321" s="7">
        <f t="shared" si="3"/>
        <v>5737</v>
      </c>
      <c r="H321" s="7" t="str">
        <f t="shared" si="4"/>
        <v>F</v>
      </c>
      <c r="I321" s="7" t="str">
        <f t="shared" si="5"/>
        <v>Transformative change</v>
      </c>
      <c r="J321" s="7" t="str">
        <f t="shared" si="6"/>
        <v>Medium</v>
      </c>
      <c r="K321" s="7">
        <f t="shared" si="7"/>
        <v>108999</v>
      </c>
      <c r="L321" s="7">
        <f t="shared" si="8"/>
        <v>23356.93682</v>
      </c>
    </row>
    <row r="322">
      <c r="A322" s="5" t="s">
        <v>896</v>
      </c>
      <c r="B322" s="5" t="s">
        <v>897</v>
      </c>
      <c r="C322" s="5" t="s">
        <v>898</v>
      </c>
      <c r="D322" s="6">
        <v>19349.0</v>
      </c>
      <c r="E322" s="7">
        <f t="shared" si="1"/>
        <v>3</v>
      </c>
      <c r="F322" s="7">
        <f t="shared" si="2"/>
        <v>50626</v>
      </c>
      <c r="G322" s="7">
        <f t="shared" si="3"/>
        <v>5275</v>
      </c>
      <c r="H322" s="7" t="str">
        <f t="shared" si="4"/>
        <v>G</v>
      </c>
      <c r="I322" s="7" t="str">
        <f t="shared" si="5"/>
        <v>Transformative change</v>
      </c>
      <c r="J322" s="7" t="str">
        <f t="shared" si="6"/>
        <v>Low</v>
      </c>
      <c r="K322" s="7">
        <f t="shared" si="7"/>
        <v>3990159</v>
      </c>
      <c r="L322" s="7">
        <f t="shared" si="8"/>
        <v>1154314.151</v>
      </c>
    </row>
    <row r="323">
      <c r="A323" s="5" t="s">
        <v>899</v>
      </c>
      <c r="B323" s="5" t="s">
        <v>900</v>
      </c>
      <c r="C323" s="5" t="s">
        <v>901</v>
      </c>
      <c r="D323" s="6">
        <v>215865.0</v>
      </c>
      <c r="E323" s="7">
        <f t="shared" si="1"/>
        <v>4</v>
      </c>
      <c r="F323" s="7">
        <f t="shared" si="2"/>
        <v>78237</v>
      </c>
      <c r="G323" s="7">
        <f t="shared" si="3"/>
        <v>7760</v>
      </c>
      <c r="H323" s="7" t="str">
        <f t="shared" si="4"/>
        <v>D</v>
      </c>
      <c r="I323" s="7" t="str">
        <f t="shared" si="5"/>
        <v>Transformative change</v>
      </c>
      <c r="J323" s="7" t="str">
        <f t="shared" si="6"/>
        <v>Low</v>
      </c>
      <c r="K323" s="7">
        <f t="shared" si="7"/>
        <v>902169</v>
      </c>
      <c r="L323" s="7">
        <f t="shared" si="8"/>
        <v>291923.202</v>
      </c>
    </row>
    <row r="324">
      <c r="A324" s="5" t="s">
        <v>902</v>
      </c>
      <c r="B324" s="5" t="s">
        <v>903</v>
      </c>
      <c r="C324" s="5" t="s">
        <v>904</v>
      </c>
      <c r="D324" s="6">
        <v>7756.0</v>
      </c>
      <c r="E324" s="7">
        <f t="shared" si="1"/>
        <v>2</v>
      </c>
      <c r="F324" s="7">
        <f t="shared" si="2"/>
        <v>96271</v>
      </c>
      <c r="G324" s="7">
        <f t="shared" si="3"/>
        <v>23010</v>
      </c>
      <c r="H324" s="7" t="str">
        <f t="shared" si="4"/>
        <v>C</v>
      </c>
      <c r="I324" s="7" t="str">
        <f t="shared" si="5"/>
        <v>Transformative change</v>
      </c>
      <c r="J324" s="7" t="str">
        <f t="shared" si="6"/>
        <v>High</v>
      </c>
      <c r="K324" s="7">
        <f t="shared" si="7"/>
        <v>1509633</v>
      </c>
      <c r="L324" s="7">
        <f t="shared" si="8"/>
        <v>181118.9883</v>
      </c>
    </row>
    <row r="325">
      <c r="A325" s="5" t="s">
        <v>905</v>
      </c>
      <c r="B325" s="5" t="s">
        <v>906</v>
      </c>
      <c r="C325" s="5" t="s">
        <v>653</v>
      </c>
      <c r="D325" s="6">
        <v>11168.0</v>
      </c>
      <c r="E325" s="7">
        <f t="shared" si="1"/>
        <v>3</v>
      </c>
      <c r="F325" s="7">
        <f t="shared" si="2"/>
        <v>74036</v>
      </c>
      <c r="G325" s="7">
        <f t="shared" si="3"/>
        <v>9267</v>
      </c>
      <c r="H325" s="7" t="str">
        <f t="shared" si="4"/>
        <v>A</v>
      </c>
      <c r="I325" s="7" t="str">
        <f t="shared" si="5"/>
        <v>High ambition</v>
      </c>
      <c r="J325" s="7" t="str">
        <f t="shared" si="6"/>
        <v>Low</v>
      </c>
      <c r="K325" s="7">
        <f t="shared" si="7"/>
        <v>2899175</v>
      </c>
      <c r="L325" s="7">
        <f t="shared" si="8"/>
        <v>2889243.98</v>
      </c>
    </row>
    <row r="326">
      <c r="A326" s="5" t="s">
        <v>907</v>
      </c>
      <c r="B326" s="5" t="s">
        <v>908</v>
      </c>
      <c r="C326" s="5" t="s">
        <v>909</v>
      </c>
      <c r="D326" s="6">
        <v>17413.0</v>
      </c>
      <c r="E326" s="7">
        <f t="shared" si="1"/>
        <v>2</v>
      </c>
      <c r="F326" s="7">
        <f t="shared" si="2"/>
        <v>51852</v>
      </c>
      <c r="G326" s="7">
        <f t="shared" si="3"/>
        <v>26943</v>
      </c>
      <c r="H326" s="7" t="str">
        <f t="shared" si="4"/>
        <v>F</v>
      </c>
      <c r="I326" s="7" t="str">
        <f t="shared" si="5"/>
        <v>High ambition</v>
      </c>
      <c r="J326" s="7" t="str">
        <f t="shared" si="6"/>
        <v>High</v>
      </c>
      <c r="K326" s="7">
        <f t="shared" si="7"/>
        <v>1922046</v>
      </c>
      <c r="L326" s="7">
        <f t="shared" si="8"/>
        <v>168868.9758</v>
      </c>
    </row>
    <row r="327">
      <c r="A327" s="5" t="s">
        <v>910</v>
      </c>
      <c r="B327" s="5" t="s">
        <v>911</v>
      </c>
      <c r="C327" s="5" t="s">
        <v>912</v>
      </c>
      <c r="D327" s="6">
        <v>15262.0</v>
      </c>
      <c r="E327" s="7">
        <f t="shared" si="1"/>
        <v>1</v>
      </c>
      <c r="F327" s="7">
        <f t="shared" si="2"/>
        <v>39472</v>
      </c>
      <c r="G327" s="7">
        <f t="shared" si="3"/>
        <v>9</v>
      </c>
      <c r="H327" s="7" t="str">
        <f t="shared" si="4"/>
        <v>A</v>
      </c>
      <c r="I327" s="7" t="str">
        <f t="shared" si="5"/>
        <v>High ambition</v>
      </c>
      <c r="J327" s="7" t="str">
        <f t="shared" si="6"/>
        <v>Medium</v>
      </c>
      <c r="K327" s="7">
        <f t="shared" si="7"/>
        <v>585061</v>
      </c>
      <c r="L327" s="7">
        <f t="shared" si="8"/>
        <v>197472.1044</v>
      </c>
    </row>
    <row r="328">
      <c r="A328" s="5" t="s">
        <v>913</v>
      </c>
      <c r="B328" s="5" t="s">
        <v>914</v>
      </c>
      <c r="C328" s="5" t="s">
        <v>915</v>
      </c>
      <c r="D328" s="6">
        <v>12591.0</v>
      </c>
      <c r="E328" s="7">
        <f t="shared" si="1"/>
        <v>5</v>
      </c>
      <c r="F328" s="7">
        <f t="shared" si="2"/>
        <v>30230</v>
      </c>
      <c r="G328" s="7">
        <f t="shared" si="3"/>
        <v>18591</v>
      </c>
      <c r="H328" s="7" t="str">
        <f t="shared" si="4"/>
        <v>D</v>
      </c>
      <c r="I328" s="7" t="str">
        <f t="shared" si="5"/>
        <v>Transformative change</v>
      </c>
      <c r="J328" s="7" t="str">
        <f t="shared" si="6"/>
        <v>High</v>
      </c>
      <c r="K328" s="7">
        <f t="shared" si="7"/>
        <v>1092218</v>
      </c>
      <c r="L328" s="7">
        <f t="shared" si="8"/>
        <v>664937.1908</v>
      </c>
    </row>
    <row r="329">
      <c r="A329" s="5" t="s">
        <v>916</v>
      </c>
      <c r="B329" s="5" t="s">
        <v>917</v>
      </c>
      <c r="C329" s="5" t="s">
        <v>918</v>
      </c>
      <c r="D329" s="6">
        <v>18699.0</v>
      </c>
      <c r="E329" s="7">
        <f t="shared" si="1"/>
        <v>2</v>
      </c>
      <c r="F329" s="7">
        <f t="shared" si="2"/>
        <v>56277</v>
      </c>
      <c r="G329" s="7">
        <f t="shared" si="3"/>
        <v>23954</v>
      </c>
      <c r="H329" s="7" t="str">
        <f t="shared" si="4"/>
        <v>E</v>
      </c>
      <c r="I329" s="7" t="str">
        <f t="shared" si="5"/>
        <v>Transformative change</v>
      </c>
      <c r="J329" s="7" t="str">
        <f t="shared" si="6"/>
        <v>Low</v>
      </c>
      <c r="K329" s="7">
        <f t="shared" si="7"/>
        <v>1009345</v>
      </c>
      <c r="L329" s="7">
        <f t="shared" si="8"/>
        <v>593516.7623</v>
      </c>
    </row>
    <row r="330">
      <c r="A330" s="5" t="s">
        <v>919</v>
      </c>
      <c r="B330" s="5" t="s">
        <v>920</v>
      </c>
      <c r="C330" s="5" t="s">
        <v>921</v>
      </c>
      <c r="D330" s="6">
        <v>15184.0</v>
      </c>
      <c r="E330" s="7">
        <f t="shared" si="1"/>
        <v>2</v>
      </c>
      <c r="F330" s="7">
        <f t="shared" si="2"/>
        <v>38758</v>
      </c>
      <c r="G330" s="7">
        <f t="shared" si="3"/>
        <v>41562</v>
      </c>
      <c r="H330" s="7" t="str">
        <f t="shared" si="4"/>
        <v>G</v>
      </c>
      <c r="I330" s="7" t="str">
        <f t="shared" si="5"/>
        <v>High ambition</v>
      </c>
      <c r="J330" s="7" t="str">
        <f t="shared" si="6"/>
        <v>Low</v>
      </c>
      <c r="K330" s="7">
        <f t="shared" si="7"/>
        <v>3974111</v>
      </c>
      <c r="L330" s="7">
        <f t="shared" si="8"/>
        <v>1618742.3</v>
      </c>
    </row>
    <row r="331">
      <c r="A331" s="5" t="s">
        <v>922</v>
      </c>
      <c r="B331" s="5" t="s">
        <v>923</v>
      </c>
      <c r="C331" s="5" t="s">
        <v>924</v>
      </c>
      <c r="D331" s="6">
        <v>14547.0</v>
      </c>
      <c r="E331" s="7">
        <f t="shared" si="1"/>
        <v>4</v>
      </c>
      <c r="F331" s="7">
        <f t="shared" si="2"/>
        <v>93275</v>
      </c>
      <c r="G331" s="7">
        <f t="shared" si="3"/>
        <v>91804</v>
      </c>
      <c r="H331" s="7" t="str">
        <f t="shared" si="4"/>
        <v>G</v>
      </c>
      <c r="I331" s="7" t="str">
        <f t="shared" si="5"/>
        <v>Transformative change</v>
      </c>
      <c r="J331" s="7" t="str">
        <f t="shared" si="6"/>
        <v>High</v>
      </c>
      <c r="K331" s="7">
        <f t="shared" si="7"/>
        <v>2963752</v>
      </c>
      <c r="L331" s="7">
        <f t="shared" si="8"/>
        <v>480330.4829</v>
      </c>
    </row>
    <row r="332">
      <c r="A332" s="5" t="s">
        <v>925</v>
      </c>
      <c r="B332" s="5" t="s">
        <v>926</v>
      </c>
      <c r="C332" s="5" t="s">
        <v>927</v>
      </c>
      <c r="D332" s="6">
        <v>14353.0</v>
      </c>
      <c r="E332" s="7">
        <f t="shared" si="1"/>
        <v>2</v>
      </c>
      <c r="F332" s="7">
        <f t="shared" si="2"/>
        <v>15492</v>
      </c>
      <c r="G332" s="7">
        <f t="shared" si="3"/>
        <v>947</v>
      </c>
      <c r="H332" s="7" t="str">
        <f t="shared" si="4"/>
        <v>G</v>
      </c>
      <c r="I332" s="7" t="str">
        <f t="shared" si="5"/>
        <v>Transformative change</v>
      </c>
      <c r="J332" s="7" t="str">
        <f t="shared" si="6"/>
        <v>Low</v>
      </c>
      <c r="K332" s="7">
        <f t="shared" si="7"/>
        <v>1042855</v>
      </c>
      <c r="L332" s="7">
        <f t="shared" si="8"/>
        <v>781086.8955</v>
      </c>
    </row>
    <row r="333">
      <c r="A333" s="5" t="s">
        <v>928</v>
      </c>
      <c r="B333" s="5" t="s">
        <v>929</v>
      </c>
      <c r="C333" s="5" t="s">
        <v>930</v>
      </c>
      <c r="D333" s="6">
        <v>15291.0</v>
      </c>
      <c r="E333" s="7">
        <f t="shared" si="1"/>
        <v>5</v>
      </c>
      <c r="F333" s="7">
        <f t="shared" si="2"/>
        <v>28240</v>
      </c>
      <c r="G333" s="7">
        <f t="shared" si="3"/>
        <v>16893</v>
      </c>
      <c r="H333" s="7" t="str">
        <f t="shared" si="4"/>
        <v>B</v>
      </c>
      <c r="I333" s="7" t="str">
        <f t="shared" si="5"/>
        <v>Transformative change</v>
      </c>
      <c r="J333" s="7" t="str">
        <f t="shared" si="6"/>
        <v>Low</v>
      </c>
      <c r="K333" s="7">
        <f t="shared" si="7"/>
        <v>863540</v>
      </c>
      <c r="L333" s="7">
        <f t="shared" si="8"/>
        <v>605053.929</v>
      </c>
    </row>
    <row r="334">
      <c r="A334" s="5" t="s">
        <v>439</v>
      </c>
      <c r="B334" s="5" t="s">
        <v>931</v>
      </c>
      <c r="C334" s="5" t="s">
        <v>932</v>
      </c>
      <c r="D334" s="6">
        <v>19407.0</v>
      </c>
      <c r="E334" s="7">
        <f t="shared" si="1"/>
        <v>2</v>
      </c>
      <c r="F334" s="7">
        <f t="shared" si="2"/>
        <v>93950</v>
      </c>
      <c r="G334" s="7">
        <f t="shared" si="3"/>
        <v>57074</v>
      </c>
      <c r="H334" s="7" t="str">
        <f t="shared" si="4"/>
        <v>A</v>
      </c>
      <c r="I334" s="7" t="str">
        <f t="shared" si="5"/>
        <v>Transformative change</v>
      </c>
      <c r="J334" s="7" t="str">
        <f t="shared" si="6"/>
        <v>Medium</v>
      </c>
      <c r="K334" s="7">
        <f t="shared" si="7"/>
        <v>2100383</v>
      </c>
      <c r="L334" s="7">
        <f t="shared" si="8"/>
        <v>1979026.118</v>
      </c>
    </row>
    <row r="335">
      <c r="A335" s="5" t="s">
        <v>933</v>
      </c>
      <c r="B335" s="5" t="s">
        <v>934</v>
      </c>
      <c r="C335" s="5" t="s">
        <v>935</v>
      </c>
      <c r="D335" s="6">
        <v>16676.0</v>
      </c>
      <c r="E335" s="7">
        <f t="shared" si="1"/>
        <v>2</v>
      </c>
      <c r="F335" s="7">
        <f t="shared" si="2"/>
        <v>20799</v>
      </c>
      <c r="G335" s="7">
        <f t="shared" si="3"/>
        <v>20603</v>
      </c>
      <c r="H335" s="7" t="str">
        <f t="shared" si="4"/>
        <v>A</v>
      </c>
      <c r="I335" s="7" t="str">
        <f t="shared" si="5"/>
        <v>Transformative change</v>
      </c>
      <c r="J335" s="7" t="str">
        <f t="shared" si="6"/>
        <v>High</v>
      </c>
      <c r="K335" s="7">
        <f t="shared" si="7"/>
        <v>3432427</v>
      </c>
      <c r="L335" s="7">
        <f t="shared" si="8"/>
        <v>2217176.156</v>
      </c>
    </row>
    <row r="336">
      <c r="A336" s="5" t="s">
        <v>936</v>
      </c>
      <c r="B336" s="5" t="s">
        <v>937</v>
      </c>
      <c r="C336" s="5" t="s">
        <v>938</v>
      </c>
      <c r="D336" s="6">
        <v>11589.0</v>
      </c>
      <c r="E336" s="7">
        <f t="shared" si="1"/>
        <v>2</v>
      </c>
      <c r="F336" s="7">
        <f t="shared" si="2"/>
        <v>67397</v>
      </c>
      <c r="G336" s="7">
        <f t="shared" si="3"/>
        <v>4831</v>
      </c>
      <c r="H336" s="7" t="str">
        <f t="shared" si="4"/>
        <v>A</v>
      </c>
      <c r="I336" s="7" t="str">
        <f t="shared" si="5"/>
        <v>Transformative change</v>
      </c>
      <c r="J336" s="7" t="str">
        <f t="shared" si="6"/>
        <v>High</v>
      </c>
      <c r="K336" s="7">
        <f t="shared" si="7"/>
        <v>2714632</v>
      </c>
      <c r="L336" s="7">
        <f t="shared" si="8"/>
        <v>1655143.447</v>
      </c>
    </row>
    <row r="337">
      <c r="A337" s="5" t="s">
        <v>939</v>
      </c>
      <c r="B337" s="5" t="s">
        <v>940</v>
      </c>
      <c r="C337" s="5" t="s">
        <v>726</v>
      </c>
      <c r="D337" s="6">
        <v>80199.0</v>
      </c>
      <c r="E337" s="7">
        <f t="shared" si="1"/>
        <v>5</v>
      </c>
      <c r="F337" s="7">
        <f t="shared" si="2"/>
        <v>11366</v>
      </c>
      <c r="G337" s="7">
        <f t="shared" si="3"/>
        <v>76931</v>
      </c>
      <c r="H337" s="7" t="str">
        <f t="shared" si="4"/>
        <v>A</v>
      </c>
      <c r="I337" s="7" t="str">
        <f t="shared" si="5"/>
        <v>Transformative change</v>
      </c>
      <c r="J337" s="7" t="str">
        <f t="shared" si="6"/>
        <v>High</v>
      </c>
      <c r="K337" s="7">
        <f t="shared" si="7"/>
        <v>1851093</v>
      </c>
      <c r="L337" s="7">
        <f t="shared" si="8"/>
        <v>1545362.845</v>
      </c>
    </row>
    <row r="338">
      <c r="A338" s="5" t="s">
        <v>941</v>
      </c>
      <c r="B338" s="5" t="s">
        <v>942</v>
      </c>
      <c r="C338" s="5" t="s">
        <v>943</v>
      </c>
      <c r="D338" s="6">
        <v>13199.0</v>
      </c>
      <c r="E338" s="7">
        <f t="shared" si="1"/>
        <v>5</v>
      </c>
      <c r="F338" s="7">
        <f t="shared" si="2"/>
        <v>61685</v>
      </c>
      <c r="G338" s="7">
        <f t="shared" si="3"/>
        <v>32672</v>
      </c>
      <c r="H338" s="7" t="str">
        <f t="shared" si="4"/>
        <v>C</v>
      </c>
      <c r="I338" s="7" t="str">
        <f t="shared" si="5"/>
        <v>Transformative change</v>
      </c>
      <c r="J338" s="7" t="str">
        <f t="shared" si="6"/>
        <v>High</v>
      </c>
      <c r="K338" s="7">
        <f t="shared" si="7"/>
        <v>112370</v>
      </c>
      <c r="L338" s="7">
        <f t="shared" si="8"/>
        <v>25771.36608</v>
      </c>
    </row>
    <row r="339">
      <c r="A339" s="5" t="s">
        <v>230</v>
      </c>
      <c r="B339" s="5" t="s">
        <v>944</v>
      </c>
      <c r="C339" s="5" t="s">
        <v>945</v>
      </c>
      <c r="D339" s="6">
        <v>11555.0</v>
      </c>
      <c r="E339" s="7">
        <f t="shared" si="1"/>
        <v>2</v>
      </c>
      <c r="F339" s="7">
        <f t="shared" si="2"/>
        <v>61119</v>
      </c>
      <c r="G339" s="7">
        <f t="shared" si="3"/>
        <v>22410</v>
      </c>
      <c r="H339" s="7" t="str">
        <f t="shared" si="4"/>
        <v>A</v>
      </c>
      <c r="I339" s="7" t="str">
        <f t="shared" si="5"/>
        <v>High ambition</v>
      </c>
      <c r="J339" s="7" t="str">
        <f t="shared" si="6"/>
        <v>Low</v>
      </c>
      <c r="K339" s="7">
        <f t="shared" si="7"/>
        <v>229300</v>
      </c>
      <c r="L339" s="7">
        <f t="shared" si="8"/>
        <v>140384.2181</v>
      </c>
    </row>
    <row r="340">
      <c r="A340" s="5" t="s">
        <v>946</v>
      </c>
      <c r="B340" s="5" t="s">
        <v>947</v>
      </c>
      <c r="C340" s="5" t="s">
        <v>948</v>
      </c>
      <c r="D340" s="6">
        <v>16092.0</v>
      </c>
      <c r="E340" s="7">
        <f t="shared" si="1"/>
        <v>5</v>
      </c>
      <c r="F340" s="7">
        <f t="shared" si="2"/>
        <v>15619</v>
      </c>
      <c r="G340" s="7">
        <f t="shared" si="3"/>
        <v>69029</v>
      </c>
      <c r="H340" s="7" t="str">
        <f t="shared" si="4"/>
        <v>F</v>
      </c>
      <c r="I340" s="7" t="str">
        <f t="shared" si="5"/>
        <v>Transformative change</v>
      </c>
      <c r="J340" s="7" t="str">
        <f t="shared" si="6"/>
        <v>Low</v>
      </c>
      <c r="K340" s="7">
        <f t="shared" si="7"/>
        <v>1105592</v>
      </c>
      <c r="L340" s="7">
        <f t="shared" si="8"/>
        <v>491599.1324</v>
      </c>
    </row>
    <row r="341">
      <c r="A341" s="5" t="s">
        <v>949</v>
      </c>
      <c r="B341" s="5" t="s">
        <v>950</v>
      </c>
      <c r="C341" s="5" t="s">
        <v>74</v>
      </c>
      <c r="D341" s="6">
        <v>346771.0</v>
      </c>
      <c r="E341" s="7">
        <f t="shared" si="1"/>
        <v>4</v>
      </c>
      <c r="F341" s="7">
        <f t="shared" si="2"/>
        <v>14014</v>
      </c>
      <c r="G341" s="7">
        <f t="shared" si="3"/>
        <v>56555</v>
      </c>
      <c r="H341" s="7" t="str">
        <f t="shared" si="4"/>
        <v>E</v>
      </c>
      <c r="I341" s="7" t="str">
        <f t="shared" si="5"/>
        <v>Transformative change</v>
      </c>
      <c r="J341" s="7" t="str">
        <f t="shared" si="6"/>
        <v>Medium</v>
      </c>
      <c r="K341" s="7">
        <f t="shared" si="7"/>
        <v>3461591</v>
      </c>
      <c r="L341" s="7">
        <f t="shared" si="8"/>
        <v>3336008.702</v>
      </c>
    </row>
    <row r="342">
      <c r="A342" s="5" t="s">
        <v>951</v>
      </c>
      <c r="B342" s="5" t="s">
        <v>952</v>
      </c>
      <c r="C342" s="5" t="s">
        <v>953</v>
      </c>
      <c r="D342" s="6">
        <v>9210.0</v>
      </c>
      <c r="E342" s="7">
        <f t="shared" si="1"/>
        <v>5</v>
      </c>
      <c r="F342" s="7">
        <f t="shared" si="2"/>
        <v>75869</v>
      </c>
      <c r="G342" s="7">
        <f t="shared" si="3"/>
        <v>7797</v>
      </c>
      <c r="H342" s="7" t="str">
        <f t="shared" si="4"/>
        <v>D</v>
      </c>
      <c r="I342" s="7" t="str">
        <f t="shared" si="5"/>
        <v>Transformative change</v>
      </c>
      <c r="J342" s="7" t="str">
        <f t="shared" si="6"/>
        <v>Low</v>
      </c>
      <c r="K342" s="7">
        <f t="shared" si="7"/>
        <v>271520</v>
      </c>
      <c r="L342" s="7">
        <f t="shared" si="8"/>
        <v>175072.8325</v>
      </c>
    </row>
    <row r="343">
      <c r="A343" s="5" t="s">
        <v>954</v>
      </c>
      <c r="B343" s="5" t="s">
        <v>955</v>
      </c>
      <c r="C343" s="5" t="s">
        <v>956</v>
      </c>
      <c r="D343" s="6">
        <v>13783.0</v>
      </c>
      <c r="E343" s="7">
        <f t="shared" si="1"/>
        <v>2</v>
      </c>
      <c r="F343" s="7">
        <f t="shared" si="2"/>
        <v>97844</v>
      </c>
      <c r="G343" s="7">
        <f t="shared" si="3"/>
        <v>16541</v>
      </c>
      <c r="H343" s="7" t="str">
        <f t="shared" si="4"/>
        <v>B</v>
      </c>
      <c r="I343" s="7" t="str">
        <f t="shared" si="5"/>
        <v>High ambition</v>
      </c>
      <c r="J343" s="7" t="str">
        <f t="shared" si="6"/>
        <v>Low</v>
      </c>
      <c r="K343" s="7">
        <f t="shared" si="7"/>
        <v>86578</v>
      </c>
      <c r="L343" s="7">
        <f t="shared" si="8"/>
        <v>14533.08188</v>
      </c>
    </row>
    <row r="344">
      <c r="A344" s="5" t="s">
        <v>957</v>
      </c>
      <c r="B344" s="5" t="s">
        <v>958</v>
      </c>
      <c r="C344" s="5" t="s">
        <v>959</v>
      </c>
      <c r="D344" s="6">
        <v>11900.0</v>
      </c>
      <c r="E344" s="7">
        <f t="shared" si="1"/>
        <v>1</v>
      </c>
      <c r="F344" s="7">
        <f t="shared" si="2"/>
        <v>93418</v>
      </c>
      <c r="G344" s="7">
        <f t="shared" si="3"/>
        <v>47656</v>
      </c>
      <c r="H344" s="7" t="str">
        <f t="shared" si="4"/>
        <v>F</v>
      </c>
      <c r="I344" s="7" t="str">
        <f t="shared" si="5"/>
        <v>Transformative change</v>
      </c>
      <c r="J344" s="7" t="str">
        <f t="shared" si="6"/>
        <v>Medium</v>
      </c>
      <c r="K344" s="7">
        <f t="shared" si="7"/>
        <v>1646199</v>
      </c>
      <c r="L344" s="7">
        <f t="shared" si="8"/>
        <v>517036.9992</v>
      </c>
    </row>
    <row r="345">
      <c r="A345" s="5" t="s">
        <v>960</v>
      </c>
      <c r="B345" s="5" t="s">
        <v>961</v>
      </c>
      <c r="C345" s="5" t="s">
        <v>670</v>
      </c>
      <c r="D345" s="6">
        <v>27144.0</v>
      </c>
      <c r="E345" s="7">
        <f t="shared" si="1"/>
        <v>1</v>
      </c>
      <c r="F345" s="7">
        <f t="shared" si="2"/>
        <v>63324</v>
      </c>
      <c r="G345" s="7">
        <f t="shared" si="3"/>
        <v>340</v>
      </c>
      <c r="H345" s="7" t="str">
        <f t="shared" si="4"/>
        <v>C</v>
      </c>
      <c r="I345" s="7" t="str">
        <f t="shared" si="5"/>
        <v>Transformative change</v>
      </c>
      <c r="J345" s="7" t="str">
        <f t="shared" si="6"/>
        <v>High</v>
      </c>
      <c r="K345" s="7">
        <f t="shared" si="7"/>
        <v>1529846</v>
      </c>
      <c r="L345" s="7">
        <f t="shared" si="8"/>
        <v>715863.0054</v>
      </c>
    </row>
    <row r="346">
      <c r="A346" s="5" t="s">
        <v>962</v>
      </c>
      <c r="B346" s="5" t="s">
        <v>963</v>
      </c>
      <c r="C346" s="5" t="s">
        <v>726</v>
      </c>
      <c r="D346" s="6">
        <v>13039.0</v>
      </c>
      <c r="E346" s="7">
        <f t="shared" si="1"/>
        <v>4</v>
      </c>
      <c r="F346" s="7">
        <f t="shared" si="2"/>
        <v>34548</v>
      </c>
      <c r="G346" s="7">
        <f t="shared" si="3"/>
        <v>49058</v>
      </c>
      <c r="H346" s="7" t="str">
        <f t="shared" si="4"/>
        <v>D</v>
      </c>
      <c r="I346" s="7" t="str">
        <f t="shared" si="5"/>
        <v>Transformative change</v>
      </c>
      <c r="J346" s="7" t="str">
        <f t="shared" si="6"/>
        <v>High</v>
      </c>
      <c r="K346" s="7">
        <f t="shared" si="7"/>
        <v>2751677</v>
      </c>
      <c r="L346" s="7">
        <f t="shared" si="8"/>
        <v>1791443.933</v>
      </c>
    </row>
    <row r="347">
      <c r="A347" s="5" t="s">
        <v>964</v>
      </c>
      <c r="B347" s="5" t="s">
        <v>965</v>
      </c>
      <c r="C347" s="5" t="s">
        <v>966</v>
      </c>
      <c r="D347" s="6">
        <v>72325.0</v>
      </c>
      <c r="E347" s="7">
        <f t="shared" si="1"/>
        <v>5</v>
      </c>
      <c r="F347" s="7">
        <f t="shared" si="2"/>
        <v>46236</v>
      </c>
      <c r="G347" s="7">
        <f t="shared" si="3"/>
        <v>31661</v>
      </c>
      <c r="H347" s="7" t="str">
        <f t="shared" si="4"/>
        <v>C</v>
      </c>
      <c r="I347" s="7" t="str">
        <f t="shared" si="5"/>
        <v>Transformative change</v>
      </c>
      <c r="J347" s="7" t="str">
        <f t="shared" si="6"/>
        <v>High</v>
      </c>
      <c r="K347" s="7">
        <f t="shared" si="7"/>
        <v>1110419</v>
      </c>
      <c r="L347" s="7">
        <f t="shared" si="8"/>
        <v>292332.4465</v>
      </c>
    </row>
    <row r="348">
      <c r="A348" s="5" t="s">
        <v>967</v>
      </c>
      <c r="B348" s="5" t="s">
        <v>968</v>
      </c>
      <c r="C348" s="5" t="s">
        <v>969</v>
      </c>
      <c r="D348" s="6">
        <v>18729.0</v>
      </c>
      <c r="E348" s="7">
        <f t="shared" si="1"/>
        <v>1</v>
      </c>
      <c r="F348" s="7">
        <f t="shared" si="2"/>
        <v>81376</v>
      </c>
      <c r="G348" s="7">
        <f t="shared" si="3"/>
        <v>39838</v>
      </c>
      <c r="H348" s="7" t="str">
        <f t="shared" si="4"/>
        <v>E</v>
      </c>
      <c r="I348" s="7" t="str">
        <f t="shared" si="5"/>
        <v>Transformative change</v>
      </c>
      <c r="J348" s="7" t="str">
        <f t="shared" si="6"/>
        <v>Medium</v>
      </c>
      <c r="K348" s="7">
        <f t="shared" si="7"/>
        <v>2336793</v>
      </c>
      <c r="L348" s="7">
        <f t="shared" si="8"/>
        <v>2236211.698</v>
      </c>
    </row>
    <row r="349">
      <c r="A349" s="5" t="s">
        <v>970</v>
      </c>
      <c r="B349" s="5" t="s">
        <v>971</v>
      </c>
      <c r="C349" s="5" t="s">
        <v>972</v>
      </c>
      <c r="D349" s="6">
        <v>16749.0</v>
      </c>
      <c r="E349" s="7">
        <f t="shared" si="1"/>
        <v>2</v>
      </c>
      <c r="F349" s="7">
        <f t="shared" si="2"/>
        <v>65590</v>
      </c>
      <c r="G349" s="7">
        <f t="shared" si="3"/>
        <v>46758</v>
      </c>
      <c r="H349" s="7" t="str">
        <f t="shared" si="4"/>
        <v>D</v>
      </c>
      <c r="I349" s="7" t="str">
        <f t="shared" si="5"/>
        <v>Transformative change</v>
      </c>
      <c r="J349" s="7" t="str">
        <f t="shared" si="6"/>
        <v>High</v>
      </c>
      <c r="K349" s="7">
        <f t="shared" si="7"/>
        <v>1310850</v>
      </c>
      <c r="L349" s="7">
        <f t="shared" si="8"/>
        <v>419580.308</v>
      </c>
    </row>
    <row r="350">
      <c r="A350" s="5" t="s">
        <v>973</v>
      </c>
      <c r="B350" s="5" t="s">
        <v>974</v>
      </c>
      <c r="C350" s="5" t="s">
        <v>975</v>
      </c>
      <c r="D350" s="6">
        <v>9477.0</v>
      </c>
      <c r="E350" s="7">
        <f t="shared" si="1"/>
        <v>5</v>
      </c>
      <c r="F350" s="7">
        <f t="shared" si="2"/>
        <v>78907</v>
      </c>
      <c r="G350" s="7">
        <f t="shared" si="3"/>
        <v>1454</v>
      </c>
      <c r="H350" s="7" t="str">
        <f t="shared" si="4"/>
        <v>C</v>
      </c>
      <c r="I350" s="7" t="str">
        <f t="shared" si="5"/>
        <v>Transformative change</v>
      </c>
      <c r="J350" s="7" t="str">
        <f t="shared" si="6"/>
        <v>Medium</v>
      </c>
      <c r="K350" s="7">
        <f t="shared" si="7"/>
        <v>2131544</v>
      </c>
      <c r="L350" s="7">
        <f t="shared" si="8"/>
        <v>626734.8255</v>
      </c>
    </row>
    <row r="351">
      <c r="A351" s="5" t="s">
        <v>976</v>
      </c>
      <c r="B351" s="5" t="s">
        <v>977</v>
      </c>
      <c r="C351" s="5" t="s">
        <v>978</v>
      </c>
      <c r="D351" s="6">
        <v>450093.0</v>
      </c>
      <c r="E351" s="7">
        <f t="shared" si="1"/>
        <v>1</v>
      </c>
      <c r="F351" s="7">
        <f t="shared" si="2"/>
        <v>68839</v>
      </c>
      <c r="G351" s="7">
        <f t="shared" si="3"/>
        <v>57855</v>
      </c>
      <c r="H351" s="7" t="str">
        <f t="shared" si="4"/>
        <v>E</v>
      </c>
      <c r="I351" s="7" t="str">
        <f t="shared" si="5"/>
        <v>Transformative change</v>
      </c>
      <c r="J351" s="7" t="str">
        <f t="shared" si="6"/>
        <v>Medium</v>
      </c>
      <c r="K351" s="7">
        <f t="shared" si="7"/>
        <v>410888</v>
      </c>
      <c r="L351" s="7">
        <f t="shared" si="8"/>
        <v>206219.7541</v>
      </c>
    </row>
    <row r="352">
      <c r="A352" s="5" t="s">
        <v>979</v>
      </c>
      <c r="B352" s="5" t="s">
        <v>980</v>
      </c>
      <c r="C352" s="5" t="s">
        <v>74</v>
      </c>
      <c r="D352" s="6">
        <v>41950.0</v>
      </c>
      <c r="E352" s="7">
        <f t="shared" si="1"/>
        <v>1</v>
      </c>
      <c r="F352" s="7">
        <f t="shared" si="2"/>
        <v>43648</v>
      </c>
      <c r="G352" s="7">
        <f t="shared" si="3"/>
        <v>32367</v>
      </c>
      <c r="H352" s="7" t="str">
        <f t="shared" si="4"/>
        <v>E</v>
      </c>
      <c r="I352" s="7" t="str">
        <f t="shared" si="5"/>
        <v>Transformative change</v>
      </c>
      <c r="J352" s="7" t="str">
        <f t="shared" si="6"/>
        <v>Medium</v>
      </c>
      <c r="K352" s="7">
        <f t="shared" si="7"/>
        <v>635055</v>
      </c>
      <c r="L352" s="7">
        <f t="shared" si="8"/>
        <v>579788.2894</v>
      </c>
    </row>
    <row r="353">
      <c r="A353" s="5" t="s">
        <v>981</v>
      </c>
      <c r="B353" s="5" t="s">
        <v>982</v>
      </c>
      <c r="C353" s="5" t="s">
        <v>983</v>
      </c>
      <c r="D353" s="6">
        <v>17080.0</v>
      </c>
      <c r="E353" s="7">
        <f t="shared" si="1"/>
        <v>2</v>
      </c>
      <c r="F353" s="7">
        <f t="shared" si="2"/>
        <v>83128</v>
      </c>
      <c r="G353" s="7">
        <f t="shared" si="3"/>
        <v>25744</v>
      </c>
      <c r="H353" s="7" t="str">
        <f t="shared" si="4"/>
        <v>D</v>
      </c>
      <c r="I353" s="7" t="str">
        <f t="shared" si="5"/>
        <v>High ambition</v>
      </c>
      <c r="J353" s="7" t="str">
        <f t="shared" si="6"/>
        <v>High</v>
      </c>
      <c r="K353" s="7">
        <f t="shared" si="7"/>
        <v>3824741</v>
      </c>
      <c r="L353" s="7">
        <f t="shared" si="8"/>
        <v>1986410.716</v>
      </c>
    </row>
    <row r="354">
      <c r="A354" s="5" t="s">
        <v>984</v>
      </c>
      <c r="B354" s="5" t="s">
        <v>985</v>
      </c>
      <c r="C354" s="5" t="s">
        <v>986</v>
      </c>
      <c r="D354" s="6">
        <v>11031.0</v>
      </c>
      <c r="E354" s="7">
        <f t="shared" si="1"/>
        <v>1</v>
      </c>
      <c r="F354" s="7">
        <f t="shared" si="2"/>
        <v>18754</v>
      </c>
      <c r="G354" s="7">
        <f t="shared" si="3"/>
        <v>10983</v>
      </c>
      <c r="H354" s="7" t="str">
        <f t="shared" si="4"/>
        <v>G</v>
      </c>
      <c r="I354" s="7" t="str">
        <f t="shared" si="5"/>
        <v>Transformative change</v>
      </c>
      <c r="J354" s="7" t="str">
        <f t="shared" si="6"/>
        <v>Medium</v>
      </c>
      <c r="K354" s="7">
        <f t="shared" si="7"/>
        <v>717144</v>
      </c>
      <c r="L354" s="7">
        <f t="shared" si="8"/>
        <v>681447.4248</v>
      </c>
    </row>
    <row r="355">
      <c r="A355" s="5" t="s">
        <v>987</v>
      </c>
      <c r="B355" s="5" t="s">
        <v>988</v>
      </c>
      <c r="C355" s="5" t="s">
        <v>989</v>
      </c>
      <c r="D355" s="6">
        <v>13023.0</v>
      </c>
      <c r="E355" s="7">
        <f t="shared" si="1"/>
        <v>5</v>
      </c>
      <c r="F355" s="7">
        <f t="shared" si="2"/>
        <v>31583</v>
      </c>
      <c r="G355" s="7">
        <f t="shared" si="3"/>
        <v>23750</v>
      </c>
      <c r="H355" s="7" t="str">
        <f t="shared" si="4"/>
        <v>C</v>
      </c>
      <c r="I355" s="7" t="str">
        <f t="shared" si="5"/>
        <v>Transformative change</v>
      </c>
      <c r="J355" s="7" t="str">
        <f t="shared" si="6"/>
        <v>Medium</v>
      </c>
      <c r="K355" s="7">
        <f t="shared" si="7"/>
        <v>2721930</v>
      </c>
      <c r="L355" s="7">
        <f t="shared" si="8"/>
        <v>543821.2474</v>
      </c>
    </row>
    <row r="356">
      <c r="A356" s="5" t="s">
        <v>990</v>
      </c>
      <c r="B356" s="5" t="s">
        <v>991</v>
      </c>
      <c r="C356" s="5" t="s">
        <v>74</v>
      </c>
      <c r="D356" s="6">
        <v>16501.0</v>
      </c>
      <c r="E356" s="7">
        <f t="shared" si="1"/>
        <v>1</v>
      </c>
      <c r="F356" s="7">
        <f t="shared" si="2"/>
        <v>10705</v>
      </c>
      <c r="G356" s="7">
        <f t="shared" si="3"/>
        <v>60124</v>
      </c>
      <c r="H356" s="7" t="str">
        <f t="shared" si="4"/>
        <v>C</v>
      </c>
      <c r="I356" s="7" t="str">
        <f t="shared" si="5"/>
        <v>Transformative change</v>
      </c>
      <c r="J356" s="7" t="str">
        <f t="shared" si="6"/>
        <v>High</v>
      </c>
      <c r="K356" s="7">
        <f t="shared" si="7"/>
        <v>1333470</v>
      </c>
      <c r="L356" s="7">
        <f t="shared" si="8"/>
        <v>1192958.249</v>
      </c>
    </row>
    <row r="357">
      <c r="A357" s="5" t="s">
        <v>992</v>
      </c>
      <c r="B357" s="5" t="s">
        <v>993</v>
      </c>
      <c r="C357" s="5" t="s">
        <v>994</v>
      </c>
      <c r="D357" s="6">
        <v>32388.0</v>
      </c>
      <c r="E357" s="7">
        <f t="shared" si="1"/>
        <v>5</v>
      </c>
      <c r="F357" s="7">
        <f t="shared" si="2"/>
        <v>47643</v>
      </c>
      <c r="G357" s="7">
        <f t="shared" si="3"/>
        <v>924</v>
      </c>
      <c r="H357" s="7" t="str">
        <f t="shared" si="4"/>
        <v>E</v>
      </c>
      <c r="I357" s="7" t="str">
        <f t="shared" si="5"/>
        <v>Transformative change</v>
      </c>
      <c r="J357" s="7" t="str">
        <f t="shared" si="6"/>
        <v>Medium</v>
      </c>
      <c r="K357" s="7">
        <f t="shared" si="7"/>
        <v>1111753</v>
      </c>
      <c r="L357" s="7">
        <f t="shared" si="8"/>
        <v>862810.7021</v>
      </c>
    </row>
    <row r="358">
      <c r="A358" s="5" t="s">
        <v>995</v>
      </c>
      <c r="B358" s="5" t="s">
        <v>996</v>
      </c>
      <c r="C358" s="5" t="s">
        <v>997</v>
      </c>
      <c r="D358" s="6">
        <v>16108.0</v>
      </c>
      <c r="E358" s="7">
        <f t="shared" si="1"/>
        <v>5</v>
      </c>
      <c r="F358" s="7">
        <f t="shared" si="2"/>
        <v>56530</v>
      </c>
      <c r="G358" s="7">
        <f t="shared" si="3"/>
        <v>48690</v>
      </c>
      <c r="H358" s="7" t="str">
        <f t="shared" si="4"/>
        <v>G</v>
      </c>
      <c r="I358" s="7" t="str">
        <f t="shared" si="5"/>
        <v>Transformative change</v>
      </c>
      <c r="J358" s="7" t="str">
        <f t="shared" si="6"/>
        <v>Medium</v>
      </c>
      <c r="K358" s="7">
        <f t="shared" si="7"/>
        <v>3054286</v>
      </c>
      <c r="L358" s="7">
        <f t="shared" si="8"/>
        <v>988610.68</v>
      </c>
    </row>
    <row r="359">
      <c r="A359" s="5" t="s">
        <v>998</v>
      </c>
      <c r="B359" s="5" t="s">
        <v>999</v>
      </c>
      <c r="C359" s="5" t="s">
        <v>1000</v>
      </c>
      <c r="D359" s="6">
        <v>16805.0</v>
      </c>
      <c r="E359" s="7">
        <f t="shared" si="1"/>
        <v>2</v>
      </c>
      <c r="F359" s="7">
        <f t="shared" si="2"/>
        <v>62418</v>
      </c>
      <c r="G359" s="7">
        <f t="shared" si="3"/>
        <v>23785</v>
      </c>
      <c r="H359" s="7" t="str">
        <f t="shared" si="4"/>
        <v>F</v>
      </c>
      <c r="I359" s="7" t="str">
        <f t="shared" si="5"/>
        <v>High ambition</v>
      </c>
      <c r="J359" s="7" t="str">
        <f t="shared" si="6"/>
        <v>High</v>
      </c>
      <c r="K359" s="7">
        <f t="shared" si="7"/>
        <v>2291320</v>
      </c>
      <c r="L359" s="7">
        <f t="shared" si="8"/>
        <v>1592945.06</v>
      </c>
    </row>
    <row r="360">
      <c r="A360" s="5" t="s">
        <v>1001</v>
      </c>
      <c r="B360" s="5" t="s">
        <v>1002</v>
      </c>
      <c r="C360" s="5" t="s">
        <v>74</v>
      </c>
      <c r="D360" s="6">
        <v>11595.0</v>
      </c>
      <c r="E360" s="7">
        <f t="shared" si="1"/>
        <v>2</v>
      </c>
      <c r="F360" s="7">
        <f t="shared" si="2"/>
        <v>78573</v>
      </c>
      <c r="G360" s="7">
        <f t="shared" si="3"/>
        <v>32091</v>
      </c>
      <c r="H360" s="7" t="str">
        <f t="shared" si="4"/>
        <v>E</v>
      </c>
      <c r="I360" s="7" t="str">
        <f t="shared" si="5"/>
        <v>High ambition</v>
      </c>
      <c r="J360" s="7" t="str">
        <f t="shared" si="6"/>
        <v>Medium</v>
      </c>
      <c r="K360" s="7">
        <f t="shared" si="7"/>
        <v>1666779</v>
      </c>
      <c r="L360" s="7">
        <f t="shared" si="8"/>
        <v>682210.4064</v>
      </c>
    </row>
    <row r="361">
      <c r="A361" s="5" t="s">
        <v>1003</v>
      </c>
      <c r="B361" s="5" t="s">
        <v>1004</v>
      </c>
      <c r="C361" s="5" t="s">
        <v>74</v>
      </c>
      <c r="D361" s="6">
        <v>10888.0</v>
      </c>
      <c r="E361" s="7">
        <f t="shared" si="1"/>
        <v>3</v>
      </c>
      <c r="F361" s="7">
        <f t="shared" si="2"/>
        <v>86104</v>
      </c>
      <c r="G361" s="7">
        <f t="shared" si="3"/>
        <v>54118</v>
      </c>
      <c r="H361" s="7" t="str">
        <f t="shared" si="4"/>
        <v>F</v>
      </c>
      <c r="I361" s="7" t="str">
        <f t="shared" si="5"/>
        <v>Transformative change</v>
      </c>
      <c r="J361" s="7" t="str">
        <f t="shared" si="6"/>
        <v>Medium</v>
      </c>
      <c r="K361" s="7">
        <f t="shared" si="7"/>
        <v>197194</v>
      </c>
      <c r="L361" s="7">
        <f t="shared" si="8"/>
        <v>88004.69132</v>
      </c>
    </row>
    <row r="362">
      <c r="A362" s="5" t="s">
        <v>1005</v>
      </c>
      <c r="B362" s="5" t="s">
        <v>1006</v>
      </c>
      <c r="C362" s="5" t="s">
        <v>653</v>
      </c>
      <c r="D362" s="6">
        <v>40163.0</v>
      </c>
      <c r="E362" s="7">
        <f t="shared" si="1"/>
        <v>1</v>
      </c>
      <c r="F362" s="7">
        <f t="shared" si="2"/>
        <v>65787</v>
      </c>
      <c r="G362" s="7">
        <f t="shared" si="3"/>
        <v>38480</v>
      </c>
      <c r="H362" s="7" t="str">
        <f t="shared" si="4"/>
        <v>F</v>
      </c>
      <c r="I362" s="7" t="str">
        <f t="shared" si="5"/>
        <v>Transformative change</v>
      </c>
      <c r="J362" s="7" t="str">
        <f t="shared" si="6"/>
        <v>Medium</v>
      </c>
      <c r="K362" s="7">
        <f t="shared" si="7"/>
        <v>3511014</v>
      </c>
      <c r="L362" s="7">
        <f t="shared" si="8"/>
        <v>2433545.459</v>
      </c>
    </row>
    <row r="363">
      <c r="A363" s="5" t="s">
        <v>1007</v>
      </c>
      <c r="B363" s="5" t="s">
        <v>1008</v>
      </c>
      <c r="C363" s="5" t="s">
        <v>1009</v>
      </c>
      <c r="D363" s="6">
        <v>59726.0</v>
      </c>
      <c r="E363" s="7">
        <f t="shared" si="1"/>
        <v>1</v>
      </c>
      <c r="F363" s="7">
        <f t="shared" si="2"/>
        <v>56421</v>
      </c>
      <c r="G363" s="7">
        <f t="shared" si="3"/>
        <v>49321</v>
      </c>
      <c r="H363" s="7" t="str">
        <f t="shared" si="4"/>
        <v>A</v>
      </c>
      <c r="I363" s="7" t="str">
        <f t="shared" si="5"/>
        <v>Transformative change</v>
      </c>
      <c r="J363" s="7" t="str">
        <f t="shared" si="6"/>
        <v>Medium</v>
      </c>
      <c r="K363" s="7">
        <f t="shared" si="7"/>
        <v>1400629</v>
      </c>
      <c r="L363" s="7">
        <f t="shared" si="8"/>
        <v>1271929.085</v>
      </c>
    </row>
    <row r="364">
      <c r="A364" s="5" t="s">
        <v>1010</v>
      </c>
      <c r="B364" s="5" t="s">
        <v>1011</v>
      </c>
      <c r="C364" s="5" t="s">
        <v>1012</v>
      </c>
      <c r="D364" s="6">
        <v>19009.0</v>
      </c>
      <c r="E364" s="7">
        <f t="shared" si="1"/>
        <v>4</v>
      </c>
      <c r="F364" s="7">
        <f t="shared" si="2"/>
        <v>42580</v>
      </c>
      <c r="G364" s="7">
        <f t="shared" si="3"/>
        <v>18883</v>
      </c>
      <c r="H364" s="7" t="str">
        <f t="shared" si="4"/>
        <v>E</v>
      </c>
      <c r="I364" s="7" t="str">
        <f t="shared" si="5"/>
        <v>Transformative change</v>
      </c>
      <c r="J364" s="7" t="str">
        <f t="shared" si="6"/>
        <v>Low</v>
      </c>
      <c r="K364" s="7">
        <f t="shared" si="7"/>
        <v>1169451</v>
      </c>
      <c r="L364" s="7">
        <f t="shared" si="8"/>
        <v>738296.3662</v>
      </c>
    </row>
    <row r="365">
      <c r="A365" s="5" t="s">
        <v>1013</v>
      </c>
      <c r="B365" s="5" t="s">
        <v>1014</v>
      </c>
      <c r="C365" s="5" t="s">
        <v>74</v>
      </c>
      <c r="D365" s="6">
        <v>19681.0</v>
      </c>
      <c r="E365" s="7">
        <f t="shared" si="1"/>
        <v>5</v>
      </c>
      <c r="F365" s="7">
        <f t="shared" si="2"/>
        <v>87105</v>
      </c>
      <c r="G365" s="7">
        <f t="shared" si="3"/>
        <v>60003</v>
      </c>
      <c r="H365" s="7" t="str">
        <f t="shared" si="4"/>
        <v>A</v>
      </c>
      <c r="I365" s="7" t="str">
        <f t="shared" si="5"/>
        <v>Transformative change</v>
      </c>
      <c r="J365" s="7" t="str">
        <f t="shared" si="6"/>
        <v>High</v>
      </c>
      <c r="K365" s="7">
        <f t="shared" si="7"/>
        <v>526391</v>
      </c>
      <c r="L365" s="7">
        <f t="shared" si="8"/>
        <v>377044.5107</v>
      </c>
    </row>
    <row r="366">
      <c r="A366" s="5" t="s">
        <v>1015</v>
      </c>
      <c r="B366" s="5" t="s">
        <v>1016</v>
      </c>
      <c r="C366" s="5" t="s">
        <v>1017</v>
      </c>
      <c r="D366" s="6">
        <v>304271.0</v>
      </c>
      <c r="E366" s="7">
        <f t="shared" si="1"/>
        <v>3</v>
      </c>
      <c r="F366" s="7">
        <f t="shared" si="2"/>
        <v>70191</v>
      </c>
      <c r="G366" s="7">
        <f t="shared" si="3"/>
        <v>44678</v>
      </c>
      <c r="H366" s="7" t="str">
        <f t="shared" si="4"/>
        <v>F</v>
      </c>
      <c r="I366" s="7" t="str">
        <f t="shared" si="5"/>
        <v>Transformative change</v>
      </c>
      <c r="J366" s="7" t="str">
        <f t="shared" si="6"/>
        <v>Medium</v>
      </c>
      <c r="K366" s="7">
        <f t="shared" si="7"/>
        <v>2570081</v>
      </c>
      <c r="L366" s="7">
        <f t="shared" si="8"/>
        <v>1051148.223</v>
      </c>
    </row>
    <row r="367">
      <c r="A367" s="5" t="s">
        <v>1018</v>
      </c>
      <c r="B367" s="5" t="s">
        <v>1019</v>
      </c>
      <c r="C367" s="5" t="s">
        <v>1020</v>
      </c>
      <c r="D367" s="6">
        <v>18474.0</v>
      </c>
      <c r="E367" s="7">
        <f t="shared" si="1"/>
        <v>2</v>
      </c>
      <c r="F367" s="7">
        <f t="shared" si="2"/>
        <v>87424</v>
      </c>
      <c r="G367" s="7">
        <f t="shared" si="3"/>
        <v>85602</v>
      </c>
      <c r="H367" s="7" t="str">
        <f t="shared" si="4"/>
        <v>C</v>
      </c>
      <c r="I367" s="7" t="str">
        <f t="shared" si="5"/>
        <v>Transformative change</v>
      </c>
      <c r="J367" s="7" t="str">
        <f t="shared" si="6"/>
        <v>Medium</v>
      </c>
      <c r="K367" s="7">
        <f t="shared" si="7"/>
        <v>2155184</v>
      </c>
      <c r="L367" s="7">
        <f t="shared" si="8"/>
        <v>322841.8203</v>
      </c>
    </row>
    <row r="368">
      <c r="A368" s="5" t="s">
        <v>1021</v>
      </c>
      <c r="B368" s="5" t="s">
        <v>1022</v>
      </c>
      <c r="C368" s="5" t="s">
        <v>1023</v>
      </c>
      <c r="D368" s="6">
        <v>9325.0</v>
      </c>
      <c r="E368" s="7">
        <f t="shared" si="1"/>
        <v>2</v>
      </c>
      <c r="F368" s="7">
        <f t="shared" si="2"/>
        <v>35606</v>
      </c>
      <c r="G368" s="7">
        <f t="shared" si="3"/>
        <v>19286</v>
      </c>
      <c r="H368" s="7" t="str">
        <f t="shared" si="4"/>
        <v>A</v>
      </c>
      <c r="I368" s="7" t="str">
        <f t="shared" si="5"/>
        <v>Transformative change</v>
      </c>
      <c r="J368" s="7" t="str">
        <f t="shared" si="6"/>
        <v>Medium</v>
      </c>
      <c r="K368" s="7">
        <f t="shared" si="7"/>
        <v>643135</v>
      </c>
      <c r="L368" s="7">
        <f t="shared" si="8"/>
        <v>337027.3996</v>
      </c>
    </row>
    <row r="369">
      <c r="A369" s="5" t="s">
        <v>1024</v>
      </c>
      <c r="B369" s="5" t="s">
        <v>1025</v>
      </c>
      <c r="C369" s="5" t="s">
        <v>1026</v>
      </c>
      <c r="D369" s="6">
        <v>26751.0</v>
      </c>
      <c r="E369" s="7">
        <f t="shared" si="1"/>
        <v>4</v>
      </c>
      <c r="F369" s="7">
        <f t="shared" si="2"/>
        <v>75743</v>
      </c>
      <c r="G369" s="7">
        <f t="shared" si="3"/>
        <v>29386</v>
      </c>
      <c r="H369" s="7" t="str">
        <f t="shared" si="4"/>
        <v>F</v>
      </c>
      <c r="I369" s="7" t="str">
        <f t="shared" si="5"/>
        <v>Transformative change</v>
      </c>
      <c r="J369" s="7" t="str">
        <f t="shared" si="6"/>
        <v>Low</v>
      </c>
      <c r="K369" s="7">
        <f t="shared" si="7"/>
        <v>109659</v>
      </c>
      <c r="L369" s="7">
        <f t="shared" si="8"/>
        <v>4083.415173</v>
      </c>
    </row>
    <row r="370">
      <c r="A370" s="5" t="s">
        <v>1027</v>
      </c>
      <c r="B370" s="5" t="s">
        <v>1028</v>
      </c>
      <c r="C370" s="5" t="s">
        <v>1029</v>
      </c>
      <c r="D370" s="6">
        <v>19645.0</v>
      </c>
      <c r="E370" s="7">
        <f t="shared" si="1"/>
        <v>4</v>
      </c>
      <c r="F370" s="7">
        <f t="shared" si="2"/>
        <v>61017</v>
      </c>
      <c r="G370" s="7">
        <f t="shared" si="3"/>
        <v>22745</v>
      </c>
      <c r="H370" s="7" t="str">
        <f t="shared" si="4"/>
        <v>E</v>
      </c>
      <c r="I370" s="7" t="str">
        <f t="shared" si="5"/>
        <v>Transformative change</v>
      </c>
      <c r="J370" s="7" t="str">
        <f t="shared" si="6"/>
        <v>Medium</v>
      </c>
      <c r="K370" s="7">
        <f t="shared" si="7"/>
        <v>351402</v>
      </c>
      <c r="L370" s="7">
        <f t="shared" si="8"/>
        <v>225098.3814</v>
      </c>
    </row>
    <row r="371">
      <c r="A371" s="5" t="s">
        <v>1030</v>
      </c>
      <c r="B371" s="5" t="s">
        <v>1031</v>
      </c>
      <c r="C371" s="5" t="s">
        <v>1032</v>
      </c>
      <c r="D371" s="6">
        <v>428394.0</v>
      </c>
      <c r="E371" s="7">
        <f t="shared" si="1"/>
        <v>3</v>
      </c>
      <c r="F371" s="7">
        <f t="shared" si="2"/>
        <v>60126</v>
      </c>
      <c r="G371" s="7">
        <f t="shared" si="3"/>
        <v>22066</v>
      </c>
      <c r="H371" s="7" t="str">
        <f t="shared" si="4"/>
        <v>B</v>
      </c>
      <c r="I371" s="7" t="str">
        <f t="shared" si="5"/>
        <v>Transformative change</v>
      </c>
      <c r="J371" s="7" t="str">
        <f t="shared" si="6"/>
        <v>Medium</v>
      </c>
      <c r="K371" s="7">
        <f t="shared" si="7"/>
        <v>3224029</v>
      </c>
      <c r="L371" s="7">
        <f t="shared" si="8"/>
        <v>588197.3545</v>
      </c>
    </row>
    <row r="372">
      <c r="A372" s="5" t="s">
        <v>1033</v>
      </c>
      <c r="B372" s="5" t="s">
        <v>1034</v>
      </c>
      <c r="C372" s="5" t="s">
        <v>1035</v>
      </c>
      <c r="D372" s="6">
        <v>5570.0</v>
      </c>
      <c r="E372" s="7">
        <f t="shared" si="1"/>
        <v>2</v>
      </c>
      <c r="F372" s="7">
        <f t="shared" si="2"/>
        <v>14817</v>
      </c>
      <c r="G372" s="7">
        <f t="shared" si="3"/>
        <v>4357</v>
      </c>
      <c r="H372" s="7" t="str">
        <f t="shared" si="4"/>
        <v>A</v>
      </c>
      <c r="I372" s="7" t="str">
        <f t="shared" si="5"/>
        <v>Transformative change</v>
      </c>
      <c r="J372" s="7" t="str">
        <f t="shared" si="6"/>
        <v>Low</v>
      </c>
      <c r="K372" s="7">
        <f t="shared" si="7"/>
        <v>2114128</v>
      </c>
      <c r="L372" s="7">
        <f t="shared" si="8"/>
        <v>447981.8651</v>
      </c>
    </row>
    <row r="373">
      <c r="A373" s="5" t="s">
        <v>1036</v>
      </c>
      <c r="B373" s="5" t="s">
        <v>1037</v>
      </c>
      <c r="C373" s="5" t="s">
        <v>1038</v>
      </c>
      <c r="D373" s="6">
        <v>141755.0</v>
      </c>
      <c r="E373" s="7">
        <f t="shared" si="1"/>
        <v>3</v>
      </c>
      <c r="F373" s="7">
        <f t="shared" si="2"/>
        <v>24978</v>
      </c>
      <c r="G373" s="7">
        <f t="shared" si="3"/>
        <v>15666</v>
      </c>
      <c r="H373" s="7" t="str">
        <f t="shared" si="4"/>
        <v>C</v>
      </c>
      <c r="I373" s="7" t="str">
        <f t="shared" si="5"/>
        <v>Transformative change</v>
      </c>
      <c r="J373" s="7" t="str">
        <f t="shared" si="6"/>
        <v>Medium</v>
      </c>
      <c r="K373" s="7">
        <f t="shared" si="7"/>
        <v>2657262</v>
      </c>
      <c r="L373" s="7">
        <f t="shared" si="8"/>
        <v>2151678.744</v>
      </c>
    </row>
    <row r="374">
      <c r="A374" s="5" t="s">
        <v>1039</v>
      </c>
      <c r="B374" s="5" t="s">
        <v>1040</v>
      </c>
      <c r="C374" s="5" t="s">
        <v>1041</v>
      </c>
      <c r="D374" s="6">
        <v>13521.0</v>
      </c>
      <c r="E374" s="7">
        <f t="shared" si="1"/>
        <v>3</v>
      </c>
      <c r="F374" s="7">
        <f t="shared" si="2"/>
        <v>35137</v>
      </c>
      <c r="G374" s="7">
        <f t="shared" si="3"/>
        <v>3065</v>
      </c>
      <c r="H374" s="7" t="str">
        <f t="shared" si="4"/>
        <v>E</v>
      </c>
      <c r="I374" s="7" t="str">
        <f t="shared" si="5"/>
        <v>Transformative change</v>
      </c>
      <c r="J374" s="7" t="str">
        <f t="shared" si="6"/>
        <v>High</v>
      </c>
      <c r="K374" s="7">
        <f t="shared" si="7"/>
        <v>3004518</v>
      </c>
      <c r="L374" s="7">
        <f t="shared" si="8"/>
        <v>1120656.529</v>
      </c>
    </row>
    <row r="375">
      <c r="A375" s="5" t="s">
        <v>100</v>
      </c>
      <c r="B375" s="5" t="s">
        <v>1042</v>
      </c>
      <c r="C375" s="5" t="s">
        <v>1043</v>
      </c>
      <c r="D375" s="6">
        <v>464599.0</v>
      </c>
      <c r="E375" s="7">
        <f t="shared" si="1"/>
        <v>2</v>
      </c>
      <c r="F375" s="7">
        <f t="shared" si="2"/>
        <v>72720</v>
      </c>
      <c r="G375" s="7">
        <f t="shared" si="3"/>
        <v>55821</v>
      </c>
      <c r="H375" s="7" t="str">
        <f t="shared" si="4"/>
        <v>E</v>
      </c>
      <c r="I375" s="7" t="str">
        <f t="shared" si="5"/>
        <v>High ambition</v>
      </c>
      <c r="J375" s="7" t="str">
        <f t="shared" si="6"/>
        <v>Low</v>
      </c>
      <c r="K375" s="7">
        <f t="shared" si="7"/>
        <v>1529885</v>
      </c>
      <c r="L375" s="7">
        <f t="shared" si="8"/>
        <v>808817.5585</v>
      </c>
    </row>
    <row r="376">
      <c r="A376" s="5" t="s">
        <v>1044</v>
      </c>
      <c r="B376" s="5" t="s">
        <v>1045</v>
      </c>
      <c r="C376" s="5" t="s">
        <v>1046</v>
      </c>
      <c r="D376" s="6">
        <v>9542.0</v>
      </c>
      <c r="E376" s="7">
        <f t="shared" si="1"/>
        <v>5</v>
      </c>
      <c r="F376" s="7">
        <f t="shared" si="2"/>
        <v>56916</v>
      </c>
      <c r="G376" s="7">
        <f t="shared" si="3"/>
        <v>26284</v>
      </c>
      <c r="H376" s="7" t="str">
        <f t="shared" si="4"/>
        <v>D</v>
      </c>
      <c r="I376" s="7" t="str">
        <f t="shared" si="5"/>
        <v>High ambition</v>
      </c>
      <c r="J376" s="7" t="str">
        <f t="shared" si="6"/>
        <v>High</v>
      </c>
      <c r="K376" s="7">
        <f t="shared" si="7"/>
        <v>1860828</v>
      </c>
      <c r="L376" s="7">
        <f t="shared" si="8"/>
        <v>1121156.609</v>
      </c>
    </row>
    <row r="377">
      <c r="A377" s="5" t="s">
        <v>1047</v>
      </c>
      <c r="B377" s="5" t="s">
        <v>1048</v>
      </c>
      <c r="C377" s="5" t="s">
        <v>1049</v>
      </c>
      <c r="D377" s="6">
        <v>15563.0</v>
      </c>
      <c r="E377" s="7">
        <f t="shared" si="1"/>
        <v>4</v>
      </c>
      <c r="F377" s="7">
        <f t="shared" si="2"/>
        <v>83510</v>
      </c>
      <c r="G377" s="7">
        <f t="shared" si="3"/>
        <v>35773</v>
      </c>
      <c r="H377" s="7" t="str">
        <f t="shared" si="4"/>
        <v>D</v>
      </c>
      <c r="I377" s="7" t="str">
        <f t="shared" si="5"/>
        <v>Transformative change</v>
      </c>
      <c r="J377" s="7" t="str">
        <f t="shared" si="6"/>
        <v>Medium</v>
      </c>
      <c r="K377" s="7">
        <f t="shared" si="7"/>
        <v>1944370</v>
      </c>
      <c r="L377" s="7">
        <f t="shared" si="8"/>
        <v>618993.9695</v>
      </c>
    </row>
    <row r="378">
      <c r="A378" s="5" t="s">
        <v>1050</v>
      </c>
      <c r="B378" s="5" t="s">
        <v>1051</v>
      </c>
      <c r="C378" s="5" t="s">
        <v>1052</v>
      </c>
      <c r="D378" s="6">
        <v>16296.0</v>
      </c>
      <c r="E378" s="7">
        <f t="shared" si="1"/>
        <v>3</v>
      </c>
      <c r="F378" s="7">
        <f t="shared" si="2"/>
        <v>57519</v>
      </c>
      <c r="G378" s="7">
        <f t="shared" si="3"/>
        <v>8717</v>
      </c>
      <c r="H378" s="7" t="str">
        <f t="shared" si="4"/>
        <v>F</v>
      </c>
      <c r="I378" s="7" t="str">
        <f t="shared" si="5"/>
        <v>Transformative change</v>
      </c>
      <c r="J378" s="7" t="str">
        <f t="shared" si="6"/>
        <v>Medium</v>
      </c>
      <c r="K378" s="7">
        <f t="shared" si="7"/>
        <v>2371054</v>
      </c>
      <c r="L378" s="7">
        <f t="shared" si="8"/>
        <v>1551460.298</v>
      </c>
    </row>
    <row r="379">
      <c r="A379" s="5" t="s">
        <v>1053</v>
      </c>
      <c r="B379" s="5" t="s">
        <v>692</v>
      </c>
      <c r="C379" s="5" t="s">
        <v>1054</v>
      </c>
      <c r="D379" s="6">
        <v>12170.0</v>
      </c>
      <c r="E379" s="7">
        <f t="shared" si="1"/>
        <v>5</v>
      </c>
      <c r="F379" s="7">
        <f t="shared" si="2"/>
        <v>20003</v>
      </c>
      <c r="G379" s="7">
        <f t="shared" si="3"/>
        <v>243</v>
      </c>
      <c r="H379" s="7" t="str">
        <f t="shared" si="4"/>
        <v>G</v>
      </c>
      <c r="I379" s="7" t="str">
        <f t="shared" si="5"/>
        <v>Transformative change</v>
      </c>
      <c r="J379" s="7" t="str">
        <f t="shared" si="6"/>
        <v>Low</v>
      </c>
      <c r="K379" s="7">
        <f t="shared" si="7"/>
        <v>2849114</v>
      </c>
      <c r="L379" s="7">
        <f t="shared" si="8"/>
        <v>88804.96553</v>
      </c>
    </row>
    <row r="380">
      <c r="A380" s="5" t="s">
        <v>1055</v>
      </c>
      <c r="B380" s="5" t="s">
        <v>1056</v>
      </c>
      <c r="C380" s="5" t="s">
        <v>1057</v>
      </c>
      <c r="D380" s="6">
        <v>6997.0</v>
      </c>
      <c r="E380" s="7">
        <f t="shared" si="1"/>
        <v>1</v>
      </c>
      <c r="F380" s="7">
        <f t="shared" si="2"/>
        <v>89886</v>
      </c>
      <c r="G380" s="7">
        <f t="shared" si="3"/>
        <v>37549</v>
      </c>
      <c r="H380" s="7" t="str">
        <f t="shared" si="4"/>
        <v>G</v>
      </c>
      <c r="I380" s="7" t="str">
        <f t="shared" si="5"/>
        <v>Transformative change</v>
      </c>
      <c r="J380" s="7" t="str">
        <f t="shared" si="6"/>
        <v>Medium</v>
      </c>
      <c r="K380" s="7">
        <f t="shared" si="7"/>
        <v>271204</v>
      </c>
      <c r="L380" s="7">
        <f t="shared" si="8"/>
        <v>70157.18239</v>
      </c>
    </row>
    <row r="381">
      <c r="A381" s="5" t="s">
        <v>1058</v>
      </c>
      <c r="B381" s="5" t="s">
        <v>1059</v>
      </c>
      <c r="C381" s="5" t="s">
        <v>1060</v>
      </c>
      <c r="D381" s="6">
        <v>12751.0</v>
      </c>
      <c r="E381" s="7">
        <f t="shared" si="1"/>
        <v>1</v>
      </c>
      <c r="F381" s="7">
        <f t="shared" si="2"/>
        <v>44144</v>
      </c>
      <c r="G381" s="7">
        <f t="shared" si="3"/>
        <v>41678</v>
      </c>
      <c r="H381" s="7" t="str">
        <f t="shared" si="4"/>
        <v>B</v>
      </c>
      <c r="I381" s="7" t="str">
        <f t="shared" si="5"/>
        <v>Transformative change</v>
      </c>
      <c r="J381" s="7" t="str">
        <f t="shared" si="6"/>
        <v>High</v>
      </c>
      <c r="K381" s="7">
        <f t="shared" si="7"/>
        <v>2806023</v>
      </c>
      <c r="L381" s="7">
        <f t="shared" si="8"/>
        <v>2570948.823</v>
      </c>
    </row>
    <row r="382">
      <c r="A382" s="5" t="s">
        <v>1061</v>
      </c>
      <c r="B382" s="5" t="s">
        <v>780</v>
      </c>
      <c r="C382" s="5" t="s">
        <v>74</v>
      </c>
      <c r="D382" s="6">
        <v>56086.0</v>
      </c>
      <c r="E382" s="7">
        <f t="shared" si="1"/>
        <v>5</v>
      </c>
      <c r="F382" s="7">
        <f t="shared" si="2"/>
        <v>54221</v>
      </c>
      <c r="G382" s="7">
        <f t="shared" si="3"/>
        <v>29339</v>
      </c>
      <c r="H382" s="7" t="str">
        <f t="shared" si="4"/>
        <v>G</v>
      </c>
      <c r="I382" s="7" t="str">
        <f t="shared" si="5"/>
        <v>Transformative change</v>
      </c>
      <c r="J382" s="7" t="str">
        <f t="shared" si="6"/>
        <v>High</v>
      </c>
      <c r="K382" s="7">
        <f t="shared" si="7"/>
        <v>197183</v>
      </c>
      <c r="L382" s="7">
        <f t="shared" si="8"/>
        <v>18279.51817</v>
      </c>
    </row>
    <row r="383">
      <c r="A383" s="5" t="s">
        <v>1062</v>
      </c>
      <c r="B383" s="5" t="s">
        <v>1063</v>
      </c>
      <c r="C383" s="5" t="s">
        <v>1064</v>
      </c>
      <c r="D383" s="6">
        <v>937345.0</v>
      </c>
      <c r="E383" s="7">
        <f t="shared" si="1"/>
        <v>1</v>
      </c>
      <c r="F383" s="7">
        <f t="shared" si="2"/>
        <v>5004</v>
      </c>
      <c r="G383" s="7">
        <f t="shared" si="3"/>
        <v>82179</v>
      </c>
      <c r="H383" s="7" t="str">
        <f t="shared" si="4"/>
        <v>C</v>
      </c>
      <c r="I383" s="7" t="str">
        <f t="shared" si="5"/>
        <v>Transformative change</v>
      </c>
      <c r="J383" s="7" t="str">
        <f t="shared" si="6"/>
        <v>Low</v>
      </c>
      <c r="K383" s="7">
        <f t="shared" si="7"/>
        <v>1721675</v>
      </c>
      <c r="L383" s="7">
        <f t="shared" si="8"/>
        <v>1140043.329</v>
      </c>
    </row>
    <row r="384">
      <c r="A384" s="5" t="s">
        <v>1065</v>
      </c>
      <c r="B384" s="5" t="s">
        <v>1066</v>
      </c>
      <c r="C384" s="5" t="s">
        <v>1067</v>
      </c>
      <c r="D384" s="6">
        <v>17411.0</v>
      </c>
      <c r="E384" s="7">
        <f t="shared" si="1"/>
        <v>5</v>
      </c>
      <c r="F384" s="7">
        <f t="shared" si="2"/>
        <v>41230</v>
      </c>
      <c r="G384" s="7">
        <f t="shared" si="3"/>
        <v>3338</v>
      </c>
      <c r="H384" s="7" t="str">
        <f t="shared" si="4"/>
        <v>E</v>
      </c>
      <c r="I384" s="7" t="str">
        <f t="shared" si="5"/>
        <v>Transformative change</v>
      </c>
      <c r="J384" s="7" t="str">
        <f t="shared" si="6"/>
        <v>Medium</v>
      </c>
      <c r="K384" s="7">
        <f t="shared" si="7"/>
        <v>810251</v>
      </c>
      <c r="L384" s="7">
        <f t="shared" si="8"/>
        <v>421805.7269</v>
      </c>
    </row>
    <row r="385">
      <c r="A385" s="5" t="s">
        <v>1068</v>
      </c>
      <c r="B385" s="5" t="s">
        <v>1069</v>
      </c>
      <c r="C385" s="5" t="s">
        <v>74</v>
      </c>
      <c r="D385" s="6">
        <v>16834.0</v>
      </c>
      <c r="E385" s="7">
        <f t="shared" si="1"/>
        <v>4</v>
      </c>
      <c r="F385" s="7">
        <f t="shared" si="2"/>
        <v>12658</v>
      </c>
      <c r="G385" s="7">
        <f t="shared" si="3"/>
        <v>7779</v>
      </c>
      <c r="H385" s="7" t="str">
        <f t="shared" si="4"/>
        <v>C</v>
      </c>
      <c r="I385" s="7" t="str">
        <f t="shared" si="5"/>
        <v>Transformative change</v>
      </c>
      <c r="J385" s="7" t="str">
        <f t="shared" si="6"/>
        <v>Medium</v>
      </c>
      <c r="K385" s="7">
        <f t="shared" si="7"/>
        <v>3522092</v>
      </c>
      <c r="L385" s="7">
        <f t="shared" si="8"/>
        <v>1618839.442</v>
      </c>
    </row>
    <row r="386">
      <c r="A386" s="5" t="s">
        <v>1070</v>
      </c>
      <c r="B386" s="5" t="s">
        <v>1071</v>
      </c>
      <c r="C386" s="5" t="s">
        <v>74</v>
      </c>
      <c r="D386" s="6">
        <v>159598.0</v>
      </c>
      <c r="E386" s="7">
        <f t="shared" si="1"/>
        <v>1</v>
      </c>
      <c r="F386" s="7">
        <f t="shared" si="2"/>
        <v>21882</v>
      </c>
      <c r="G386" s="7">
        <f t="shared" si="3"/>
        <v>13359</v>
      </c>
      <c r="H386" s="7" t="str">
        <f t="shared" si="4"/>
        <v>F</v>
      </c>
      <c r="I386" s="7" t="str">
        <f t="shared" si="5"/>
        <v>Transformative change</v>
      </c>
      <c r="J386" s="7" t="str">
        <f t="shared" si="6"/>
        <v>High</v>
      </c>
      <c r="K386" s="7">
        <f t="shared" si="7"/>
        <v>1656088</v>
      </c>
      <c r="L386" s="7">
        <f t="shared" si="8"/>
        <v>999098.2007</v>
      </c>
    </row>
    <row r="387">
      <c r="A387" s="5" t="s">
        <v>1072</v>
      </c>
      <c r="B387" s="5" t="s">
        <v>1073</v>
      </c>
      <c r="C387" s="5" t="s">
        <v>1074</v>
      </c>
      <c r="D387" s="6">
        <v>9603.0</v>
      </c>
      <c r="E387" s="7">
        <f t="shared" si="1"/>
        <v>2</v>
      </c>
      <c r="F387" s="7">
        <f t="shared" si="2"/>
        <v>89098</v>
      </c>
      <c r="G387" s="7">
        <f t="shared" si="3"/>
        <v>76239</v>
      </c>
      <c r="H387" s="7" t="str">
        <f t="shared" si="4"/>
        <v>G</v>
      </c>
      <c r="I387" s="7" t="str">
        <f t="shared" si="5"/>
        <v>Transformative change</v>
      </c>
      <c r="J387" s="7" t="str">
        <f t="shared" si="6"/>
        <v>Medium</v>
      </c>
      <c r="K387" s="7">
        <f t="shared" si="7"/>
        <v>1951090</v>
      </c>
      <c r="L387" s="7">
        <f t="shared" si="8"/>
        <v>1137696.416</v>
      </c>
    </row>
    <row r="388">
      <c r="A388" s="5" t="s">
        <v>1075</v>
      </c>
      <c r="B388" s="5" t="s">
        <v>1076</v>
      </c>
      <c r="C388" s="5" t="s">
        <v>74</v>
      </c>
      <c r="D388" s="6">
        <v>7334.0</v>
      </c>
      <c r="E388" s="7">
        <f t="shared" si="1"/>
        <v>5</v>
      </c>
      <c r="F388" s="7">
        <f t="shared" si="2"/>
        <v>10722</v>
      </c>
      <c r="G388" s="7">
        <f t="shared" si="3"/>
        <v>42780</v>
      </c>
      <c r="H388" s="7" t="str">
        <f t="shared" si="4"/>
        <v>A</v>
      </c>
      <c r="I388" s="7" t="str">
        <f t="shared" si="5"/>
        <v>Transformative change</v>
      </c>
      <c r="J388" s="7" t="str">
        <f t="shared" si="6"/>
        <v>Low</v>
      </c>
      <c r="K388" s="7">
        <f t="shared" si="7"/>
        <v>2057451</v>
      </c>
      <c r="L388" s="7">
        <f t="shared" si="8"/>
        <v>1805842.035</v>
      </c>
    </row>
    <row r="389">
      <c r="A389" s="5" t="s">
        <v>1077</v>
      </c>
      <c r="B389" s="5" t="s">
        <v>1078</v>
      </c>
      <c r="C389" s="5" t="s">
        <v>1079</v>
      </c>
      <c r="D389" s="6">
        <v>11022.0</v>
      </c>
      <c r="E389" s="7">
        <f t="shared" si="1"/>
        <v>1</v>
      </c>
      <c r="F389" s="7">
        <f t="shared" si="2"/>
        <v>23179</v>
      </c>
      <c r="G389" s="7">
        <f t="shared" si="3"/>
        <v>49732</v>
      </c>
      <c r="H389" s="7" t="str">
        <f t="shared" si="4"/>
        <v>C</v>
      </c>
      <c r="I389" s="7" t="str">
        <f t="shared" si="5"/>
        <v>Transformative change</v>
      </c>
      <c r="J389" s="7" t="str">
        <f t="shared" si="6"/>
        <v>Medium</v>
      </c>
      <c r="K389" s="7">
        <f t="shared" si="7"/>
        <v>2952238</v>
      </c>
      <c r="L389" s="7">
        <f t="shared" si="8"/>
        <v>2930159.542</v>
      </c>
    </row>
    <row r="390">
      <c r="A390" s="5" t="s">
        <v>1080</v>
      </c>
      <c r="B390" s="5" t="s">
        <v>931</v>
      </c>
      <c r="C390" s="5" t="s">
        <v>1081</v>
      </c>
      <c r="D390" s="6">
        <v>17705.0</v>
      </c>
      <c r="E390" s="7">
        <f t="shared" si="1"/>
        <v>2</v>
      </c>
      <c r="F390" s="7">
        <f t="shared" si="2"/>
        <v>65719</v>
      </c>
      <c r="G390" s="7">
        <f t="shared" si="3"/>
        <v>60953</v>
      </c>
      <c r="H390" s="7" t="str">
        <f t="shared" si="4"/>
        <v>B</v>
      </c>
      <c r="I390" s="7" t="str">
        <f t="shared" si="5"/>
        <v>Transformative change</v>
      </c>
      <c r="J390" s="7" t="str">
        <f t="shared" si="6"/>
        <v>Medium</v>
      </c>
      <c r="K390" s="7">
        <f t="shared" si="7"/>
        <v>1940419</v>
      </c>
      <c r="L390" s="7">
        <f t="shared" si="8"/>
        <v>786711.3067</v>
      </c>
    </row>
    <row r="391">
      <c r="A391" s="5" t="s">
        <v>1082</v>
      </c>
      <c r="B391" s="5" t="s">
        <v>1083</v>
      </c>
      <c r="C391" s="5" t="s">
        <v>1084</v>
      </c>
      <c r="D391" s="6">
        <v>63457.0</v>
      </c>
      <c r="E391" s="7">
        <f t="shared" si="1"/>
        <v>1</v>
      </c>
      <c r="F391" s="7">
        <f t="shared" si="2"/>
        <v>66624</v>
      </c>
      <c r="G391" s="7">
        <f t="shared" si="3"/>
        <v>5329</v>
      </c>
      <c r="H391" s="7" t="str">
        <f t="shared" si="4"/>
        <v>E</v>
      </c>
      <c r="I391" s="7" t="str">
        <f t="shared" si="5"/>
        <v>Transformative change</v>
      </c>
      <c r="J391" s="7" t="str">
        <f t="shared" si="6"/>
        <v>Low</v>
      </c>
      <c r="K391" s="7">
        <f t="shared" si="7"/>
        <v>2454400</v>
      </c>
      <c r="L391" s="7">
        <f t="shared" si="8"/>
        <v>1114646.858</v>
      </c>
    </row>
    <row r="392">
      <c r="A392" s="5" t="s">
        <v>1085</v>
      </c>
      <c r="B392" s="5" t="s">
        <v>1086</v>
      </c>
      <c r="C392" s="5" t="s">
        <v>91</v>
      </c>
      <c r="D392" s="6">
        <v>10291.0</v>
      </c>
      <c r="E392" s="7">
        <f t="shared" si="1"/>
        <v>3</v>
      </c>
      <c r="F392" s="7">
        <f t="shared" si="2"/>
        <v>75648</v>
      </c>
      <c r="G392" s="7">
        <f t="shared" si="3"/>
        <v>52138</v>
      </c>
      <c r="H392" s="7" t="str">
        <f t="shared" si="4"/>
        <v>D</v>
      </c>
      <c r="I392" s="7" t="str">
        <f t="shared" si="5"/>
        <v>High ambition</v>
      </c>
      <c r="J392" s="7" t="str">
        <f t="shared" si="6"/>
        <v>Low</v>
      </c>
      <c r="K392" s="7">
        <f t="shared" si="7"/>
        <v>2614237</v>
      </c>
      <c r="L392" s="7">
        <f t="shared" si="8"/>
        <v>1545025.393</v>
      </c>
    </row>
    <row r="393">
      <c r="A393" s="5" t="s">
        <v>1087</v>
      </c>
      <c r="B393" s="5" t="s">
        <v>1088</v>
      </c>
      <c r="C393" s="5" t="s">
        <v>1089</v>
      </c>
      <c r="D393" s="6">
        <v>8806.0</v>
      </c>
      <c r="E393" s="7">
        <f t="shared" si="1"/>
        <v>5</v>
      </c>
      <c r="F393" s="7">
        <f t="shared" si="2"/>
        <v>70043</v>
      </c>
      <c r="G393" s="7">
        <f t="shared" si="3"/>
        <v>25017</v>
      </c>
      <c r="H393" s="7" t="str">
        <f t="shared" si="4"/>
        <v>B</v>
      </c>
      <c r="I393" s="7" t="str">
        <f t="shared" si="5"/>
        <v>Transformative change</v>
      </c>
      <c r="J393" s="7" t="str">
        <f t="shared" si="6"/>
        <v>High</v>
      </c>
      <c r="K393" s="7">
        <f t="shared" si="7"/>
        <v>740874</v>
      </c>
      <c r="L393" s="7">
        <f t="shared" si="8"/>
        <v>504654.1236</v>
      </c>
    </row>
    <row r="394">
      <c r="A394" s="5" t="s">
        <v>1090</v>
      </c>
      <c r="B394" s="5" t="s">
        <v>1091</v>
      </c>
      <c r="C394" s="5" t="s">
        <v>1092</v>
      </c>
      <c r="D394" s="6">
        <v>75602.0</v>
      </c>
      <c r="E394" s="7">
        <f t="shared" si="1"/>
        <v>1</v>
      </c>
      <c r="F394" s="7">
        <f t="shared" si="2"/>
        <v>70021</v>
      </c>
      <c r="G394" s="7">
        <f t="shared" si="3"/>
        <v>40650</v>
      </c>
      <c r="H394" s="7" t="str">
        <f t="shared" si="4"/>
        <v>D</v>
      </c>
      <c r="I394" s="7" t="str">
        <f t="shared" si="5"/>
        <v>High ambition</v>
      </c>
      <c r="J394" s="7" t="str">
        <f t="shared" si="6"/>
        <v>Low</v>
      </c>
      <c r="K394" s="7">
        <f t="shared" si="7"/>
        <v>1564754</v>
      </c>
      <c r="L394" s="7">
        <f t="shared" si="8"/>
        <v>422035.3035</v>
      </c>
    </row>
    <row r="395">
      <c r="A395" s="5" t="s">
        <v>1093</v>
      </c>
      <c r="B395" s="5" t="s">
        <v>1094</v>
      </c>
      <c r="C395" s="5" t="s">
        <v>1095</v>
      </c>
      <c r="D395" s="6">
        <v>5906.0</v>
      </c>
      <c r="E395" s="7">
        <f t="shared" si="1"/>
        <v>2</v>
      </c>
      <c r="F395" s="7">
        <f t="shared" si="2"/>
        <v>48009</v>
      </c>
      <c r="G395" s="7">
        <f t="shared" si="3"/>
        <v>2850</v>
      </c>
      <c r="H395" s="7" t="str">
        <f t="shared" si="4"/>
        <v>G</v>
      </c>
      <c r="I395" s="7" t="str">
        <f t="shared" si="5"/>
        <v>High ambition</v>
      </c>
      <c r="J395" s="7" t="str">
        <f t="shared" si="6"/>
        <v>High</v>
      </c>
      <c r="K395" s="7">
        <f t="shared" si="7"/>
        <v>3902131</v>
      </c>
      <c r="L395" s="7">
        <f t="shared" si="8"/>
        <v>3877714.802</v>
      </c>
    </row>
    <row r="396">
      <c r="A396" s="5" t="s">
        <v>1096</v>
      </c>
      <c r="B396" s="5" t="s">
        <v>1097</v>
      </c>
      <c r="C396" s="5" t="s">
        <v>74</v>
      </c>
      <c r="D396" s="6">
        <v>16650.0</v>
      </c>
      <c r="E396" s="7">
        <f t="shared" si="1"/>
        <v>5</v>
      </c>
      <c r="F396" s="7">
        <f t="shared" si="2"/>
        <v>22546</v>
      </c>
      <c r="G396" s="7">
        <f t="shared" si="3"/>
        <v>15074</v>
      </c>
      <c r="H396" s="7" t="str">
        <f t="shared" si="4"/>
        <v>A</v>
      </c>
      <c r="I396" s="7" t="str">
        <f t="shared" si="5"/>
        <v>Transformative change</v>
      </c>
      <c r="J396" s="7" t="str">
        <f t="shared" si="6"/>
        <v>High</v>
      </c>
      <c r="K396" s="7">
        <f t="shared" si="7"/>
        <v>3041451</v>
      </c>
      <c r="L396" s="7">
        <f t="shared" si="8"/>
        <v>1718230.597</v>
      </c>
    </row>
    <row r="397">
      <c r="A397" s="5" t="s">
        <v>1098</v>
      </c>
      <c r="B397" s="5" t="s">
        <v>1099</v>
      </c>
      <c r="C397" s="5" t="s">
        <v>1100</v>
      </c>
      <c r="D397" s="6">
        <v>20381.0</v>
      </c>
      <c r="E397" s="7">
        <f t="shared" si="1"/>
        <v>4</v>
      </c>
      <c r="F397" s="7">
        <f t="shared" si="2"/>
        <v>66168</v>
      </c>
      <c r="G397" s="7">
        <f t="shared" si="3"/>
        <v>21009</v>
      </c>
      <c r="H397" s="7" t="str">
        <f t="shared" si="4"/>
        <v>F</v>
      </c>
      <c r="I397" s="7" t="str">
        <f t="shared" si="5"/>
        <v>Transformative change</v>
      </c>
      <c r="J397" s="7" t="str">
        <f t="shared" si="6"/>
        <v>Low</v>
      </c>
      <c r="K397" s="7">
        <f t="shared" si="7"/>
        <v>2472129</v>
      </c>
      <c r="L397" s="7">
        <f t="shared" si="8"/>
        <v>2468738.872</v>
      </c>
    </row>
    <row r="398">
      <c r="A398" s="5" t="s">
        <v>1101</v>
      </c>
      <c r="B398" s="5" t="s">
        <v>421</v>
      </c>
      <c r="C398" s="5" t="s">
        <v>1102</v>
      </c>
      <c r="D398" s="6">
        <v>16866.0</v>
      </c>
      <c r="E398" s="7">
        <f t="shared" si="1"/>
        <v>1</v>
      </c>
      <c r="F398" s="7">
        <f t="shared" si="2"/>
        <v>79140</v>
      </c>
      <c r="G398" s="7">
        <f t="shared" si="3"/>
        <v>72839</v>
      </c>
      <c r="H398" s="7" t="str">
        <f t="shared" si="4"/>
        <v>D</v>
      </c>
      <c r="I398" s="7" t="str">
        <f t="shared" si="5"/>
        <v>High ambition</v>
      </c>
      <c r="J398" s="7" t="str">
        <f t="shared" si="6"/>
        <v>Medium</v>
      </c>
      <c r="K398" s="7">
        <f t="shared" si="7"/>
        <v>2858065</v>
      </c>
      <c r="L398" s="7">
        <f t="shared" si="8"/>
        <v>42867.1694</v>
      </c>
    </row>
    <row r="399">
      <c r="A399" s="5" t="s">
        <v>1103</v>
      </c>
      <c r="B399" s="5" t="s">
        <v>1104</v>
      </c>
      <c r="C399" s="5" t="s">
        <v>74</v>
      </c>
      <c r="D399" s="6">
        <v>11250.0</v>
      </c>
      <c r="E399" s="7">
        <f t="shared" si="1"/>
        <v>3</v>
      </c>
      <c r="F399" s="7">
        <f t="shared" si="2"/>
        <v>87384</v>
      </c>
      <c r="G399" s="7">
        <f t="shared" si="3"/>
        <v>71138</v>
      </c>
      <c r="H399" s="7" t="str">
        <f t="shared" si="4"/>
        <v>G</v>
      </c>
      <c r="I399" s="7" t="str">
        <f t="shared" si="5"/>
        <v>Transformative change</v>
      </c>
      <c r="J399" s="7" t="str">
        <f t="shared" si="6"/>
        <v>Low</v>
      </c>
      <c r="K399" s="7">
        <f t="shared" si="7"/>
        <v>508249</v>
      </c>
      <c r="L399" s="7">
        <f t="shared" si="8"/>
        <v>400630.9026</v>
      </c>
    </row>
    <row r="400">
      <c r="A400" s="5" t="s">
        <v>1105</v>
      </c>
      <c r="B400" s="5" t="s">
        <v>1106</v>
      </c>
      <c r="C400" s="5" t="s">
        <v>1107</v>
      </c>
      <c r="D400" s="6">
        <v>6928.0</v>
      </c>
      <c r="E400" s="7">
        <f t="shared" si="1"/>
        <v>4</v>
      </c>
      <c r="F400" s="7">
        <f t="shared" si="2"/>
        <v>83458</v>
      </c>
      <c r="G400" s="7">
        <f t="shared" si="3"/>
        <v>6514</v>
      </c>
      <c r="H400" s="7" t="str">
        <f t="shared" si="4"/>
        <v>D</v>
      </c>
      <c r="I400" s="7" t="str">
        <f t="shared" si="5"/>
        <v>Transformative change</v>
      </c>
      <c r="J400" s="7" t="str">
        <f t="shared" si="6"/>
        <v>Low</v>
      </c>
      <c r="K400" s="7">
        <f t="shared" si="7"/>
        <v>866806</v>
      </c>
      <c r="L400" s="7">
        <f t="shared" si="8"/>
        <v>407013.3415</v>
      </c>
    </row>
    <row r="401">
      <c r="A401" s="5" t="s">
        <v>1108</v>
      </c>
      <c r="B401" s="5" t="s">
        <v>1109</v>
      </c>
      <c r="C401" s="5" t="s">
        <v>1110</v>
      </c>
      <c r="D401" s="6">
        <v>81393.0</v>
      </c>
      <c r="E401" s="7">
        <f t="shared" si="1"/>
        <v>3</v>
      </c>
      <c r="F401" s="7">
        <f t="shared" si="2"/>
        <v>21927</v>
      </c>
      <c r="G401" s="7">
        <f t="shared" si="3"/>
        <v>65004</v>
      </c>
      <c r="H401" s="7" t="str">
        <f t="shared" si="4"/>
        <v>D</v>
      </c>
      <c r="I401" s="7" t="str">
        <f t="shared" si="5"/>
        <v>Transformative change</v>
      </c>
      <c r="J401" s="7" t="str">
        <f t="shared" si="6"/>
        <v>Medium</v>
      </c>
      <c r="K401" s="7">
        <f t="shared" si="7"/>
        <v>2054801</v>
      </c>
      <c r="L401" s="7">
        <f t="shared" si="8"/>
        <v>327588.618</v>
      </c>
    </row>
    <row r="402">
      <c r="A402" s="5" t="s">
        <v>1111</v>
      </c>
      <c r="B402" s="5" t="s">
        <v>1112</v>
      </c>
      <c r="C402" s="5" t="s">
        <v>1113</v>
      </c>
      <c r="D402" s="6">
        <v>29138.0</v>
      </c>
      <c r="E402" s="7">
        <f t="shared" si="1"/>
        <v>2</v>
      </c>
      <c r="F402" s="7">
        <f t="shared" si="2"/>
        <v>16989</v>
      </c>
      <c r="G402" s="7">
        <f t="shared" si="3"/>
        <v>64347</v>
      </c>
      <c r="H402" s="7" t="str">
        <f t="shared" si="4"/>
        <v>C</v>
      </c>
      <c r="I402" s="7" t="str">
        <f t="shared" si="5"/>
        <v>Transformative change</v>
      </c>
      <c r="J402" s="7" t="str">
        <f t="shared" si="6"/>
        <v>High</v>
      </c>
      <c r="K402" s="7">
        <f t="shared" si="7"/>
        <v>3486173</v>
      </c>
      <c r="L402" s="7">
        <f t="shared" si="8"/>
        <v>890816.9974</v>
      </c>
    </row>
    <row r="403">
      <c r="A403" s="5" t="s">
        <v>1114</v>
      </c>
      <c r="B403" s="5" t="s">
        <v>1115</v>
      </c>
      <c r="C403" s="5" t="s">
        <v>1116</v>
      </c>
      <c r="D403" s="6">
        <v>14588.0</v>
      </c>
      <c r="E403" s="7">
        <f t="shared" si="1"/>
        <v>5</v>
      </c>
      <c r="F403" s="7">
        <f t="shared" si="2"/>
        <v>30702</v>
      </c>
      <c r="G403" s="7">
        <f t="shared" si="3"/>
        <v>6945</v>
      </c>
      <c r="H403" s="7" t="str">
        <f t="shared" si="4"/>
        <v>B</v>
      </c>
      <c r="I403" s="7" t="str">
        <f t="shared" si="5"/>
        <v>Transformative change</v>
      </c>
      <c r="J403" s="7" t="str">
        <f t="shared" si="6"/>
        <v>Low</v>
      </c>
      <c r="K403" s="7">
        <f t="shared" si="7"/>
        <v>530130</v>
      </c>
      <c r="L403" s="7">
        <f t="shared" si="8"/>
        <v>186330.4725</v>
      </c>
    </row>
    <row r="404">
      <c r="A404" s="5" t="s">
        <v>1117</v>
      </c>
      <c r="B404" s="5" t="s">
        <v>1118</v>
      </c>
      <c r="C404" s="5" t="s">
        <v>238</v>
      </c>
      <c r="D404" s="6">
        <v>12118.0</v>
      </c>
      <c r="E404" s="7">
        <f t="shared" si="1"/>
        <v>3</v>
      </c>
      <c r="F404" s="7">
        <f t="shared" si="2"/>
        <v>30667</v>
      </c>
      <c r="G404" s="7">
        <f t="shared" si="3"/>
        <v>42605</v>
      </c>
      <c r="H404" s="7" t="str">
        <f t="shared" si="4"/>
        <v>G</v>
      </c>
      <c r="I404" s="7" t="str">
        <f t="shared" si="5"/>
        <v>Transformative change</v>
      </c>
      <c r="J404" s="7" t="str">
        <f t="shared" si="6"/>
        <v>Medium</v>
      </c>
      <c r="K404" s="7">
        <f t="shared" si="7"/>
        <v>2422350</v>
      </c>
      <c r="L404" s="7">
        <f t="shared" si="8"/>
        <v>272651.7406</v>
      </c>
    </row>
    <row r="405">
      <c r="A405" s="5" t="s">
        <v>1119</v>
      </c>
      <c r="B405" s="5" t="s">
        <v>1120</v>
      </c>
      <c r="C405" s="5" t="s">
        <v>1121</v>
      </c>
      <c r="D405" s="6">
        <v>237340.0</v>
      </c>
      <c r="E405" s="7">
        <f t="shared" si="1"/>
        <v>1</v>
      </c>
      <c r="F405" s="7">
        <f t="shared" si="2"/>
        <v>52512</v>
      </c>
      <c r="G405" s="7">
        <f t="shared" si="3"/>
        <v>13002</v>
      </c>
      <c r="H405" s="7" t="str">
        <f t="shared" si="4"/>
        <v>B</v>
      </c>
      <c r="I405" s="7" t="str">
        <f t="shared" si="5"/>
        <v>Transformative change</v>
      </c>
      <c r="J405" s="7" t="str">
        <f t="shared" si="6"/>
        <v>Low</v>
      </c>
      <c r="K405" s="7">
        <f t="shared" si="7"/>
        <v>737325</v>
      </c>
      <c r="L405" s="7">
        <f t="shared" si="8"/>
        <v>592835.8657</v>
      </c>
    </row>
    <row r="406">
      <c r="A406" s="5" t="s">
        <v>1122</v>
      </c>
      <c r="B406" s="5" t="s">
        <v>1123</v>
      </c>
      <c r="C406" s="5" t="s">
        <v>1124</v>
      </c>
      <c r="D406" s="6">
        <v>10126.0</v>
      </c>
      <c r="E406" s="7">
        <f t="shared" si="1"/>
        <v>5</v>
      </c>
      <c r="F406" s="7">
        <f t="shared" si="2"/>
        <v>19035</v>
      </c>
      <c r="G406" s="7">
        <f t="shared" si="3"/>
        <v>17124</v>
      </c>
      <c r="H406" s="7" t="str">
        <f t="shared" si="4"/>
        <v>E</v>
      </c>
      <c r="I406" s="7" t="str">
        <f t="shared" si="5"/>
        <v>Transformative change</v>
      </c>
      <c r="J406" s="7" t="str">
        <f t="shared" si="6"/>
        <v>Low</v>
      </c>
      <c r="K406" s="7">
        <f t="shared" si="7"/>
        <v>2844214</v>
      </c>
      <c r="L406" s="7">
        <f t="shared" si="8"/>
        <v>1131943.892</v>
      </c>
    </row>
    <row r="407">
      <c r="A407" s="5" t="s">
        <v>1125</v>
      </c>
      <c r="B407" s="5" t="s">
        <v>1126</v>
      </c>
      <c r="C407" s="5" t="s">
        <v>1127</v>
      </c>
      <c r="D407" s="6">
        <v>16726.0</v>
      </c>
      <c r="E407" s="7">
        <f t="shared" si="1"/>
        <v>2</v>
      </c>
      <c r="F407" s="7">
        <f t="shared" si="2"/>
        <v>74362</v>
      </c>
      <c r="G407" s="7">
        <f t="shared" si="3"/>
        <v>44709</v>
      </c>
      <c r="H407" s="7" t="str">
        <f t="shared" si="4"/>
        <v>G</v>
      </c>
      <c r="I407" s="7" t="str">
        <f t="shared" si="5"/>
        <v>Transformative change</v>
      </c>
      <c r="J407" s="7" t="str">
        <f t="shared" si="6"/>
        <v>Medium</v>
      </c>
      <c r="K407" s="7">
        <f t="shared" si="7"/>
        <v>238510</v>
      </c>
      <c r="L407" s="7">
        <f t="shared" si="8"/>
        <v>103567.6465</v>
      </c>
    </row>
    <row r="408">
      <c r="A408" s="5" t="s">
        <v>1128</v>
      </c>
      <c r="B408" s="5" t="s">
        <v>1129</v>
      </c>
      <c r="C408" s="5" t="s">
        <v>1130</v>
      </c>
      <c r="D408" s="6">
        <v>8266.0</v>
      </c>
      <c r="E408" s="7">
        <f t="shared" si="1"/>
        <v>2</v>
      </c>
      <c r="F408" s="7">
        <f t="shared" si="2"/>
        <v>59946</v>
      </c>
      <c r="G408" s="7">
        <f t="shared" si="3"/>
        <v>14462</v>
      </c>
      <c r="H408" s="7" t="str">
        <f t="shared" si="4"/>
        <v>A</v>
      </c>
      <c r="I408" s="7" t="str">
        <f t="shared" si="5"/>
        <v>Transformative change</v>
      </c>
      <c r="J408" s="7" t="str">
        <f t="shared" si="6"/>
        <v>High</v>
      </c>
      <c r="K408" s="7">
        <f t="shared" si="7"/>
        <v>3991921</v>
      </c>
      <c r="L408" s="7">
        <f t="shared" si="8"/>
        <v>244966.4411</v>
      </c>
    </row>
    <row r="409">
      <c r="A409" s="5" t="s">
        <v>1131</v>
      </c>
      <c r="B409" s="5" t="s">
        <v>1132</v>
      </c>
      <c r="C409" s="5" t="s">
        <v>1133</v>
      </c>
      <c r="D409" s="6">
        <v>12733.0</v>
      </c>
      <c r="E409" s="7">
        <f t="shared" si="1"/>
        <v>4</v>
      </c>
      <c r="F409" s="7">
        <f t="shared" si="2"/>
        <v>17803</v>
      </c>
      <c r="G409" s="7">
        <f t="shared" si="3"/>
        <v>37822</v>
      </c>
      <c r="H409" s="7" t="str">
        <f t="shared" si="4"/>
        <v>D</v>
      </c>
      <c r="I409" s="7" t="str">
        <f t="shared" si="5"/>
        <v>Transformative change</v>
      </c>
      <c r="J409" s="7" t="str">
        <f t="shared" si="6"/>
        <v>High</v>
      </c>
      <c r="K409" s="7">
        <f t="shared" si="7"/>
        <v>3352735</v>
      </c>
      <c r="L409" s="7">
        <f t="shared" si="8"/>
        <v>3129765.267</v>
      </c>
    </row>
    <row r="410">
      <c r="A410" s="5" t="s">
        <v>1134</v>
      </c>
      <c r="B410" s="5" t="s">
        <v>1135</v>
      </c>
      <c r="C410" s="5" t="s">
        <v>1136</v>
      </c>
      <c r="D410" s="6">
        <v>71022.0</v>
      </c>
      <c r="E410" s="7">
        <f t="shared" si="1"/>
        <v>4</v>
      </c>
      <c r="F410" s="7">
        <f t="shared" si="2"/>
        <v>4793</v>
      </c>
      <c r="G410" s="7">
        <f t="shared" si="3"/>
        <v>46475</v>
      </c>
      <c r="H410" s="7" t="str">
        <f t="shared" si="4"/>
        <v>E</v>
      </c>
      <c r="I410" s="7" t="str">
        <f t="shared" si="5"/>
        <v>Transformative change</v>
      </c>
      <c r="J410" s="7" t="str">
        <f t="shared" si="6"/>
        <v>Medium</v>
      </c>
      <c r="K410" s="7">
        <f t="shared" si="7"/>
        <v>1519095</v>
      </c>
      <c r="L410" s="7">
        <f t="shared" si="8"/>
        <v>1349781.772</v>
      </c>
    </row>
    <row r="411">
      <c r="A411" s="5" t="s">
        <v>1137</v>
      </c>
      <c r="B411" s="5" t="s">
        <v>1138</v>
      </c>
      <c r="C411" s="5" t="s">
        <v>74</v>
      </c>
      <c r="D411" s="6">
        <v>12576.0</v>
      </c>
      <c r="E411" s="7">
        <f t="shared" si="1"/>
        <v>2</v>
      </c>
      <c r="F411" s="7">
        <f t="shared" si="2"/>
        <v>74320</v>
      </c>
      <c r="G411" s="7">
        <f t="shared" si="3"/>
        <v>68903</v>
      </c>
      <c r="H411" s="7" t="str">
        <f t="shared" si="4"/>
        <v>G</v>
      </c>
      <c r="I411" s="7" t="str">
        <f t="shared" si="5"/>
        <v>Transformative change</v>
      </c>
      <c r="J411" s="7" t="str">
        <f t="shared" si="6"/>
        <v>Low</v>
      </c>
      <c r="K411" s="7">
        <f t="shared" si="7"/>
        <v>2437456</v>
      </c>
      <c r="L411" s="7">
        <f t="shared" si="8"/>
        <v>1423233.466</v>
      </c>
    </row>
    <row r="412">
      <c r="A412" s="5" t="s">
        <v>1139</v>
      </c>
      <c r="B412" s="5" t="s">
        <v>1140</v>
      </c>
      <c r="C412" s="5" t="s">
        <v>1141</v>
      </c>
      <c r="D412" s="6">
        <v>9477.0</v>
      </c>
      <c r="E412" s="7">
        <f t="shared" si="1"/>
        <v>2</v>
      </c>
      <c r="F412" s="7">
        <f t="shared" si="2"/>
        <v>32299</v>
      </c>
      <c r="G412" s="7">
        <f t="shared" si="3"/>
        <v>38957</v>
      </c>
      <c r="H412" s="7" t="str">
        <f t="shared" si="4"/>
        <v>F</v>
      </c>
      <c r="I412" s="7" t="str">
        <f t="shared" si="5"/>
        <v>Transformative change</v>
      </c>
      <c r="J412" s="7" t="str">
        <f t="shared" si="6"/>
        <v>High</v>
      </c>
      <c r="K412" s="7">
        <f t="shared" si="7"/>
        <v>1668610</v>
      </c>
      <c r="L412" s="7">
        <f t="shared" si="8"/>
        <v>859666.8443</v>
      </c>
    </row>
    <row r="413">
      <c r="A413" s="5" t="s">
        <v>1142</v>
      </c>
      <c r="B413" s="5" t="s">
        <v>1143</v>
      </c>
      <c r="C413" s="5" t="s">
        <v>74</v>
      </c>
      <c r="D413" s="6">
        <v>16716.0</v>
      </c>
      <c r="E413" s="7">
        <f t="shared" si="1"/>
        <v>3</v>
      </c>
      <c r="F413" s="7">
        <f t="shared" si="2"/>
        <v>68744</v>
      </c>
      <c r="G413" s="7">
        <f t="shared" si="3"/>
        <v>66925</v>
      </c>
      <c r="H413" s="7" t="str">
        <f t="shared" si="4"/>
        <v>C</v>
      </c>
      <c r="I413" s="7" t="str">
        <f t="shared" si="5"/>
        <v>Transformative change</v>
      </c>
      <c r="J413" s="7" t="str">
        <f t="shared" si="6"/>
        <v>Medium</v>
      </c>
      <c r="K413" s="7">
        <f t="shared" si="7"/>
        <v>3673616</v>
      </c>
      <c r="L413" s="7">
        <f t="shared" si="8"/>
        <v>345201.4592</v>
      </c>
    </row>
    <row r="414">
      <c r="A414" s="5" t="s">
        <v>259</v>
      </c>
      <c r="B414" s="5" t="s">
        <v>1144</v>
      </c>
      <c r="C414" s="5" t="s">
        <v>1145</v>
      </c>
      <c r="D414" s="6">
        <v>14804.0</v>
      </c>
      <c r="E414" s="7">
        <f t="shared" si="1"/>
        <v>3</v>
      </c>
      <c r="F414" s="7">
        <f t="shared" si="2"/>
        <v>58820</v>
      </c>
      <c r="G414" s="7">
        <f t="shared" si="3"/>
        <v>10586</v>
      </c>
      <c r="H414" s="7" t="str">
        <f t="shared" si="4"/>
        <v>D</v>
      </c>
      <c r="I414" s="7" t="str">
        <f t="shared" si="5"/>
        <v>Transformative change</v>
      </c>
      <c r="J414" s="7" t="str">
        <f t="shared" si="6"/>
        <v>High</v>
      </c>
      <c r="K414" s="7">
        <f t="shared" si="7"/>
        <v>1741960</v>
      </c>
      <c r="L414" s="7">
        <f t="shared" si="8"/>
        <v>1236758.1</v>
      </c>
    </row>
    <row r="415">
      <c r="A415" s="5" t="s">
        <v>1146</v>
      </c>
      <c r="B415" s="5" t="s">
        <v>1147</v>
      </c>
      <c r="C415" s="5" t="s">
        <v>1148</v>
      </c>
      <c r="D415" s="6">
        <v>15044.0</v>
      </c>
      <c r="E415" s="7">
        <f t="shared" si="1"/>
        <v>5</v>
      </c>
      <c r="F415" s="7">
        <f t="shared" si="2"/>
        <v>55719</v>
      </c>
      <c r="G415" s="7">
        <f t="shared" si="3"/>
        <v>19186</v>
      </c>
      <c r="H415" s="7" t="str">
        <f t="shared" si="4"/>
        <v>A</v>
      </c>
      <c r="I415" s="7" t="str">
        <f t="shared" si="5"/>
        <v>High ambition</v>
      </c>
      <c r="J415" s="7" t="str">
        <f t="shared" si="6"/>
        <v>Medium</v>
      </c>
      <c r="K415" s="7">
        <f t="shared" si="7"/>
        <v>334315</v>
      </c>
      <c r="L415" s="7">
        <f t="shared" si="8"/>
        <v>318957.71</v>
      </c>
    </row>
    <row r="416">
      <c r="A416" s="5" t="s">
        <v>1149</v>
      </c>
      <c r="B416" s="5" t="s">
        <v>1150</v>
      </c>
      <c r="C416" s="5" t="s">
        <v>1151</v>
      </c>
      <c r="D416" s="6">
        <v>11945.0</v>
      </c>
      <c r="E416" s="7">
        <f t="shared" si="1"/>
        <v>5</v>
      </c>
      <c r="F416" s="7">
        <f t="shared" si="2"/>
        <v>14208</v>
      </c>
      <c r="G416" s="7">
        <f t="shared" si="3"/>
        <v>13653</v>
      </c>
      <c r="H416" s="7" t="str">
        <f t="shared" si="4"/>
        <v>B</v>
      </c>
      <c r="I416" s="7" t="str">
        <f t="shared" si="5"/>
        <v>High ambition</v>
      </c>
      <c r="J416" s="7" t="str">
        <f t="shared" si="6"/>
        <v>High</v>
      </c>
      <c r="K416" s="7">
        <f t="shared" si="7"/>
        <v>2202228</v>
      </c>
      <c r="L416" s="7">
        <f t="shared" si="8"/>
        <v>940659.6284</v>
      </c>
    </row>
    <row r="417">
      <c r="A417" s="5" t="s">
        <v>1152</v>
      </c>
      <c r="B417" s="5" t="s">
        <v>1153</v>
      </c>
      <c r="C417" s="5" t="s">
        <v>1154</v>
      </c>
      <c r="D417" s="6">
        <v>20385.0</v>
      </c>
      <c r="E417" s="7">
        <f t="shared" si="1"/>
        <v>5</v>
      </c>
      <c r="F417" s="7">
        <f t="shared" si="2"/>
        <v>42201</v>
      </c>
      <c r="G417" s="7">
        <f t="shared" si="3"/>
        <v>2026</v>
      </c>
      <c r="H417" s="7" t="str">
        <f t="shared" si="4"/>
        <v>F</v>
      </c>
      <c r="I417" s="7" t="str">
        <f t="shared" si="5"/>
        <v>High ambition</v>
      </c>
      <c r="J417" s="7" t="str">
        <f t="shared" si="6"/>
        <v>Low</v>
      </c>
      <c r="K417" s="7">
        <f t="shared" si="7"/>
        <v>2437075</v>
      </c>
      <c r="L417" s="7">
        <f t="shared" si="8"/>
        <v>1977214.885</v>
      </c>
    </row>
    <row r="418">
      <c r="A418" s="5" t="s">
        <v>1155</v>
      </c>
      <c r="B418" s="5" t="s">
        <v>1156</v>
      </c>
      <c r="C418" s="5" t="s">
        <v>1157</v>
      </c>
      <c r="D418" s="6">
        <v>19573.0</v>
      </c>
      <c r="E418" s="7">
        <f t="shared" si="1"/>
        <v>1</v>
      </c>
      <c r="F418" s="7">
        <f t="shared" si="2"/>
        <v>52205</v>
      </c>
      <c r="G418" s="7">
        <f t="shared" si="3"/>
        <v>5487</v>
      </c>
      <c r="H418" s="7" t="str">
        <f t="shared" si="4"/>
        <v>E</v>
      </c>
      <c r="I418" s="7" t="str">
        <f t="shared" si="5"/>
        <v>High ambition</v>
      </c>
      <c r="J418" s="7" t="str">
        <f t="shared" si="6"/>
        <v>Medium</v>
      </c>
      <c r="K418" s="7">
        <f t="shared" si="7"/>
        <v>910647</v>
      </c>
      <c r="L418" s="7">
        <f t="shared" si="8"/>
        <v>117208.2745</v>
      </c>
    </row>
    <row r="419">
      <c r="A419" s="5" t="s">
        <v>1158</v>
      </c>
      <c r="B419" s="5" t="s">
        <v>1159</v>
      </c>
      <c r="C419" s="5" t="s">
        <v>1160</v>
      </c>
      <c r="D419" s="6">
        <v>6907.0</v>
      </c>
      <c r="E419" s="7">
        <f t="shared" si="1"/>
        <v>3</v>
      </c>
      <c r="F419" s="7">
        <f t="shared" si="2"/>
        <v>60997</v>
      </c>
      <c r="G419" s="7">
        <f t="shared" si="3"/>
        <v>18357</v>
      </c>
      <c r="H419" s="7" t="str">
        <f t="shared" si="4"/>
        <v>D</v>
      </c>
      <c r="I419" s="7" t="str">
        <f t="shared" si="5"/>
        <v>Transformative change</v>
      </c>
      <c r="J419" s="7" t="str">
        <f t="shared" si="6"/>
        <v>Medium</v>
      </c>
      <c r="K419" s="7">
        <f t="shared" si="7"/>
        <v>1999691</v>
      </c>
      <c r="L419" s="7">
        <f t="shared" si="8"/>
        <v>727899.8502</v>
      </c>
    </row>
    <row r="420">
      <c r="A420" s="5" t="s">
        <v>1161</v>
      </c>
      <c r="B420" s="5" t="s">
        <v>1162</v>
      </c>
      <c r="C420" s="5" t="s">
        <v>1163</v>
      </c>
      <c r="D420" s="6">
        <v>93180.0</v>
      </c>
      <c r="E420" s="7">
        <f t="shared" si="1"/>
        <v>4</v>
      </c>
      <c r="F420" s="7">
        <f t="shared" si="2"/>
        <v>58375</v>
      </c>
      <c r="G420" s="7">
        <f t="shared" si="3"/>
        <v>34185</v>
      </c>
      <c r="H420" s="7" t="str">
        <f t="shared" si="4"/>
        <v>C</v>
      </c>
      <c r="I420" s="7" t="str">
        <f t="shared" si="5"/>
        <v>Transformative change</v>
      </c>
      <c r="J420" s="7" t="str">
        <f t="shared" si="6"/>
        <v>High</v>
      </c>
      <c r="K420" s="7">
        <f t="shared" si="7"/>
        <v>3156757</v>
      </c>
      <c r="L420" s="7">
        <f t="shared" si="8"/>
        <v>2765962.248</v>
      </c>
    </row>
    <row r="421">
      <c r="A421" s="5" t="s">
        <v>1164</v>
      </c>
      <c r="B421" s="5" t="s">
        <v>1165</v>
      </c>
      <c r="C421" s="5" t="s">
        <v>1166</v>
      </c>
      <c r="D421" s="6">
        <v>18192.0</v>
      </c>
      <c r="E421" s="7">
        <f t="shared" si="1"/>
        <v>2</v>
      </c>
      <c r="F421" s="7">
        <f t="shared" si="2"/>
        <v>56342</v>
      </c>
      <c r="G421" s="7">
        <f t="shared" si="3"/>
        <v>43313</v>
      </c>
      <c r="H421" s="7" t="str">
        <f t="shared" si="4"/>
        <v>F</v>
      </c>
      <c r="I421" s="7" t="str">
        <f t="shared" si="5"/>
        <v>Transformative change</v>
      </c>
      <c r="J421" s="7" t="str">
        <f t="shared" si="6"/>
        <v>Medium</v>
      </c>
      <c r="K421" s="7">
        <f t="shared" si="7"/>
        <v>2599695</v>
      </c>
      <c r="L421" s="7">
        <f t="shared" si="8"/>
        <v>716561.5007</v>
      </c>
    </row>
    <row r="422">
      <c r="A422" s="5" t="s">
        <v>1167</v>
      </c>
      <c r="B422" s="5" t="s">
        <v>1168</v>
      </c>
      <c r="C422" s="5" t="s">
        <v>1169</v>
      </c>
      <c r="D422" s="6">
        <v>12848.0</v>
      </c>
      <c r="E422" s="7">
        <f t="shared" si="1"/>
        <v>2</v>
      </c>
      <c r="F422" s="7">
        <f t="shared" si="2"/>
        <v>72574</v>
      </c>
      <c r="G422" s="7">
        <f t="shared" si="3"/>
        <v>69744</v>
      </c>
      <c r="H422" s="7" t="str">
        <f t="shared" si="4"/>
        <v>E</v>
      </c>
      <c r="I422" s="7" t="str">
        <f t="shared" si="5"/>
        <v>Transformative change</v>
      </c>
      <c r="J422" s="7" t="str">
        <f t="shared" si="6"/>
        <v>Low</v>
      </c>
      <c r="K422" s="7">
        <f t="shared" si="7"/>
        <v>1942150</v>
      </c>
      <c r="L422" s="7">
        <f t="shared" si="8"/>
        <v>1343700.796</v>
      </c>
    </row>
    <row r="423">
      <c r="A423" s="5" t="s">
        <v>1170</v>
      </c>
      <c r="B423" s="5" t="s">
        <v>1171</v>
      </c>
      <c r="C423" s="5" t="s">
        <v>1172</v>
      </c>
      <c r="D423" s="6">
        <v>19603.0</v>
      </c>
      <c r="E423" s="7">
        <f t="shared" si="1"/>
        <v>3</v>
      </c>
      <c r="F423" s="7">
        <f t="shared" si="2"/>
        <v>22515</v>
      </c>
      <c r="G423" s="7">
        <f t="shared" si="3"/>
        <v>4554</v>
      </c>
      <c r="H423" s="7" t="str">
        <f t="shared" si="4"/>
        <v>A</v>
      </c>
      <c r="I423" s="7" t="str">
        <f t="shared" si="5"/>
        <v>Transformative change</v>
      </c>
      <c r="J423" s="7" t="str">
        <f t="shared" si="6"/>
        <v>High</v>
      </c>
      <c r="K423" s="7">
        <f t="shared" si="7"/>
        <v>377390</v>
      </c>
      <c r="L423" s="7">
        <f t="shared" si="8"/>
        <v>229574.2972</v>
      </c>
    </row>
    <row r="424">
      <c r="A424" s="5" t="s">
        <v>1173</v>
      </c>
      <c r="B424" s="5" t="s">
        <v>1174</v>
      </c>
      <c r="C424" s="5" t="s">
        <v>74</v>
      </c>
      <c r="D424" s="6">
        <v>349060.0</v>
      </c>
      <c r="E424" s="7">
        <f t="shared" si="1"/>
        <v>4</v>
      </c>
      <c r="F424" s="7">
        <f t="shared" si="2"/>
        <v>8965</v>
      </c>
      <c r="G424" s="7">
        <f t="shared" si="3"/>
        <v>51711</v>
      </c>
      <c r="H424" s="7" t="str">
        <f t="shared" si="4"/>
        <v>E</v>
      </c>
      <c r="I424" s="7" t="str">
        <f t="shared" si="5"/>
        <v>Transformative change</v>
      </c>
      <c r="J424" s="7" t="str">
        <f t="shared" si="6"/>
        <v>Low</v>
      </c>
      <c r="K424" s="7">
        <f t="shared" si="7"/>
        <v>1777817</v>
      </c>
      <c r="L424" s="7">
        <f t="shared" si="8"/>
        <v>1225648.297</v>
      </c>
    </row>
    <row r="425">
      <c r="A425" s="5" t="s">
        <v>1175</v>
      </c>
      <c r="B425" s="5" t="s">
        <v>1176</v>
      </c>
      <c r="C425" s="5" t="s">
        <v>1177</v>
      </c>
      <c r="D425" s="6">
        <v>66352.0</v>
      </c>
      <c r="E425" s="7">
        <f t="shared" si="1"/>
        <v>2</v>
      </c>
      <c r="F425" s="7">
        <f t="shared" si="2"/>
        <v>52499</v>
      </c>
      <c r="G425" s="7">
        <f t="shared" si="3"/>
        <v>24611</v>
      </c>
      <c r="H425" s="7" t="str">
        <f t="shared" si="4"/>
        <v>C</v>
      </c>
      <c r="I425" s="7" t="str">
        <f t="shared" si="5"/>
        <v>Transformative change</v>
      </c>
      <c r="J425" s="7" t="str">
        <f t="shared" si="6"/>
        <v>High</v>
      </c>
      <c r="K425" s="7">
        <f t="shared" si="7"/>
        <v>1622500</v>
      </c>
      <c r="L425" s="7">
        <f t="shared" si="8"/>
        <v>447651.4416</v>
      </c>
    </row>
    <row r="426">
      <c r="A426" s="5" t="s">
        <v>1178</v>
      </c>
      <c r="B426" s="5" t="s">
        <v>1179</v>
      </c>
      <c r="C426" s="5" t="s">
        <v>74</v>
      </c>
      <c r="D426" s="6">
        <v>8350.0</v>
      </c>
      <c r="E426" s="7">
        <f t="shared" si="1"/>
        <v>4</v>
      </c>
      <c r="F426" s="7">
        <f t="shared" si="2"/>
        <v>94572</v>
      </c>
      <c r="G426" s="7">
        <f t="shared" si="3"/>
        <v>63726</v>
      </c>
      <c r="H426" s="7" t="str">
        <f t="shared" si="4"/>
        <v>D</v>
      </c>
      <c r="I426" s="7" t="str">
        <f t="shared" si="5"/>
        <v>Transformative change</v>
      </c>
      <c r="J426" s="7" t="str">
        <f t="shared" si="6"/>
        <v>High</v>
      </c>
      <c r="K426" s="7">
        <f t="shared" si="7"/>
        <v>855081</v>
      </c>
      <c r="L426" s="7">
        <f t="shared" si="8"/>
        <v>405622.263</v>
      </c>
    </row>
    <row r="427">
      <c r="A427" s="5" t="s">
        <v>1180</v>
      </c>
      <c r="B427" s="5" t="s">
        <v>1181</v>
      </c>
      <c r="C427" s="5" t="s">
        <v>1182</v>
      </c>
      <c r="D427" s="6">
        <v>7531.0</v>
      </c>
      <c r="E427" s="7">
        <f t="shared" si="1"/>
        <v>3</v>
      </c>
      <c r="F427" s="7">
        <f t="shared" si="2"/>
        <v>51671</v>
      </c>
      <c r="G427" s="7">
        <f t="shared" si="3"/>
        <v>17710</v>
      </c>
      <c r="H427" s="7" t="str">
        <f t="shared" si="4"/>
        <v>G</v>
      </c>
      <c r="I427" s="7" t="str">
        <f t="shared" si="5"/>
        <v>Transformative change</v>
      </c>
      <c r="J427" s="7" t="str">
        <f t="shared" si="6"/>
        <v>High</v>
      </c>
      <c r="K427" s="7">
        <f t="shared" si="7"/>
        <v>3684393</v>
      </c>
      <c r="L427" s="7">
        <f t="shared" si="8"/>
        <v>60681.62612</v>
      </c>
    </row>
    <row r="428">
      <c r="A428" s="5" t="s">
        <v>1183</v>
      </c>
      <c r="B428" s="5" t="s">
        <v>1184</v>
      </c>
      <c r="C428" s="5" t="s">
        <v>1185</v>
      </c>
      <c r="D428" s="6">
        <v>15188.0</v>
      </c>
      <c r="E428" s="7">
        <f t="shared" si="1"/>
        <v>5</v>
      </c>
      <c r="F428" s="7">
        <f t="shared" si="2"/>
        <v>17356</v>
      </c>
      <c r="G428" s="7">
        <f t="shared" si="3"/>
        <v>48343</v>
      </c>
      <c r="H428" s="7" t="str">
        <f t="shared" si="4"/>
        <v>C</v>
      </c>
      <c r="I428" s="7" t="str">
        <f t="shared" si="5"/>
        <v>Transformative change</v>
      </c>
      <c r="J428" s="7" t="str">
        <f t="shared" si="6"/>
        <v>High</v>
      </c>
      <c r="K428" s="7">
        <f t="shared" si="7"/>
        <v>890128</v>
      </c>
      <c r="L428" s="7">
        <f t="shared" si="8"/>
        <v>279376.67</v>
      </c>
    </row>
    <row r="429">
      <c r="A429" s="5" t="s">
        <v>1186</v>
      </c>
      <c r="B429" s="5" t="s">
        <v>1187</v>
      </c>
      <c r="C429" s="5" t="s">
        <v>74</v>
      </c>
      <c r="D429" s="6">
        <v>30767.0</v>
      </c>
      <c r="E429" s="7">
        <f t="shared" si="1"/>
        <v>3</v>
      </c>
      <c r="F429" s="7">
        <f t="shared" si="2"/>
        <v>47540</v>
      </c>
      <c r="G429" s="7">
        <f t="shared" si="3"/>
        <v>10026</v>
      </c>
      <c r="H429" s="7" t="str">
        <f t="shared" si="4"/>
        <v>C</v>
      </c>
      <c r="I429" s="7" t="str">
        <f t="shared" si="5"/>
        <v>Transformative change</v>
      </c>
      <c r="J429" s="7" t="str">
        <f t="shared" si="6"/>
        <v>Low</v>
      </c>
      <c r="K429" s="7">
        <f t="shared" si="7"/>
        <v>585914</v>
      </c>
      <c r="L429" s="7">
        <f t="shared" si="8"/>
        <v>225269.4861</v>
      </c>
    </row>
    <row r="430">
      <c r="A430" s="5" t="s">
        <v>1188</v>
      </c>
      <c r="B430" s="5" t="s">
        <v>1174</v>
      </c>
      <c r="C430" s="5" t="s">
        <v>1189</v>
      </c>
      <c r="D430" s="6">
        <v>8720.0</v>
      </c>
      <c r="E430" s="7">
        <f t="shared" si="1"/>
        <v>1</v>
      </c>
      <c r="F430" s="7">
        <f t="shared" si="2"/>
        <v>66863</v>
      </c>
      <c r="G430" s="7">
        <f t="shared" si="3"/>
        <v>50800</v>
      </c>
      <c r="H430" s="7" t="str">
        <f t="shared" si="4"/>
        <v>F</v>
      </c>
      <c r="I430" s="7" t="str">
        <f t="shared" si="5"/>
        <v>Transformative change</v>
      </c>
      <c r="J430" s="7" t="str">
        <f t="shared" si="6"/>
        <v>High</v>
      </c>
      <c r="K430" s="7">
        <f t="shared" si="7"/>
        <v>3062131</v>
      </c>
      <c r="L430" s="7">
        <f t="shared" si="8"/>
        <v>1763811.865</v>
      </c>
    </row>
    <row r="431">
      <c r="A431" s="5" t="s">
        <v>1190</v>
      </c>
      <c r="B431" s="5" t="s">
        <v>1191</v>
      </c>
      <c r="C431" s="5" t="s">
        <v>1192</v>
      </c>
      <c r="D431" s="6">
        <v>5872.0</v>
      </c>
      <c r="E431" s="7">
        <f t="shared" si="1"/>
        <v>5</v>
      </c>
      <c r="F431" s="7">
        <f t="shared" si="2"/>
        <v>66520</v>
      </c>
      <c r="G431" s="7">
        <f t="shared" si="3"/>
        <v>63169</v>
      </c>
      <c r="H431" s="7" t="str">
        <f t="shared" si="4"/>
        <v>E</v>
      </c>
      <c r="I431" s="7" t="str">
        <f t="shared" si="5"/>
        <v>Transformative change</v>
      </c>
      <c r="J431" s="7" t="str">
        <f t="shared" si="6"/>
        <v>Medium</v>
      </c>
      <c r="K431" s="7">
        <f t="shared" si="7"/>
        <v>3440808</v>
      </c>
      <c r="L431" s="7">
        <f t="shared" si="8"/>
        <v>902712.8381</v>
      </c>
    </row>
    <row r="432">
      <c r="A432" s="5" t="s">
        <v>1193</v>
      </c>
      <c r="B432" s="5" t="s">
        <v>1194</v>
      </c>
      <c r="C432" s="5" t="s">
        <v>74</v>
      </c>
      <c r="D432" s="6">
        <v>17068.0</v>
      </c>
      <c r="E432" s="7">
        <f t="shared" si="1"/>
        <v>3</v>
      </c>
      <c r="F432" s="7">
        <f t="shared" si="2"/>
        <v>4375</v>
      </c>
      <c r="G432" s="7">
        <f t="shared" si="3"/>
        <v>11454</v>
      </c>
      <c r="H432" s="7" t="str">
        <f t="shared" si="4"/>
        <v>G</v>
      </c>
      <c r="I432" s="7" t="str">
        <f t="shared" si="5"/>
        <v>Transformative change</v>
      </c>
      <c r="J432" s="7" t="str">
        <f t="shared" si="6"/>
        <v>Low</v>
      </c>
      <c r="K432" s="7">
        <f t="shared" si="7"/>
        <v>3904966</v>
      </c>
      <c r="L432" s="7">
        <f t="shared" si="8"/>
        <v>3665957.12</v>
      </c>
    </row>
    <row r="433">
      <c r="A433" s="5" t="s">
        <v>1195</v>
      </c>
      <c r="B433" s="5" t="s">
        <v>1196</v>
      </c>
      <c r="C433" s="5" t="s">
        <v>1197</v>
      </c>
      <c r="D433" s="6">
        <v>11905.0</v>
      </c>
      <c r="E433" s="7">
        <f t="shared" si="1"/>
        <v>2</v>
      </c>
      <c r="F433" s="7">
        <f t="shared" si="2"/>
        <v>18738</v>
      </c>
      <c r="G433" s="7">
        <f t="shared" si="3"/>
        <v>5544</v>
      </c>
      <c r="H433" s="7" t="str">
        <f t="shared" si="4"/>
        <v>B</v>
      </c>
      <c r="I433" s="7" t="str">
        <f t="shared" si="5"/>
        <v>Transformative change</v>
      </c>
      <c r="J433" s="7" t="str">
        <f t="shared" si="6"/>
        <v>Medium</v>
      </c>
      <c r="K433" s="7">
        <f t="shared" si="7"/>
        <v>2414724</v>
      </c>
      <c r="L433" s="7">
        <f t="shared" si="8"/>
        <v>945819.5221</v>
      </c>
    </row>
    <row r="434">
      <c r="A434" s="5" t="s">
        <v>1198</v>
      </c>
      <c r="B434" s="5" t="s">
        <v>1199</v>
      </c>
      <c r="C434" s="5" t="s">
        <v>1200</v>
      </c>
      <c r="D434" s="6">
        <v>7566.0</v>
      </c>
      <c r="E434" s="7">
        <f t="shared" si="1"/>
        <v>5</v>
      </c>
      <c r="F434" s="7">
        <f t="shared" si="2"/>
        <v>23627</v>
      </c>
      <c r="G434" s="7">
        <f t="shared" si="3"/>
        <v>38391</v>
      </c>
      <c r="H434" s="7" t="str">
        <f t="shared" si="4"/>
        <v>F</v>
      </c>
      <c r="I434" s="7" t="str">
        <f t="shared" si="5"/>
        <v>Transformative change</v>
      </c>
      <c r="J434" s="7" t="str">
        <f t="shared" si="6"/>
        <v>Medium</v>
      </c>
      <c r="K434" s="7">
        <f t="shared" si="7"/>
        <v>1052527</v>
      </c>
      <c r="L434" s="7">
        <f t="shared" si="8"/>
        <v>914121.2136</v>
      </c>
    </row>
    <row r="435">
      <c r="A435" s="5" t="s">
        <v>1201</v>
      </c>
      <c r="B435" s="5" t="s">
        <v>1202</v>
      </c>
      <c r="C435" s="5" t="s">
        <v>1203</v>
      </c>
      <c r="D435" s="6">
        <v>734141.0</v>
      </c>
      <c r="E435" s="7">
        <f t="shared" si="1"/>
        <v>5</v>
      </c>
      <c r="F435" s="7">
        <f t="shared" si="2"/>
        <v>31894</v>
      </c>
      <c r="G435" s="7">
        <f t="shared" si="3"/>
        <v>27553</v>
      </c>
      <c r="H435" s="7" t="str">
        <f t="shared" si="4"/>
        <v>D</v>
      </c>
      <c r="I435" s="7" t="str">
        <f t="shared" si="5"/>
        <v>Transformative change</v>
      </c>
      <c r="J435" s="7" t="str">
        <f t="shared" si="6"/>
        <v>High</v>
      </c>
      <c r="K435" s="7">
        <f t="shared" si="7"/>
        <v>2889836</v>
      </c>
      <c r="L435" s="7">
        <f t="shared" si="8"/>
        <v>1224969.848</v>
      </c>
    </row>
    <row r="436">
      <c r="A436" s="5" t="s">
        <v>1204</v>
      </c>
      <c r="B436" s="5" t="s">
        <v>1205</v>
      </c>
      <c r="C436" s="5" t="s">
        <v>74</v>
      </c>
      <c r="D436" s="6">
        <v>866873.0</v>
      </c>
      <c r="E436" s="7">
        <f t="shared" si="1"/>
        <v>3</v>
      </c>
      <c r="F436" s="7">
        <f t="shared" si="2"/>
        <v>29048</v>
      </c>
      <c r="G436" s="7">
        <f t="shared" si="3"/>
        <v>49563</v>
      </c>
      <c r="H436" s="7" t="str">
        <f t="shared" si="4"/>
        <v>F</v>
      </c>
      <c r="I436" s="7" t="str">
        <f t="shared" si="5"/>
        <v>High ambition</v>
      </c>
      <c r="J436" s="7" t="str">
        <f t="shared" si="6"/>
        <v>Low</v>
      </c>
      <c r="K436" s="7">
        <f t="shared" si="7"/>
        <v>2897628</v>
      </c>
      <c r="L436" s="7">
        <f t="shared" si="8"/>
        <v>2514176.248</v>
      </c>
    </row>
    <row r="437">
      <c r="A437" s="5" t="s">
        <v>1206</v>
      </c>
      <c r="B437" s="5" t="s">
        <v>1207</v>
      </c>
      <c r="C437" s="5" t="s">
        <v>1208</v>
      </c>
      <c r="D437" s="6">
        <v>44856.0</v>
      </c>
      <c r="E437" s="7">
        <f t="shared" si="1"/>
        <v>4</v>
      </c>
      <c r="F437" s="7">
        <f t="shared" si="2"/>
        <v>9141</v>
      </c>
      <c r="G437" s="7">
        <f t="shared" si="3"/>
        <v>65529</v>
      </c>
      <c r="H437" s="7" t="str">
        <f t="shared" si="4"/>
        <v>A</v>
      </c>
      <c r="I437" s="7" t="str">
        <f t="shared" si="5"/>
        <v>Transformative change</v>
      </c>
      <c r="J437" s="7" t="str">
        <f t="shared" si="6"/>
        <v>Medium</v>
      </c>
      <c r="K437" s="7">
        <f t="shared" si="7"/>
        <v>3173037</v>
      </c>
      <c r="L437" s="7">
        <f t="shared" si="8"/>
        <v>3142651.588</v>
      </c>
    </row>
    <row r="438">
      <c r="A438" s="5" t="s">
        <v>1209</v>
      </c>
      <c r="B438" s="5" t="s">
        <v>1210</v>
      </c>
      <c r="C438" s="5" t="s">
        <v>1211</v>
      </c>
      <c r="D438" s="6">
        <v>79811.0</v>
      </c>
      <c r="E438" s="7">
        <f t="shared" si="1"/>
        <v>4</v>
      </c>
      <c r="F438" s="7">
        <f t="shared" si="2"/>
        <v>24549</v>
      </c>
      <c r="G438" s="7">
        <f t="shared" si="3"/>
        <v>33698</v>
      </c>
      <c r="H438" s="7" t="str">
        <f t="shared" si="4"/>
        <v>C</v>
      </c>
      <c r="I438" s="7" t="str">
        <f t="shared" si="5"/>
        <v>Transformative change</v>
      </c>
      <c r="J438" s="7" t="str">
        <f t="shared" si="6"/>
        <v>Low</v>
      </c>
      <c r="K438" s="7">
        <f t="shared" si="7"/>
        <v>584500</v>
      </c>
      <c r="L438" s="7">
        <f t="shared" si="8"/>
        <v>580154.0707</v>
      </c>
    </row>
    <row r="439">
      <c r="A439" s="5" t="s">
        <v>1212</v>
      </c>
      <c r="B439" s="5" t="s">
        <v>1213</v>
      </c>
      <c r="C439" s="5" t="s">
        <v>1214</v>
      </c>
      <c r="D439" s="6">
        <v>7761.0</v>
      </c>
      <c r="E439" s="7">
        <f t="shared" si="1"/>
        <v>3</v>
      </c>
      <c r="F439" s="7">
        <f t="shared" si="2"/>
        <v>28022</v>
      </c>
      <c r="G439" s="7">
        <f t="shared" si="3"/>
        <v>33455</v>
      </c>
      <c r="H439" s="7" t="str">
        <f t="shared" si="4"/>
        <v>F</v>
      </c>
      <c r="I439" s="7" t="str">
        <f t="shared" si="5"/>
        <v>Transformative change</v>
      </c>
      <c r="J439" s="7" t="str">
        <f t="shared" si="6"/>
        <v>High</v>
      </c>
      <c r="K439" s="7">
        <f t="shared" si="7"/>
        <v>2847734</v>
      </c>
      <c r="L439" s="7">
        <f t="shared" si="8"/>
        <v>833151.3719</v>
      </c>
    </row>
    <row r="440">
      <c r="A440" s="5" t="s">
        <v>1215</v>
      </c>
      <c r="B440" s="5" t="s">
        <v>1216</v>
      </c>
      <c r="C440" s="5" t="s">
        <v>74</v>
      </c>
      <c r="D440" s="6">
        <v>8653.0</v>
      </c>
      <c r="E440" s="7">
        <f t="shared" si="1"/>
        <v>2</v>
      </c>
      <c r="F440" s="7">
        <f t="shared" si="2"/>
        <v>93843</v>
      </c>
      <c r="G440" s="7">
        <f t="shared" si="3"/>
        <v>37545</v>
      </c>
      <c r="H440" s="7" t="str">
        <f t="shared" si="4"/>
        <v>G</v>
      </c>
      <c r="I440" s="7" t="str">
        <f t="shared" si="5"/>
        <v>Transformative change</v>
      </c>
      <c r="J440" s="7" t="str">
        <f t="shared" si="6"/>
        <v>Medium</v>
      </c>
      <c r="K440" s="7">
        <f t="shared" si="7"/>
        <v>3314890</v>
      </c>
      <c r="L440" s="7">
        <f t="shared" si="8"/>
        <v>464832.2901</v>
      </c>
    </row>
    <row r="441">
      <c r="A441" s="5" t="s">
        <v>1217</v>
      </c>
      <c r="B441" s="5" t="s">
        <v>1218</v>
      </c>
      <c r="C441" s="5" t="s">
        <v>1219</v>
      </c>
      <c r="D441" s="6">
        <v>7791.0</v>
      </c>
      <c r="E441" s="7">
        <f t="shared" si="1"/>
        <v>1</v>
      </c>
      <c r="F441" s="7">
        <f t="shared" si="2"/>
        <v>61438</v>
      </c>
      <c r="G441" s="7">
        <f t="shared" si="3"/>
        <v>54285</v>
      </c>
      <c r="H441" s="7" t="str">
        <f t="shared" si="4"/>
        <v>C</v>
      </c>
      <c r="I441" s="7" t="str">
        <f t="shared" si="5"/>
        <v>Transformative change</v>
      </c>
      <c r="J441" s="7" t="str">
        <f t="shared" si="6"/>
        <v>High</v>
      </c>
      <c r="K441" s="7">
        <f t="shared" si="7"/>
        <v>189242</v>
      </c>
      <c r="L441" s="7">
        <f t="shared" si="8"/>
        <v>134490.5138</v>
      </c>
    </row>
    <row r="442">
      <c r="A442" s="5" t="s">
        <v>1220</v>
      </c>
      <c r="B442" s="5" t="s">
        <v>1221</v>
      </c>
      <c r="C442" s="5" t="s">
        <v>1222</v>
      </c>
      <c r="D442" s="6">
        <v>17131.0</v>
      </c>
      <c r="E442" s="7">
        <f t="shared" si="1"/>
        <v>2</v>
      </c>
      <c r="F442" s="7">
        <f t="shared" si="2"/>
        <v>21312</v>
      </c>
      <c r="G442" s="7">
        <f t="shared" si="3"/>
        <v>61086</v>
      </c>
      <c r="H442" s="7" t="str">
        <f t="shared" si="4"/>
        <v>B</v>
      </c>
      <c r="I442" s="7" t="str">
        <f t="shared" si="5"/>
        <v>Transformative change</v>
      </c>
      <c r="J442" s="7" t="str">
        <f t="shared" si="6"/>
        <v>Low</v>
      </c>
      <c r="K442" s="7">
        <f t="shared" si="7"/>
        <v>347739</v>
      </c>
      <c r="L442" s="7">
        <f t="shared" si="8"/>
        <v>210377.3324</v>
      </c>
    </row>
    <row r="443">
      <c r="A443" s="5" t="s">
        <v>1223</v>
      </c>
      <c r="B443" s="5" t="s">
        <v>1224</v>
      </c>
      <c r="C443" s="5" t="s">
        <v>1225</v>
      </c>
      <c r="D443" s="6">
        <v>483341.0</v>
      </c>
      <c r="E443" s="7">
        <f t="shared" si="1"/>
        <v>5</v>
      </c>
      <c r="F443" s="7">
        <f t="shared" si="2"/>
        <v>49649</v>
      </c>
      <c r="G443" s="7">
        <f t="shared" si="3"/>
        <v>29437</v>
      </c>
      <c r="H443" s="7" t="str">
        <f t="shared" si="4"/>
        <v>F</v>
      </c>
      <c r="I443" s="7" t="str">
        <f t="shared" si="5"/>
        <v>Transformative change</v>
      </c>
      <c r="J443" s="7" t="str">
        <f t="shared" si="6"/>
        <v>Low</v>
      </c>
      <c r="K443" s="7">
        <f t="shared" si="7"/>
        <v>423767</v>
      </c>
      <c r="L443" s="7">
        <f t="shared" si="8"/>
        <v>395388.3896</v>
      </c>
    </row>
    <row r="444">
      <c r="A444" s="5" t="s">
        <v>1226</v>
      </c>
      <c r="B444" s="5" t="s">
        <v>1227</v>
      </c>
      <c r="C444" s="5" t="s">
        <v>1228</v>
      </c>
      <c r="D444" s="6">
        <v>7144.0</v>
      </c>
      <c r="E444" s="7">
        <f t="shared" si="1"/>
        <v>3</v>
      </c>
      <c r="F444" s="7">
        <f t="shared" si="2"/>
        <v>72411</v>
      </c>
      <c r="G444" s="7">
        <f t="shared" si="3"/>
        <v>47663</v>
      </c>
      <c r="H444" s="7" t="str">
        <f t="shared" si="4"/>
        <v>B</v>
      </c>
      <c r="I444" s="7" t="str">
        <f t="shared" si="5"/>
        <v>Transformative change</v>
      </c>
      <c r="J444" s="7" t="str">
        <f t="shared" si="6"/>
        <v>Low</v>
      </c>
      <c r="K444" s="7">
        <f t="shared" si="7"/>
        <v>2152472</v>
      </c>
      <c r="L444" s="7">
        <f t="shared" si="8"/>
        <v>870825.1437</v>
      </c>
    </row>
    <row r="445">
      <c r="A445" s="5" t="s">
        <v>201</v>
      </c>
      <c r="B445" s="5" t="s">
        <v>1229</v>
      </c>
      <c r="C445" s="5" t="s">
        <v>1230</v>
      </c>
      <c r="D445" s="6">
        <v>91903.0</v>
      </c>
      <c r="E445" s="7">
        <f t="shared" si="1"/>
        <v>4</v>
      </c>
      <c r="F445" s="7">
        <f t="shared" si="2"/>
        <v>78330</v>
      </c>
      <c r="G445" s="7">
        <f t="shared" si="3"/>
        <v>14617</v>
      </c>
      <c r="H445" s="7" t="str">
        <f t="shared" si="4"/>
        <v>E</v>
      </c>
      <c r="I445" s="7" t="str">
        <f t="shared" si="5"/>
        <v>Transformative change</v>
      </c>
      <c r="J445" s="7" t="str">
        <f t="shared" si="6"/>
        <v>Medium</v>
      </c>
      <c r="K445" s="7">
        <f t="shared" si="7"/>
        <v>1170978</v>
      </c>
      <c r="L445" s="7">
        <f t="shared" si="8"/>
        <v>121948.0837</v>
      </c>
    </row>
    <row r="446">
      <c r="A446" s="5" t="s">
        <v>1231</v>
      </c>
      <c r="B446" s="5" t="s">
        <v>1232</v>
      </c>
      <c r="C446" s="5" t="s">
        <v>74</v>
      </c>
      <c r="D446" s="6">
        <v>10233.0</v>
      </c>
      <c r="E446" s="7">
        <f t="shared" si="1"/>
        <v>2</v>
      </c>
      <c r="F446" s="7">
        <f t="shared" si="2"/>
        <v>42600</v>
      </c>
      <c r="G446" s="7">
        <f t="shared" si="3"/>
        <v>29508</v>
      </c>
      <c r="H446" s="7" t="str">
        <f t="shared" si="4"/>
        <v>D</v>
      </c>
      <c r="I446" s="7" t="str">
        <f t="shared" si="5"/>
        <v>Transformative change</v>
      </c>
      <c r="J446" s="7" t="str">
        <f t="shared" si="6"/>
        <v>Low</v>
      </c>
      <c r="K446" s="7">
        <f t="shared" si="7"/>
        <v>335858</v>
      </c>
      <c r="L446" s="7">
        <f t="shared" si="8"/>
        <v>294109.6485</v>
      </c>
    </row>
    <row r="447">
      <c r="A447" s="5" t="s">
        <v>1233</v>
      </c>
      <c r="B447" s="5" t="s">
        <v>1234</v>
      </c>
      <c r="C447" s="5" t="s">
        <v>1235</v>
      </c>
      <c r="D447" s="6">
        <v>18442.0</v>
      </c>
      <c r="E447" s="7">
        <f t="shared" si="1"/>
        <v>3</v>
      </c>
      <c r="F447" s="7">
        <f t="shared" si="2"/>
        <v>25650</v>
      </c>
      <c r="G447" s="7">
        <f t="shared" si="3"/>
        <v>52842</v>
      </c>
      <c r="H447" s="7" t="str">
        <f t="shared" si="4"/>
        <v>F</v>
      </c>
      <c r="I447" s="7" t="str">
        <f t="shared" si="5"/>
        <v>High ambition</v>
      </c>
      <c r="J447" s="7" t="str">
        <f t="shared" si="6"/>
        <v>Medium</v>
      </c>
      <c r="K447" s="7">
        <f t="shared" si="7"/>
        <v>610181</v>
      </c>
      <c r="L447" s="7">
        <f t="shared" si="8"/>
        <v>300608.4397</v>
      </c>
    </row>
    <row r="448">
      <c r="A448" s="5" t="s">
        <v>1236</v>
      </c>
      <c r="B448" s="5" t="s">
        <v>1237</v>
      </c>
      <c r="C448" s="5" t="s">
        <v>1238</v>
      </c>
      <c r="D448" s="6">
        <v>65892.0</v>
      </c>
      <c r="E448" s="7">
        <f t="shared" si="1"/>
        <v>1</v>
      </c>
      <c r="F448" s="7">
        <f t="shared" si="2"/>
        <v>53834</v>
      </c>
      <c r="G448" s="7">
        <f t="shared" si="3"/>
        <v>51182</v>
      </c>
      <c r="H448" s="7" t="str">
        <f t="shared" si="4"/>
        <v>B</v>
      </c>
      <c r="I448" s="7" t="str">
        <f t="shared" si="5"/>
        <v>Transformative change</v>
      </c>
      <c r="J448" s="7" t="str">
        <f t="shared" si="6"/>
        <v>Medium</v>
      </c>
      <c r="K448" s="7">
        <f t="shared" si="7"/>
        <v>2762494</v>
      </c>
      <c r="L448" s="7">
        <f t="shared" si="8"/>
        <v>108364.5451</v>
      </c>
    </row>
    <row r="449">
      <c r="A449" s="5" t="s">
        <v>1239</v>
      </c>
      <c r="B449" s="5" t="s">
        <v>1240</v>
      </c>
      <c r="C449" s="5" t="s">
        <v>74</v>
      </c>
      <c r="D449" s="6">
        <v>12813.0</v>
      </c>
      <c r="E449" s="7">
        <f t="shared" si="1"/>
        <v>2</v>
      </c>
      <c r="F449" s="7">
        <f t="shared" si="2"/>
        <v>99401</v>
      </c>
      <c r="G449" s="7">
        <f t="shared" si="3"/>
        <v>23012</v>
      </c>
      <c r="H449" s="7" t="str">
        <f t="shared" si="4"/>
        <v>G</v>
      </c>
      <c r="I449" s="7" t="str">
        <f t="shared" si="5"/>
        <v>Transformative change</v>
      </c>
      <c r="J449" s="7" t="str">
        <f t="shared" si="6"/>
        <v>High</v>
      </c>
      <c r="K449" s="7">
        <f t="shared" si="7"/>
        <v>2630084</v>
      </c>
      <c r="L449" s="7">
        <f t="shared" si="8"/>
        <v>470132.3627</v>
      </c>
    </row>
    <row r="450">
      <c r="A450" s="5" t="s">
        <v>302</v>
      </c>
      <c r="B450" s="5" t="s">
        <v>1241</v>
      </c>
      <c r="C450" s="5" t="s">
        <v>1242</v>
      </c>
      <c r="D450" s="6">
        <v>18154.0</v>
      </c>
      <c r="E450" s="7">
        <f t="shared" si="1"/>
        <v>4</v>
      </c>
      <c r="F450" s="7">
        <f t="shared" si="2"/>
        <v>11579</v>
      </c>
      <c r="G450" s="7">
        <f t="shared" si="3"/>
        <v>55761</v>
      </c>
      <c r="H450" s="7" t="str">
        <f t="shared" si="4"/>
        <v>C</v>
      </c>
      <c r="I450" s="7" t="str">
        <f t="shared" si="5"/>
        <v>Transformative change</v>
      </c>
      <c r="J450" s="7" t="str">
        <f t="shared" si="6"/>
        <v>Medium</v>
      </c>
      <c r="K450" s="7">
        <f t="shared" si="7"/>
        <v>3288852</v>
      </c>
      <c r="L450" s="7">
        <f t="shared" si="8"/>
        <v>772344.6918</v>
      </c>
    </row>
    <row r="451">
      <c r="A451" s="5" t="s">
        <v>1243</v>
      </c>
      <c r="B451" s="5" t="s">
        <v>1244</v>
      </c>
      <c r="C451" s="5" t="s">
        <v>726</v>
      </c>
      <c r="D451" s="6">
        <v>26442.0</v>
      </c>
      <c r="E451" s="7">
        <f t="shared" si="1"/>
        <v>3</v>
      </c>
      <c r="F451" s="7">
        <f t="shared" si="2"/>
        <v>59157</v>
      </c>
      <c r="G451" s="7">
        <f t="shared" si="3"/>
        <v>23024</v>
      </c>
      <c r="H451" s="7" t="str">
        <f t="shared" si="4"/>
        <v>E</v>
      </c>
      <c r="I451" s="7" t="str">
        <f t="shared" si="5"/>
        <v>High ambition</v>
      </c>
      <c r="J451" s="7" t="str">
        <f t="shared" si="6"/>
        <v>Medium</v>
      </c>
      <c r="K451" s="7">
        <f t="shared" si="7"/>
        <v>1142153</v>
      </c>
      <c r="L451" s="7">
        <f t="shared" si="8"/>
        <v>298206.6488</v>
      </c>
    </row>
    <row r="452">
      <c r="A452" s="5" t="s">
        <v>1245</v>
      </c>
      <c r="B452" s="5" t="s">
        <v>1246</v>
      </c>
      <c r="C452" s="5" t="s">
        <v>1247</v>
      </c>
      <c r="D452" s="6">
        <v>15098.0</v>
      </c>
      <c r="E452" s="7">
        <f t="shared" si="1"/>
        <v>1</v>
      </c>
      <c r="F452" s="7">
        <f t="shared" si="2"/>
        <v>25369</v>
      </c>
      <c r="G452" s="7">
        <f t="shared" si="3"/>
        <v>21242</v>
      </c>
      <c r="H452" s="7" t="str">
        <f t="shared" si="4"/>
        <v>E</v>
      </c>
      <c r="I452" s="7" t="str">
        <f t="shared" si="5"/>
        <v>Transformative change</v>
      </c>
      <c r="J452" s="7" t="str">
        <f t="shared" si="6"/>
        <v>Medium</v>
      </c>
      <c r="K452" s="7">
        <f t="shared" si="7"/>
        <v>2930942</v>
      </c>
      <c r="L452" s="7">
        <f t="shared" si="8"/>
        <v>1539394.906</v>
      </c>
    </row>
    <row r="453">
      <c r="A453" s="5" t="s">
        <v>1248</v>
      </c>
      <c r="B453" s="5" t="s">
        <v>1249</v>
      </c>
      <c r="C453" s="5" t="s">
        <v>1250</v>
      </c>
      <c r="D453" s="6">
        <v>14110.0</v>
      </c>
      <c r="E453" s="7">
        <f t="shared" si="1"/>
        <v>2</v>
      </c>
      <c r="F453" s="7">
        <f t="shared" si="2"/>
        <v>14483</v>
      </c>
      <c r="G453" s="7">
        <f t="shared" si="3"/>
        <v>18592</v>
      </c>
      <c r="H453" s="7" t="str">
        <f t="shared" si="4"/>
        <v>G</v>
      </c>
      <c r="I453" s="7" t="str">
        <f t="shared" si="5"/>
        <v>Transformative change</v>
      </c>
      <c r="J453" s="7" t="str">
        <f t="shared" si="6"/>
        <v>Low</v>
      </c>
      <c r="K453" s="7">
        <f t="shared" si="7"/>
        <v>977566</v>
      </c>
      <c r="L453" s="7">
        <f t="shared" si="8"/>
        <v>81410.19485</v>
      </c>
    </row>
    <row r="454">
      <c r="A454" s="5" t="s">
        <v>1251</v>
      </c>
      <c r="B454" s="5" t="s">
        <v>1252</v>
      </c>
      <c r="C454" s="5" t="s">
        <v>1253</v>
      </c>
      <c r="D454" s="6">
        <v>16620.0</v>
      </c>
      <c r="E454" s="7">
        <f t="shared" si="1"/>
        <v>4</v>
      </c>
      <c r="F454" s="7">
        <f t="shared" si="2"/>
        <v>77906</v>
      </c>
      <c r="G454" s="7">
        <f t="shared" si="3"/>
        <v>70409</v>
      </c>
      <c r="H454" s="7" t="str">
        <f t="shared" si="4"/>
        <v>G</v>
      </c>
      <c r="I454" s="7" t="str">
        <f t="shared" si="5"/>
        <v>Transformative change</v>
      </c>
      <c r="J454" s="7" t="str">
        <f t="shared" si="6"/>
        <v>High</v>
      </c>
      <c r="K454" s="7">
        <f t="shared" si="7"/>
        <v>1285558</v>
      </c>
      <c r="L454" s="7">
        <f t="shared" si="8"/>
        <v>475441.6619</v>
      </c>
    </row>
    <row r="455">
      <c r="A455" s="5" t="s">
        <v>1254</v>
      </c>
      <c r="B455" s="5" t="s">
        <v>1255</v>
      </c>
      <c r="C455" s="5" t="s">
        <v>74</v>
      </c>
      <c r="D455" s="6">
        <v>40659.0</v>
      </c>
      <c r="E455" s="7">
        <f t="shared" si="1"/>
        <v>2</v>
      </c>
      <c r="F455" s="7">
        <f t="shared" si="2"/>
        <v>6173</v>
      </c>
      <c r="G455" s="7">
        <f t="shared" si="3"/>
        <v>74384</v>
      </c>
      <c r="H455" s="7" t="str">
        <f t="shared" si="4"/>
        <v>B</v>
      </c>
      <c r="I455" s="7" t="str">
        <f t="shared" si="5"/>
        <v>Transformative change</v>
      </c>
      <c r="J455" s="7" t="str">
        <f t="shared" si="6"/>
        <v>High</v>
      </c>
      <c r="K455" s="7">
        <f t="shared" si="7"/>
        <v>2107758</v>
      </c>
      <c r="L455" s="7">
        <f t="shared" si="8"/>
        <v>2065319.409</v>
      </c>
    </row>
    <row r="456">
      <c r="A456" s="5" t="s">
        <v>1256</v>
      </c>
      <c r="B456" s="5" t="s">
        <v>1257</v>
      </c>
      <c r="C456" s="5" t="s">
        <v>1258</v>
      </c>
      <c r="D456" s="6">
        <v>19547.0</v>
      </c>
      <c r="E456" s="7">
        <f t="shared" si="1"/>
        <v>5</v>
      </c>
      <c r="F456" s="7">
        <f t="shared" si="2"/>
        <v>69690</v>
      </c>
      <c r="G456" s="7">
        <f t="shared" si="3"/>
        <v>46040</v>
      </c>
      <c r="H456" s="7" t="str">
        <f t="shared" si="4"/>
        <v>D</v>
      </c>
      <c r="I456" s="7" t="str">
        <f t="shared" si="5"/>
        <v>Transformative change</v>
      </c>
      <c r="J456" s="7" t="str">
        <f t="shared" si="6"/>
        <v>High</v>
      </c>
      <c r="K456" s="7">
        <f t="shared" si="7"/>
        <v>3745124</v>
      </c>
      <c r="L456" s="7">
        <f t="shared" si="8"/>
        <v>255215.6017</v>
      </c>
    </row>
    <row r="457">
      <c r="A457" s="5" t="s">
        <v>1259</v>
      </c>
      <c r="B457" s="5" t="s">
        <v>1260</v>
      </c>
      <c r="C457" s="5" t="s">
        <v>1261</v>
      </c>
      <c r="D457" s="6">
        <v>18807.0</v>
      </c>
      <c r="E457" s="7">
        <f t="shared" si="1"/>
        <v>5</v>
      </c>
      <c r="F457" s="7">
        <f t="shared" si="2"/>
        <v>85533</v>
      </c>
      <c r="G457" s="7">
        <f t="shared" si="3"/>
        <v>39994</v>
      </c>
      <c r="H457" s="7" t="str">
        <f t="shared" si="4"/>
        <v>C</v>
      </c>
      <c r="I457" s="7" t="str">
        <f t="shared" si="5"/>
        <v>Transformative change</v>
      </c>
      <c r="J457" s="7" t="str">
        <f t="shared" si="6"/>
        <v>Medium</v>
      </c>
      <c r="K457" s="7">
        <f t="shared" si="7"/>
        <v>648559</v>
      </c>
      <c r="L457" s="7">
        <f t="shared" si="8"/>
        <v>27167.17712</v>
      </c>
    </row>
    <row r="458">
      <c r="A458" s="5" t="s">
        <v>1262</v>
      </c>
      <c r="B458" s="5" t="s">
        <v>1263</v>
      </c>
      <c r="C458" s="5" t="s">
        <v>455</v>
      </c>
      <c r="D458" s="6">
        <v>90526.0</v>
      </c>
      <c r="E458" s="7">
        <f t="shared" si="1"/>
        <v>2</v>
      </c>
      <c r="F458" s="7">
        <f t="shared" si="2"/>
        <v>92208</v>
      </c>
      <c r="G458" s="7">
        <f t="shared" si="3"/>
        <v>7623</v>
      </c>
      <c r="H458" s="7" t="str">
        <f t="shared" si="4"/>
        <v>D</v>
      </c>
      <c r="I458" s="7" t="str">
        <f t="shared" si="5"/>
        <v>Transformative change</v>
      </c>
      <c r="J458" s="7" t="str">
        <f t="shared" si="6"/>
        <v>Low</v>
      </c>
      <c r="K458" s="7">
        <f t="shared" si="7"/>
        <v>2926122</v>
      </c>
      <c r="L458" s="7">
        <f t="shared" si="8"/>
        <v>1382477.395</v>
      </c>
    </row>
    <row r="459">
      <c r="A459" s="5" t="s">
        <v>1264</v>
      </c>
      <c r="B459" s="5" t="s">
        <v>1265</v>
      </c>
      <c r="C459" s="5" t="s">
        <v>74</v>
      </c>
      <c r="D459" s="6">
        <v>24582.0</v>
      </c>
      <c r="E459" s="7">
        <f t="shared" si="1"/>
        <v>2</v>
      </c>
      <c r="F459" s="7">
        <f t="shared" si="2"/>
        <v>58695</v>
      </c>
      <c r="G459" s="7">
        <f t="shared" si="3"/>
        <v>2350</v>
      </c>
      <c r="H459" s="7" t="str">
        <f t="shared" si="4"/>
        <v>E</v>
      </c>
      <c r="I459" s="7" t="str">
        <f t="shared" si="5"/>
        <v>Transformative change</v>
      </c>
      <c r="J459" s="7" t="str">
        <f t="shared" si="6"/>
        <v>High</v>
      </c>
      <c r="K459" s="7">
        <f t="shared" si="7"/>
        <v>707929</v>
      </c>
      <c r="L459" s="7">
        <f t="shared" si="8"/>
        <v>284538.0765</v>
      </c>
    </row>
    <row r="460">
      <c r="A460" s="5" t="s">
        <v>1266</v>
      </c>
      <c r="B460" s="5" t="s">
        <v>1267</v>
      </c>
      <c r="C460" s="5" t="s">
        <v>74</v>
      </c>
      <c r="D460" s="6">
        <v>7169.0</v>
      </c>
      <c r="E460" s="7">
        <f t="shared" si="1"/>
        <v>2</v>
      </c>
      <c r="F460" s="7">
        <f t="shared" si="2"/>
        <v>96633</v>
      </c>
      <c r="G460" s="7">
        <f t="shared" si="3"/>
        <v>53086</v>
      </c>
      <c r="H460" s="7" t="str">
        <f t="shared" si="4"/>
        <v>C</v>
      </c>
      <c r="I460" s="7" t="str">
        <f t="shared" si="5"/>
        <v>Transformative change</v>
      </c>
      <c r="J460" s="7" t="str">
        <f t="shared" si="6"/>
        <v>Low</v>
      </c>
      <c r="K460" s="7">
        <f t="shared" si="7"/>
        <v>3611133</v>
      </c>
      <c r="L460" s="7">
        <f t="shared" si="8"/>
        <v>1698060.528</v>
      </c>
    </row>
    <row r="461">
      <c r="A461" s="5" t="s">
        <v>1268</v>
      </c>
      <c r="B461" s="5" t="s">
        <v>1269</v>
      </c>
      <c r="C461" s="5" t="s">
        <v>1270</v>
      </c>
      <c r="D461" s="6">
        <v>9052.0</v>
      </c>
      <c r="E461" s="7">
        <f t="shared" si="1"/>
        <v>1</v>
      </c>
      <c r="F461" s="7">
        <f t="shared" si="2"/>
        <v>22988</v>
      </c>
      <c r="G461" s="7">
        <f t="shared" si="3"/>
        <v>46411</v>
      </c>
      <c r="H461" s="7" t="str">
        <f t="shared" si="4"/>
        <v>D</v>
      </c>
      <c r="I461" s="7" t="str">
        <f t="shared" si="5"/>
        <v>High ambition</v>
      </c>
      <c r="J461" s="7" t="str">
        <f t="shared" si="6"/>
        <v>High</v>
      </c>
      <c r="K461" s="7">
        <f t="shared" si="7"/>
        <v>3417285</v>
      </c>
      <c r="L461" s="7">
        <f t="shared" si="8"/>
        <v>1840947.526</v>
      </c>
    </row>
    <row r="462">
      <c r="A462" s="5" t="s">
        <v>1271</v>
      </c>
      <c r="B462" s="5" t="s">
        <v>1272</v>
      </c>
      <c r="C462" s="5" t="s">
        <v>1273</v>
      </c>
      <c r="D462" s="6">
        <v>8289.0</v>
      </c>
      <c r="E462" s="7">
        <f t="shared" si="1"/>
        <v>3</v>
      </c>
      <c r="F462" s="7">
        <f t="shared" si="2"/>
        <v>85088</v>
      </c>
      <c r="G462" s="7">
        <f t="shared" si="3"/>
        <v>65344</v>
      </c>
      <c r="H462" s="7" t="str">
        <f t="shared" si="4"/>
        <v>A</v>
      </c>
      <c r="I462" s="7" t="str">
        <f t="shared" si="5"/>
        <v>Transformative change</v>
      </c>
      <c r="J462" s="7" t="str">
        <f t="shared" si="6"/>
        <v>Medium</v>
      </c>
      <c r="K462" s="7">
        <f t="shared" si="7"/>
        <v>2104452</v>
      </c>
      <c r="L462" s="7">
        <f t="shared" si="8"/>
        <v>1548708.53</v>
      </c>
    </row>
    <row r="463">
      <c r="A463" s="5" t="s">
        <v>1274</v>
      </c>
      <c r="B463" s="5" t="s">
        <v>1275</v>
      </c>
      <c r="C463" s="5" t="s">
        <v>74</v>
      </c>
      <c r="D463" s="6">
        <v>12674.0</v>
      </c>
      <c r="E463" s="7">
        <f t="shared" si="1"/>
        <v>3</v>
      </c>
      <c r="F463" s="7">
        <f t="shared" si="2"/>
        <v>78327</v>
      </c>
      <c r="G463" s="7">
        <f t="shared" si="3"/>
        <v>46789</v>
      </c>
      <c r="H463" s="7" t="str">
        <f t="shared" si="4"/>
        <v>B</v>
      </c>
      <c r="I463" s="7" t="str">
        <f t="shared" si="5"/>
        <v>High ambition</v>
      </c>
      <c r="J463" s="7" t="str">
        <f t="shared" si="6"/>
        <v>High</v>
      </c>
      <c r="K463" s="7">
        <f t="shared" si="7"/>
        <v>2846417</v>
      </c>
      <c r="L463" s="7">
        <f t="shared" si="8"/>
        <v>288179.8407</v>
      </c>
    </row>
    <row r="464">
      <c r="A464" s="5" t="s">
        <v>663</v>
      </c>
      <c r="B464" s="5" t="s">
        <v>1276</v>
      </c>
      <c r="C464" s="5" t="s">
        <v>1277</v>
      </c>
      <c r="D464" s="6">
        <v>19759.0</v>
      </c>
      <c r="E464" s="7">
        <f t="shared" si="1"/>
        <v>2</v>
      </c>
      <c r="F464" s="7">
        <f t="shared" si="2"/>
        <v>89438</v>
      </c>
      <c r="G464" s="7">
        <f t="shared" si="3"/>
        <v>25408</v>
      </c>
      <c r="H464" s="7" t="str">
        <f t="shared" si="4"/>
        <v>F</v>
      </c>
      <c r="I464" s="7" t="str">
        <f t="shared" si="5"/>
        <v>Transformative change</v>
      </c>
      <c r="J464" s="7" t="str">
        <f t="shared" si="6"/>
        <v>High</v>
      </c>
      <c r="K464" s="7">
        <f t="shared" si="7"/>
        <v>1181310</v>
      </c>
      <c r="L464" s="7">
        <f t="shared" si="8"/>
        <v>298173.3895</v>
      </c>
    </row>
    <row r="465">
      <c r="A465" s="5" t="s">
        <v>1278</v>
      </c>
      <c r="B465" s="5" t="s">
        <v>931</v>
      </c>
      <c r="C465" s="5" t="s">
        <v>1279</v>
      </c>
      <c r="D465" s="6">
        <v>8746.0</v>
      </c>
      <c r="E465" s="7">
        <f t="shared" si="1"/>
        <v>2</v>
      </c>
      <c r="F465" s="7">
        <f t="shared" si="2"/>
        <v>46651</v>
      </c>
      <c r="G465" s="7">
        <f t="shared" si="3"/>
        <v>39206</v>
      </c>
      <c r="H465" s="7" t="str">
        <f t="shared" si="4"/>
        <v>F</v>
      </c>
      <c r="I465" s="7" t="str">
        <f t="shared" si="5"/>
        <v>Transformative change</v>
      </c>
      <c r="J465" s="7" t="str">
        <f t="shared" si="6"/>
        <v>Medium</v>
      </c>
      <c r="K465" s="7">
        <f t="shared" si="7"/>
        <v>2662012</v>
      </c>
      <c r="L465" s="7">
        <f t="shared" si="8"/>
        <v>2002990.035</v>
      </c>
    </row>
    <row r="466">
      <c r="A466" s="5" t="s">
        <v>1280</v>
      </c>
      <c r="B466" s="5" t="s">
        <v>1281</v>
      </c>
      <c r="C466" s="5" t="s">
        <v>1282</v>
      </c>
      <c r="D466" s="6">
        <v>61543.0</v>
      </c>
      <c r="E466" s="7">
        <f t="shared" si="1"/>
        <v>3</v>
      </c>
      <c r="F466" s="7">
        <f t="shared" si="2"/>
        <v>84615</v>
      </c>
      <c r="G466" s="7">
        <f t="shared" si="3"/>
        <v>1761</v>
      </c>
      <c r="H466" s="7" t="str">
        <f t="shared" si="4"/>
        <v>B</v>
      </c>
      <c r="I466" s="7" t="str">
        <f t="shared" si="5"/>
        <v>Transformative change</v>
      </c>
      <c r="J466" s="7" t="str">
        <f t="shared" si="6"/>
        <v>Medium</v>
      </c>
      <c r="K466" s="7">
        <f t="shared" si="7"/>
        <v>3210685</v>
      </c>
      <c r="L466" s="7">
        <f t="shared" si="8"/>
        <v>327182.9075</v>
      </c>
    </row>
    <row r="467">
      <c r="A467" s="5" t="s">
        <v>1283</v>
      </c>
      <c r="B467" s="5" t="s">
        <v>1284</v>
      </c>
      <c r="C467" s="5" t="s">
        <v>1148</v>
      </c>
      <c r="D467" s="6">
        <v>16008.0</v>
      </c>
      <c r="E467" s="7">
        <f t="shared" si="1"/>
        <v>4</v>
      </c>
      <c r="F467" s="7">
        <f t="shared" si="2"/>
        <v>32404</v>
      </c>
      <c r="G467" s="7">
        <f t="shared" si="3"/>
        <v>14292</v>
      </c>
      <c r="H467" s="7" t="str">
        <f t="shared" si="4"/>
        <v>E</v>
      </c>
      <c r="I467" s="7" t="str">
        <f t="shared" si="5"/>
        <v>Transformative change</v>
      </c>
      <c r="J467" s="7" t="str">
        <f t="shared" si="6"/>
        <v>High</v>
      </c>
      <c r="K467" s="7">
        <f t="shared" si="7"/>
        <v>69752</v>
      </c>
      <c r="L467" s="7">
        <f t="shared" si="8"/>
        <v>37131.37915</v>
      </c>
    </row>
    <row r="468">
      <c r="A468" s="5" t="s">
        <v>1285</v>
      </c>
      <c r="B468" s="5" t="s">
        <v>1286</v>
      </c>
      <c r="C468" s="5" t="s">
        <v>1287</v>
      </c>
      <c r="D468" s="6">
        <v>271828.0</v>
      </c>
      <c r="E468" s="7">
        <f t="shared" si="1"/>
        <v>2</v>
      </c>
      <c r="F468" s="7">
        <f t="shared" si="2"/>
        <v>81498</v>
      </c>
      <c r="G468" s="7">
        <f t="shared" si="3"/>
        <v>15914</v>
      </c>
      <c r="H468" s="7" t="str">
        <f t="shared" si="4"/>
        <v>E</v>
      </c>
      <c r="I468" s="7" t="str">
        <f t="shared" si="5"/>
        <v>High ambition</v>
      </c>
      <c r="J468" s="7" t="str">
        <f t="shared" si="6"/>
        <v>High</v>
      </c>
      <c r="K468" s="7">
        <f t="shared" si="7"/>
        <v>3231703</v>
      </c>
      <c r="L468" s="7">
        <f t="shared" si="8"/>
        <v>85321.91397</v>
      </c>
    </row>
    <row r="469">
      <c r="A469" s="5" t="s">
        <v>1288</v>
      </c>
      <c r="B469" s="5" t="s">
        <v>1289</v>
      </c>
      <c r="C469" s="5" t="s">
        <v>1290</v>
      </c>
      <c r="D469" s="6">
        <v>16445.0</v>
      </c>
      <c r="E469" s="7">
        <f t="shared" si="1"/>
        <v>2</v>
      </c>
      <c r="F469" s="7">
        <f t="shared" si="2"/>
        <v>11047</v>
      </c>
      <c r="G469" s="7">
        <f t="shared" si="3"/>
        <v>4876</v>
      </c>
      <c r="H469" s="7" t="str">
        <f t="shared" si="4"/>
        <v>F</v>
      </c>
      <c r="I469" s="7" t="str">
        <f t="shared" si="5"/>
        <v>High ambition</v>
      </c>
      <c r="J469" s="7" t="str">
        <f t="shared" si="6"/>
        <v>Medium</v>
      </c>
      <c r="K469" s="7">
        <f t="shared" si="7"/>
        <v>2380024</v>
      </c>
      <c r="L469" s="7">
        <f t="shared" si="8"/>
        <v>573167.1988</v>
      </c>
    </row>
    <row r="470">
      <c r="A470" s="5" t="s">
        <v>835</v>
      </c>
      <c r="B470" s="5" t="s">
        <v>1291</v>
      </c>
      <c r="C470" s="5" t="s">
        <v>1292</v>
      </c>
      <c r="D470" s="6">
        <v>13125.0</v>
      </c>
      <c r="E470" s="7">
        <f t="shared" si="1"/>
        <v>5</v>
      </c>
      <c r="F470" s="7">
        <f t="shared" si="2"/>
        <v>56316</v>
      </c>
      <c r="G470" s="7">
        <f t="shared" si="3"/>
        <v>27426</v>
      </c>
      <c r="H470" s="7" t="str">
        <f t="shared" si="4"/>
        <v>F</v>
      </c>
      <c r="I470" s="7" t="str">
        <f t="shared" si="5"/>
        <v>Transformative change</v>
      </c>
      <c r="J470" s="7" t="str">
        <f t="shared" si="6"/>
        <v>High</v>
      </c>
      <c r="K470" s="7">
        <f t="shared" si="7"/>
        <v>3763644</v>
      </c>
      <c r="L470" s="7">
        <f t="shared" si="8"/>
        <v>969778.2435</v>
      </c>
    </row>
    <row r="471">
      <c r="A471" s="5" t="s">
        <v>1293</v>
      </c>
      <c r="B471" s="5" t="s">
        <v>1294</v>
      </c>
      <c r="C471" s="5" t="s">
        <v>1295</v>
      </c>
      <c r="D471" s="6">
        <v>317778.0</v>
      </c>
      <c r="E471" s="7">
        <f t="shared" si="1"/>
        <v>4</v>
      </c>
      <c r="F471" s="7">
        <f t="shared" si="2"/>
        <v>62613</v>
      </c>
      <c r="G471" s="7">
        <f t="shared" si="3"/>
        <v>9988</v>
      </c>
      <c r="H471" s="7" t="str">
        <f t="shared" si="4"/>
        <v>C</v>
      </c>
      <c r="I471" s="7" t="str">
        <f t="shared" si="5"/>
        <v>Transformative change</v>
      </c>
      <c r="J471" s="7" t="str">
        <f t="shared" si="6"/>
        <v>High</v>
      </c>
      <c r="K471" s="7">
        <f t="shared" si="7"/>
        <v>2937207</v>
      </c>
      <c r="L471" s="7">
        <f t="shared" si="8"/>
        <v>998292.0234</v>
      </c>
    </row>
    <row r="472">
      <c r="A472" s="5" t="s">
        <v>434</v>
      </c>
      <c r="B472" s="5" t="s">
        <v>1296</v>
      </c>
      <c r="C472" s="5" t="s">
        <v>1297</v>
      </c>
      <c r="D472" s="6">
        <v>7501.0</v>
      </c>
      <c r="E472" s="7">
        <f t="shared" si="1"/>
        <v>4</v>
      </c>
      <c r="F472" s="7">
        <f t="shared" si="2"/>
        <v>59600</v>
      </c>
      <c r="G472" s="7">
        <f t="shared" si="3"/>
        <v>24505</v>
      </c>
      <c r="H472" s="7" t="str">
        <f t="shared" si="4"/>
        <v>B</v>
      </c>
      <c r="I472" s="7" t="str">
        <f t="shared" si="5"/>
        <v>Transformative change</v>
      </c>
      <c r="J472" s="7" t="str">
        <f t="shared" si="6"/>
        <v>Medium</v>
      </c>
      <c r="K472" s="7">
        <f t="shared" si="7"/>
        <v>1849527</v>
      </c>
      <c r="L472" s="7">
        <f t="shared" si="8"/>
        <v>215971.5137</v>
      </c>
    </row>
    <row r="473">
      <c r="A473" s="5" t="s">
        <v>296</v>
      </c>
      <c r="B473" s="5" t="s">
        <v>1298</v>
      </c>
      <c r="C473" s="5" t="s">
        <v>1299</v>
      </c>
      <c r="D473" s="6">
        <v>5838.0</v>
      </c>
      <c r="E473" s="7">
        <f t="shared" si="1"/>
        <v>5</v>
      </c>
      <c r="F473" s="7">
        <f t="shared" si="2"/>
        <v>25300</v>
      </c>
      <c r="G473" s="7">
        <f t="shared" si="3"/>
        <v>3751</v>
      </c>
      <c r="H473" s="7" t="str">
        <f t="shared" si="4"/>
        <v>F</v>
      </c>
      <c r="I473" s="7" t="str">
        <f t="shared" si="5"/>
        <v>Transformative change</v>
      </c>
      <c r="J473" s="7" t="str">
        <f t="shared" si="6"/>
        <v>High</v>
      </c>
      <c r="K473" s="7">
        <f t="shared" si="7"/>
        <v>1552569</v>
      </c>
      <c r="L473" s="7">
        <f t="shared" si="8"/>
        <v>1359032.838</v>
      </c>
    </row>
    <row r="474">
      <c r="A474" s="5" t="s">
        <v>1300</v>
      </c>
      <c r="B474" s="5" t="s">
        <v>1234</v>
      </c>
      <c r="C474" s="5" t="s">
        <v>1301</v>
      </c>
      <c r="D474" s="6">
        <v>16667.0</v>
      </c>
      <c r="E474" s="7">
        <f t="shared" si="1"/>
        <v>2</v>
      </c>
      <c r="F474" s="7">
        <f t="shared" si="2"/>
        <v>63672</v>
      </c>
      <c r="G474" s="7">
        <f t="shared" si="3"/>
        <v>22432</v>
      </c>
      <c r="H474" s="7" t="str">
        <f t="shared" si="4"/>
        <v>E</v>
      </c>
      <c r="I474" s="7" t="str">
        <f t="shared" si="5"/>
        <v>High ambition</v>
      </c>
      <c r="J474" s="7" t="str">
        <f t="shared" si="6"/>
        <v>Low</v>
      </c>
      <c r="K474" s="7">
        <f t="shared" si="7"/>
        <v>1793301</v>
      </c>
      <c r="L474" s="7">
        <f t="shared" si="8"/>
        <v>1583677.258</v>
      </c>
    </row>
    <row r="475">
      <c r="A475" s="5" t="s">
        <v>1302</v>
      </c>
      <c r="B475" s="5" t="s">
        <v>1303</v>
      </c>
      <c r="C475" s="5" t="s">
        <v>1304</v>
      </c>
      <c r="D475" s="6">
        <v>82527.0</v>
      </c>
      <c r="E475" s="7">
        <f t="shared" si="1"/>
        <v>3</v>
      </c>
      <c r="F475" s="7">
        <f t="shared" si="2"/>
        <v>88106</v>
      </c>
      <c r="G475" s="7">
        <f t="shared" si="3"/>
        <v>53456</v>
      </c>
      <c r="H475" s="7" t="str">
        <f t="shared" si="4"/>
        <v>C</v>
      </c>
      <c r="I475" s="7" t="str">
        <f t="shared" si="5"/>
        <v>Transformative change</v>
      </c>
      <c r="J475" s="7" t="str">
        <f t="shared" si="6"/>
        <v>Medium</v>
      </c>
      <c r="K475" s="7">
        <f t="shared" si="7"/>
        <v>140750</v>
      </c>
      <c r="L475" s="7">
        <f t="shared" si="8"/>
        <v>129245.3966</v>
      </c>
    </row>
    <row r="476">
      <c r="A476" s="5" t="s">
        <v>1305</v>
      </c>
      <c r="B476" s="5" t="s">
        <v>1306</v>
      </c>
      <c r="C476" s="5" t="s">
        <v>1307</v>
      </c>
      <c r="D476" s="6">
        <v>7692.0</v>
      </c>
      <c r="E476" s="7">
        <f t="shared" si="1"/>
        <v>4</v>
      </c>
      <c r="F476" s="7">
        <f t="shared" si="2"/>
        <v>87670</v>
      </c>
      <c r="G476" s="7">
        <f t="shared" si="3"/>
        <v>49684</v>
      </c>
      <c r="H476" s="7" t="str">
        <f t="shared" si="4"/>
        <v>E</v>
      </c>
      <c r="I476" s="7" t="str">
        <f t="shared" si="5"/>
        <v>Transformative change</v>
      </c>
      <c r="J476" s="7" t="str">
        <f t="shared" si="6"/>
        <v>High</v>
      </c>
      <c r="K476" s="7">
        <f t="shared" si="7"/>
        <v>130625</v>
      </c>
      <c r="L476" s="7">
        <f t="shared" si="8"/>
        <v>56560.85746</v>
      </c>
    </row>
    <row r="477">
      <c r="A477" s="5" t="s">
        <v>1308</v>
      </c>
      <c r="B477" s="5" t="s">
        <v>1309</v>
      </c>
      <c r="C477" s="5" t="s">
        <v>1310</v>
      </c>
      <c r="D477" s="6">
        <v>8147.0</v>
      </c>
      <c r="E477" s="7">
        <f t="shared" si="1"/>
        <v>2</v>
      </c>
      <c r="F477" s="7">
        <f t="shared" si="2"/>
        <v>19496</v>
      </c>
      <c r="G477" s="7">
        <f t="shared" si="3"/>
        <v>53393</v>
      </c>
      <c r="H477" s="7" t="str">
        <f t="shared" si="4"/>
        <v>C</v>
      </c>
      <c r="I477" s="7" t="str">
        <f t="shared" si="5"/>
        <v>Transformative change</v>
      </c>
      <c r="J477" s="7" t="str">
        <f t="shared" si="6"/>
        <v>High</v>
      </c>
      <c r="K477" s="7">
        <f t="shared" si="7"/>
        <v>3259833</v>
      </c>
      <c r="L477" s="7">
        <f t="shared" si="8"/>
        <v>83792.94489</v>
      </c>
    </row>
    <row r="478">
      <c r="A478" s="5" t="s">
        <v>1311</v>
      </c>
      <c r="B478" s="5" t="s">
        <v>1312</v>
      </c>
      <c r="C478" s="5" t="s">
        <v>74</v>
      </c>
      <c r="D478" s="6">
        <v>7035.0</v>
      </c>
      <c r="E478" s="7">
        <f t="shared" si="1"/>
        <v>3</v>
      </c>
      <c r="F478" s="7">
        <f t="shared" si="2"/>
        <v>61115</v>
      </c>
      <c r="G478" s="7">
        <f t="shared" si="3"/>
        <v>12848</v>
      </c>
      <c r="H478" s="7" t="str">
        <f t="shared" si="4"/>
        <v>F</v>
      </c>
      <c r="I478" s="7" t="str">
        <f t="shared" si="5"/>
        <v>High ambition</v>
      </c>
      <c r="J478" s="7" t="str">
        <f t="shared" si="6"/>
        <v>Medium</v>
      </c>
      <c r="K478" s="7">
        <f t="shared" si="7"/>
        <v>253239</v>
      </c>
      <c r="L478" s="7">
        <f t="shared" si="8"/>
        <v>37431.45688</v>
      </c>
    </row>
    <row r="479">
      <c r="A479" s="5" t="s">
        <v>1313</v>
      </c>
      <c r="B479" s="5" t="s">
        <v>410</v>
      </c>
      <c r="C479" s="5" t="s">
        <v>1314</v>
      </c>
      <c r="D479" s="6">
        <v>16799.0</v>
      </c>
      <c r="E479" s="7">
        <f t="shared" si="1"/>
        <v>3</v>
      </c>
      <c r="F479" s="7">
        <f t="shared" si="2"/>
        <v>21121</v>
      </c>
      <c r="G479" s="7">
        <f t="shared" si="3"/>
        <v>19087</v>
      </c>
      <c r="H479" s="7" t="str">
        <f t="shared" si="4"/>
        <v>D</v>
      </c>
      <c r="I479" s="7" t="str">
        <f t="shared" si="5"/>
        <v>Transformative change</v>
      </c>
      <c r="J479" s="7" t="str">
        <f t="shared" si="6"/>
        <v>Medium</v>
      </c>
      <c r="K479" s="7">
        <f t="shared" si="7"/>
        <v>1775019</v>
      </c>
      <c r="L479" s="7">
        <f t="shared" si="8"/>
        <v>392561.1463</v>
      </c>
    </row>
    <row r="480">
      <c r="A480" s="5" t="s">
        <v>1315</v>
      </c>
      <c r="B480" s="5" t="s">
        <v>1316</v>
      </c>
      <c r="C480" s="5" t="s">
        <v>1317</v>
      </c>
      <c r="D480" s="6">
        <v>10922.0</v>
      </c>
      <c r="E480" s="7">
        <f t="shared" si="1"/>
        <v>5</v>
      </c>
      <c r="F480" s="7">
        <f t="shared" si="2"/>
        <v>63015</v>
      </c>
      <c r="G480" s="7">
        <f t="shared" si="3"/>
        <v>34259</v>
      </c>
      <c r="H480" s="7" t="str">
        <f t="shared" si="4"/>
        <v>A</v>
      </c>
      <c r="I480" s="7" t="str">
        <f t="shared" si="5"/>
        <v>High ambition</v>
      </c>
      <c r="J480" s="7" t="str">
        <f t="shared" si="6"/>
        <v>High</v>
      </c>
      <c r="K480" s="7">
        <f t="shared" si="7"/>
        <v>3226934</v>
      </c>
      <c r="L480" s="7">
        <f t="shared" si="8"/>
        <v>1908944.974</v>
      </c>
    </row>
    <row r="481">
      <c r="A481" s="5" t="s">
        <v>1318</v>
      </c>
      <c r="B481" s="5" t="s">
        <v>1319</v>
      </c>
      <c r="C481" s="5" t="s">
        <v>1320</v>
      </c>
      <c r="D481" s="6">
        <v>15337.0</v>
      </c>
      <c r="E481" s="7">
        <f t="shared" si="1"/>
        <v>4</v>
      </c>
      <c r="F481" s="7">
        <f t="shared" si="2"/>
        <v>21559</v>
      </c>
      <c r="G481" s="7">
        <f t="shared" si="3"/>
        <v>61324</v>
      </c>
      <c r="H481" s="7" t="str">
        <f t="shared" si="4"/>
        <v>E</v>
      </c>
      <c r="I481" s="7" t="str">
        <f t="shared" si="5"/>
        <v>Transformative change</v>
      </c>
      <c r="J481" s="7" t="str">
        <f t="shared" si="6"/>
        <v>Medium</v>
      </c>
      <c r="K481" s="7">
        <f t="shared" si="7"/>
        <v>1025890</v>
      </c>
      <c r="L481" s="7">
        <f t="shared" si="8"/>
        <v>1020178.437</v>
      </c>
    </row>
    <row r="482">
      <c r="A482" s="5" t="s">
        <v>1321</v>
      </c>
      <c r="B482" s="5" t="s">
        <v>1322</v>
      </c>
      <c r="C482" s="5" t="s">
        <v>1323</v>
      </c>
      <c r="D482" s="6">
        <v>5357.0</v>
      </c>
      <c r="E482" s="7">
        <f t="shared" si="1"/>
        <v>3</v>
      </c>
      <c r="F482" s="7">
        <f t="shared" si="2"/>
        <v>5514</v>
      </c>
      <c r="G482" s="7">
        <f t="shared" si="3"/>
        <v>22890</v>
      </c>
      <c r="H482" s="7" t="str">
        <f t="shared" si="4"/>
        <v>A</v>
      </c>
      <c r="I482" s="7" t="str">
        <f t="shared" si="5"/>
        <v>Transformative change</v>
      </c>
      <c r="J482" s="7" t="str">
        <f t="shared" si="6"/>
        <v>High</v>
      </c>
      <c r="K482" s="7">
        <f t="shared" si="7"/>
        <v>543110</v>
      </c>
      <c r="L482" s="7">
        <f t="shared" si="8"/>
        <v>248825.5025</v>
      </c>
    </row>
    <row r="483">
      <c r="A483" s="5" t="s">
        <v>1324</v>
      </c>
      <c r="B483" s="5" t="s">
        <v>1325</v>
      </c>
      <c r="C483" s="5" t="s">
        <v>1326</v>
      </c>
      <c r="D483" s="6">
        <v>19536.0</v>
      </c>
      <c r="E483" s="7">
        <f t="shared" si="1"/>
        <v>5</v>
      </c>
      <c r="F483" s="7">
        <f t="shared" si="2"/>
        <v>7108</v>
      </c>
      <c r="G483" s="7">
        <f t="shared" si="3"/>
        <v>80203</v>
      </c>
      <c r="H483" s="7" t="str">
        <f t="shared" si="4"/>
        <v>B</v>
      </c>
      <c r="I483" s="7" t="str">
        <f t="shared" si="5"/>
        <v>Transformative change</v>
      </c>
      <c r="J483" s="7" t="str">
        <f t="shared" si="6"/>
        <v>Low</v>
      </c>
      <c r="K483" s="7">
        <f t="shared" si="7"/>
        <v>437269</v>
      </c>
      <c r="L483" s="7">
        <f t="shared" si="8"/>
        <v>359039.2652</v>
      </c>
    </row>
    <row r="484">
      <c r="A484" s="5" t="s">
        <v>1327</v>
      </c>
      <c r="B484" s="5" t="s">
        <v>1328</v>
      </c>
      <c r="C484" s="5" t="s">
        <v>1329</v>
      </c>
      <c r="D484" s="6">
        <v>59418.0</v>
      </c>
      <c r="E484" s="7">
        <f t="shared" si="1"/>
        <v>3</v>
      </c>
      <c r="F484" s="7">
        <f t="shared" si="2"/>
        <v>85071</v>
      </c>
      <c r="G484" s="7">
        <f t="shared" si="3"/>
        <v>52205</v>
      </c>
      <c r="H484" s="7" t="str">
        <f t="shared" si="4"/>
        <v>C</v>
      </c>
      <c r="I484" s="7" t="str">
        <f t="shared" si="5"/>
        <v>Transformative change</v>
      </c>
      <c r="J484" s="7" t="str">
        <f t="shared" si="6"/>
        <v>High</v>
      </c>
      <c r="K484" s="7">
        <f t="shared" si="7"/>
        <v>2463937</v>
      </c>
      <c r="L484" s="7">
        <f t="shared" si="8"/>
        <v>709606.1232</v>
      </c>
    </row>
    <row r="485">
      <c r="A485" s="5" t="s">
        <v>1330</v>
      </c>
      <c r="B485" s="5" t="s">
        <v>1331</v>
      </c>
      <c r="C485" s="5" t="s">
        <v>74</v>
      </c>
      <c r="D485" s="6">
        <v>19598.0</v>
      </c>
      <c r="E485" s="7">
        <f t="shared" si="1"/>
        <v>4</v>
      </c>
      <c r="F485" s="7">
        <f t="shared" si="2"/>
        <v>66614</v>
      </c>
      <c r="G485" s="7">
        <f t="shared" si="3"/>
        <v>21693</v>
      </c>
      <c r="H485" s="7" t="str">
        <f t="shared" si="4"/>
        <v>G</v>
      </c>
      <c r="I485" s="7" t="str">
        <f t="shared" si="5"/>
        <v>Transformative change</v>
      </c>
      <c r="J485" s="7" t="str">
        <f t="shared" si="6"/>
        <v>Medium</v>
      </c>
      <c r="K485" s="7">
        <f t="shared" si="7"/>
        <v>1793670</v>
      </c>
      <c r="L485" s="7">
        <f t="shared" si="8"/>
        <v>1258162.691</v>
      </c>
    </row>
    <row r="486">
      <c r="A486" s="5" t="s">
        <v>1332</v>
      </c>
      <c r="B486" s="5" t="s">
        <v>1333</v>
      </c>
      <c r="C486" s="5" t="s">
        <v>1334</v>
      </c>
      <c r="D486" s="6">
        <v>5871.0</v>
      </c>
      <c r="E486" s="7">
        <f t="shared" si="1"/>
        <v>4</v>
      </c>
      <c r="F486" s="7">
        <f t="shared" si="2"/>
        <v>90182</v>
      </c>
      <c r="G486" s="7">
        <f t="shared" si="3"/>
        <v>47628</v>
      </c>
      <c r="H486" s="7" t="str">
        <f t="shared" si="4"/>
        <v>G</v>
      </c>
      <c r="I486" s="7" t="str">
        <f t="shared" si="5"/>
        <v>Transformative change</v>
      </c>
      <c r="J486" s="7" t="str">
        <f t="shared" si="6"/>
        <v>Low</v>
      </c>
      <c r="K486" s="7">
        <f t="shared" si="7"/>
        <v>981097</v>
      </c>
      <c r="L486" s="7">
        <f t="shared" si="8"/>
        <v>445748.3751</v>
      </c>
    </row>
    <row r="487">
      <c r="A487" s="5" t="s">
        <v>1335</v>
      </c>
      <c r="B487" s="5" t="s">
        <v>1336</v>
      </c>
      <c r="C487" s="5" t="s">
        <v>74</v>
      </c>
      <c r="D487" s="6">
        <v>8190.0</v>
      </c>
      <c r="E487" s="7">
        <f t="shared" si="1"/>
        <v>5</v>
      </c>
      <c r="F487" s="7">
        <f t="shared" si="2"/>
        <v>3337</v>
      </c>
      <c r="G487" s="7">
        <f t="shared" si="3"/>
        <v>63171</v>
      </c>
      <c r="H487" s="7" t="str">
        <f t="shared" si="4"/>
        <v>A</v>
      </c>
      <c r="I487" s="7" t="str">
        <f t="shared" si="5"/>
        <v>Transformative change</v>
      </c>
      <c r="J487" s="7" t="str">
        <f t="shared" si="6"/>
        <v>Medium</v>
      </c>
      <c r="K487" s="7">
        <f t="shared" si="7"/>
        <v>637343</v>
      </c>
      <c r="L487" s="7">
        <f t="shared" si="8"/>
        <v>139591.6711</v>
      </c>
    </row>
    <row r="488">
      <c r="A488" s="5" t="s">
        <v>1337</v>
      </c>
      <c r="B488" s="5" t="s">
        <v>1338</v>
      </c>
      <c r="C488" s="5" t="s">
        <v>1339</v>
      </c>
      <c r="D488" s="6">
        <v>11180.0</v>
      </c>
      <c r="E488" s="7">
        <f t="shared" si="1"/>
        <v>4</v>
      </c>
      <c r="F488" s="7">
        <f t="shared" si="2"/>
        <v>64643</v>
      </c>
      <c r="G488" s="7">
        <f t="shared" si="3"/>
        <v>2385</v>
      </c>
      <c r="H488" s="7" t="str">
        <f t="shared" si="4"/>
        <v>E</v>
      </c>
      <c r="I488" s="7" t="str">
        <f t="shared" si="5"/>
        <v>Transformative change</v>
      </c>
      <c r="J488" s="7" t="str">
        <f t="shared" si="6"/>
        <v>High</v>
      </c>
      <c r="K488" s="7">
        <f t="shared" si="7"/>
        <v>48132</v>
      </c>
      <c r="L488" s="7">
        <f t="shared" si="8"/>
        <v>44231.20447</v>
      </c>
    </row>
    <row r="489">
      <c r="A489" s="5" t="s">
        <v>1340</v>
      </c>
      <c r="B489" s="5" t="s">
        <v>1341</v>
      </c>
      <c r="C489" s="5" t="s">
        <v>74</v>
      </c>
      <c r="D489" s="6">
        <v>19622.0</v>
      </c>
      <c r="E489" s="7">
        <f t="shared" si="1"/>
        <v>4</v>
      </c>
      <c r="F489" s="7">
        <f t="shared" si="2"/>
        <v>32860</v>
      </c>
      <c r="G489" s="7">
        <f t="shared" si="3"/>
        <v>31993</v>
      </c>
      <c r="H489" s="7" t="str">
        <f t="shared" si="4"/>
        <v>C</v>
      </c>
      <c r="I489" s="7" t="str">
        <f t="shared" si="5"/>
        <v>Transformative change</v>
      </c>
      <c r="J489" s="7" t="str">
        <f t="shared" si="6"/>
        <v>High</v>
      </c>
      <c r="K489" s="7">
        <f t="shared" si="7"/>
        <v>2369917</v>
      </c>
      <c r="L489" s="7">
        <f t="shared" si="8"/>
        <v>1466084.646</v>
      </c>
    </row>
    <row r="490">
      <c r="A490" s="5" t="s">
        <v>1342</v>
      </c>
      <c r="B490" s="5" t="s">
        <v>1343</v>
      </c>
      <c r="C490" s="5" t="s">
        <v>1344</v>
      </c>
      <c r="D490" s="6">
        <v>9021.0</v>
      </c>
      <c r="E490" s="7">
        <f t="shared" si="1"/>
        <v>2</v>
      </c>
      <c r="F490" s="7">
        <f t="shared" si="2"/>
        <v>23353</v>
      </c>
      <c r="G490" s="7">
        <f t="shared" si="3"/>
        <v>58013</v>
      </c>
      <c r="H490" s="7" t="str">
        <f t="shared" si="4"/>
        <v>A</v>
      </c>
      <c r="I490" s="7" t="str">
        <f t="shared" si="5"/>
        <v>Transformative change</v>
      </c>
      <c r="J490" s="7" t="str">
        <f t="shared" si="6"/>
        <v>Medium</v>
      </c>
      <c r="K490" s="7">
        <f t="shared" si="7"/>
        <v>226376</v>
      </c>
      <c r="L490" s="7">
        <f t="shared" si="8"/>
        <v>58292.1746</v>
      </c>
    </row>
    <row r="491">
      <c r="A491" s="5" t="s">
        <v>1345</v>
      </c>
      <c r="B491" s="5" t="s">
        <v>1346</v>
      </c>
      <c r="C491" s="5" t="s">
        <v>1347</v>
      </c>
      <c r="D491" s="6">
        <v>375458.0</v>
      </c>
      <c r="E491" s="7">
        <f t="shared" si="1"/>
        <v>3</v>
      </c>
      <c r="F491" s="7">
        <f t="shared" si="2"/>
        <v>68027</v>
      </c>
      <c r="G491" s="7">
        <f t="shared" si="3"/>
        <v>12158</v>
      </c>
      <c r="H491" s="7" t="str">
        <f t="shared" si="4"/>
        <v>A</v>
      </c>
      <c r="I491" s="7" t="str">
        <f t="shared" si="5"/>
        <v>Transformative change</v>
      </c>
      <c r="J491" s="7" t="str">
        <f t="shared" si="6"/>
        <v>Medium</v>
      </c>
      <c r="K491" s="7">
        <f t="shared" si="7"/>
        <v>1677627</v>
      </c>
      <c r="L491" s="7">
        <f t="shared" si="8"/>
        <v>677568.5829</v>
      </c>
    </row>
    <row r="492">
      <c r="A492" s="5" t="s">
        <v>1348</v>
      </c>
      <c r="B492" s="5" t="s">
        <v>1349</v>
      </c>
      <c r="C492" s="5" t="s">
        <v>884</v>
      </c>
      <c r="D492" s="6">
        <v>82336.0</v>
      </c>
      <c r="E492" s="7">
        <f t="shared" si="1"/>
        <v>2</v>
      </c>
      <c r="F492" s="7">
        <f t="shared" si="2"/>
        <v>43652</v>
      </c>
      <c r="G492" s="7">
        <f t="shared" si="3"/>
        <v>28354</v>
      </c>
      <c r="H492" s="7" t="str">
        <f t="shared" si="4"/>
        <v>F</v>
      </c>
      <c r="I492" s="7" t="str">
        <f t="shared" si="5"/>
        <v>High ambition</v>
      </c>
      <c r="J492" s="7" t="str">
        <f t="shared" si="6"/>
        <v>High</v>
      </c>
      <c r="K492" s="7">
        <f t="shared" si="7"/>
        <v>3084489</v>
      </c>
      <c r="L492" s="7">
        <f t="shared" si="8"/>
        <v>1401305.406</v>
      </c>
    </row>
    <row r="493">
      <c r="A493" s="5" t="s">
        <v>1350</v>
      </c>
      <c r="B493" s="5" t="s">
        <v>1351</v>
      </c>
      <c r="C493" s="5" t="s">
        <v>1352</v>
      </c>
      <c r="D493" s="6">
        <v>9169.0</v>
      </c>
      <c r="E493" s="7">
        <f t="shared" si="1"/>
        <v>4</v>
      </c>
      <c r="F493" s="7">
        <f t="shared" si="2"/>
        <v>89937</v>
      </c>
      <c r="G493" s="7">
        <f t="shared" si="3"/>
        <v>58305</v>
      </c>
      <c r="H493" s="7" t="str">
        <f t="shared" si="4"/>
        <v>A</v>
      </c>
      <c r="I493" s="7" t="str">
        <f t="shared" si="5"/>
        <v>Transformative change</v>
      </c>
      <c r="J493" s="7" t="str">
        <f t="shared" si="6"/>
        <v>Medium</v>
      </c>
      <c r="K493" s="7">
        <f t="shared" si="7"/>
        <v>2500149</v>
      </c>
      <c r="L493" s="7">
        <f t="shared" si="8"/>
        <v>2386069.571</v>
      </c>
    </row>
    <row r="494">
      <c r="A494" s="5" t="s">
        <v>1353</v>
      </c>
      <c r="B494" s="5" t="s">
        <v>1354</v>
      </c>
      <c r="C494" s="5" t="s">
        <v>1355</v>
      </c>
      <c r="D494" s="6">
        <v>15479.0</v>
      </c>
      <c r="E494" s="7">
        <f t="shared" si="1"/>
        <v>2</v>
      </c>
      <c r="F494" s="7">
        <f t="shared" si="2"/>
        <v>95196</v>
      </c>
      <c r="G494" s="7">
        <f t="shared" si="3"/>
        <v>94584</v>
      </c>
      <c r="H494" s="7" t="str">
        <f t="shared" si="4"/>
        <v>A</v>
      </c>
      <c r="I494" s="7" t="str">
        <f t="shared" si="5"/>
        <v>Transformative change</v>
      </c>
      <c r="J494" s="7" t="str">
        <f t="shared" si="6"/>
        <v>High</v>
      </c>
      <c r="K494" s="7">
        <f t="shared" si="7"/>
        <v>1691576</v>
      </c>
      <c r="L494" s="7">
        <f t="shared" si="8"/>
        <v>1635344.78</v>
      </c>
    </row>
    <row r="495">
      <c r="A495" s="5" t="s">
        <v>1356</v>
      </c>
      <c r="B495" s="5" t="s">
        <v>1357</v>
      </c>
      <c r="C495" s="5" t="s">
        <v>1358</v>
      </c>
      <c r="D495" s="6">
        <v>251125.0</v>
      </c>
      <c r="E495" s="7">
        <f t="shared" si="1"/>
        <v>2</v>
      </c>
      <c r="F495" s="7">
        <f t="shared" si="2"/>
        <v>85958</v>
      </c>
      <c r="G495" s="7">
        <f t="shared" si="3"/>
        <v>78828</v>
      </c>
      <c r="H495" s="7" t="str">
        <f t="shared" si="4"/>
        <v>G</v>
      </c>
      <c r="I495" s="7" t="str">
        <f t="shared" si="5"/>
        <v>High ambition</v>
      </c>
      <c r="J495" s="7" t="str">
        <f t="shared" si="6"/>
        <v>High</v>
      </c>
      <c r="K495" s="7">
        <f t="shared" si="7"/>
        <v>1323013</v>
      </c>
      <c r="L495" s="7">
        <f t="shared" si="8"/>
        <v>876097.0639</v>
      </c>
    </row>
    <row r="496">
      <c r="A496" s="5" t="s">
        <v>1359</v>
      </c>
      <c r="B496" s="5" t="s">
        <v>1360</v>
      </c>
      <c r="C496" s="5" t="s">
        <v>1361</v>
      </c>
      <c r="D496" s="6">
        <v>447956.0</v>
      </c>
      <c r="E496" s="7">
        <f t="shared" si="1"/>
        <v>5</v>
      </c>
      <c r="F496" s="7">
        <f t="shared" si="2"/>
        <v>49378</v>
      </c>
      <c r="G496" s="7">
        <f t="shared" si="3"/>
        <v>29458</v>
      </c>
      <c r="H496" s="7" t="str">
        <f t="shared" si="4"/>
        <v>G</v>
      </c>
      <c r="I496" s="7" t="str">
        <f t="shared" si="5"/>
        <v>Transformative change</v>
      </c>
      <c r="J496" s="7" t="str">
        <f t="shared" si="6"/>
        <v>High</v>
      </c>
      <c r="K496" s="7">
        <f t="shared" si="7"/>
        <v>2743910</v>
      </c>
      <c r="L496" s="7">
        <f t="shared" si="8"/>
        <v>1534346.722</v>
      </c>
    </row>
    <row r="497">
      <c r="A497" s="5" t="s">
        <v>1362</v>
      </c>
      <c r="B497" s="5" t="s">
        <v>1363</v>
      </c>
      <c r="C497" s="5" t="s">
        <v>1364</v>
      </c>
      <c r="D497" s="6">
        <v>18006.0</v>
      </c>
      <c r="E497" s="7">
        <f t="shared" si="1"/>
        <v>2</v>
      </c>
      <c r="F497" s="7">
        <f t="shared" si="2"/>
        <v>93796</v>
      </c>
      <c r="G497" s="7">
        <f t="shared" si="3"/>
        <v>3893</v>
      </c>
      <c r="H497" s="7" t="str">
        <f t="shared" si="4"/>
        <v>D</v>
      </c>
      <c r="I497" s="7" t="str">
        <f t="shared" si="5"/>
        <v>High ambition</v>
      </c>
      <c r="J497" s="7" t="str">
        <f t="shared" si="6"/>
        <v>Medium</v>
      </c>
      <c r="K497" s="7">
        <f t="shared" si="7"/>
        <v>3093623</v>
      </c>
      <c r="L497" s="7">
        <f t="shared" si="8"/>
        <v>272855.1139</v>
      </c>
    </row>
    <row r="498">
      <c r="A498" s="5" t="s">
        <v>1365</v>
      </c>
      <c r="B498" s="5" t="s">
        <v>1366</v>
      </c>
      <c r="C498" s="5" t="s">
        <v>74</v>
      </c>
      <c r="D498" s="6">
        <v>14980.0</v>
      </c>
      <c r="E498" s="7">
        <f t="shared" si="1"/>
        <v>1</v>
      </c>
      <c r="F498" s="7">
        <f t="shared" si="2"/>
        <v>15289</v>
      </c>
      <c r="G498" s="7">
        <f t="shared" si="3"/>
        <v>69013</v>
      </c>
      <c r="H498" s="7" t="str">
        <f t="shared" si="4"/>
        <v>C</v>
      </c>
      <c r="I498" s="7" t="str">
        <f t="shared" si="5"/>
        <v>Transformative change</v>
      </c>
      <c r="J498" s="7" t="str">
        <f t="shared" si="6"/>
        <v>Medium</v>
      </c>
      <c r="K498" s="7">
        <f t="shared" si="7"/>
        <v>3105240</v>
      </c>
      <c r="L498" s="7">
        <f t="shared" si="8"/>
        <v>1261584.824</v>
      </c>
    </row>
    <row r="499">
      <c r="A499" s="5" t="s">
        <v>1367</v>
      </c>
      <c r="B499" s="5" t="s">
        <v>1368</v>
      </c>
      <c r="C499" s="5" t="s">
        <v>1369</v>
      </c>
      <c r="D499" s="6">
        <v>7118.0</v>
      </c>
      <c r="E499" s="7">
        <f t="shared" si="1"/>
        <v>4</v>
      </c>
      <c r="F499" s="7">
        <f t="shared" si="2"/>
        <v>8592</v>
      </c>
      <c r="G499" s="7">
        <f t="shared" si="3"/>
        <v>77203</v>
      </c>
      <c r="H499" s="7" t="str">
        <f t="shared" si="4"/>
        <v>G</v>
      </c>
      <c r="I499" s="7" t="str">
        <f t="shared" si="5"/>
        <v>Transformative change</v>
      </c>
      <c r="J499" s="7" t="str">
        <f t="shared" si="6"/>
        <v>Low</v>
      </c>
      <c r="K499" s="7">
        <f t="shared" si="7"/>
        <v>460861</v>
      </c>
      <c r="L499" s="7">
        <f t="shared" si="8"/>
        <v>293849.063</v>
      </c>
    </row>
    <row r="500">
      <c r="A500" s="5" t="s">
        <v>1370</v>
      </c>
      <c r="B500" s="5" t="s">
        <v>1371</v>
      </c>
      <c r="C500" s="5" t="s">
        <v>1372</v>
      </c>
      <c r="D500" s="6">
        <v>7291.0</v>
      </c>
      <c r="E500" s="7">
        <f t="shared" si="1"/>
        <v>2</v>
      </c>
      <c r="F500" s="7">
        <f t="shared" si="2"/>
        <v>71206</v>
      </c>
      <c r="G500" s="7">
        <f t="shared" si="3"/>
        <v>11701</v>
      </c>
      <c r="H500" s="7" t="str">
        <f t="shared" si="4"/>
        <v>A</v>
      </c>
      <c r="I500" s="7" t="str">
        <f t="shared" si="5"/>
        <v>Transformative change</v>
      </c>
      <c r="J500" s="7" t="str">
        <f t="shared" si="6"/>
        <v>High</v>
      </c>
      <c r="K500" s="7">
        <f t="shared" si="7"/>
        <v>1940694</v>
      </c>
      <c r="L500" s="7">
        <f t="shared" si="8"/>
        <v>1874820.42</v>
      </c>
    </row>
    <row r="501">
      <c r="A501" s="5" t="s">
        <v>1373</v>
      </c>
      <c r="B501" s="5" t="s">
        <v>1374</v>
      </c>
      <c r="C501" s="5" t="s">
        <v>74</v>
      </c>
      <c r="D501" s="6">
        <v>87736.0</v>
      </c>
      <c r="E501" s="7">
        <f t="shared" si="1"/>
        <v>1</v>
      </c>
      <c r="F501" s="7">
        <f t="shared" si="2"/>
        <v>84069</v>
      </c>
      <c r="G501" s="7">
        <f t="shared" si="3"/>
        <v>48259</v>
      </c>
      <c r="H501" s="7" t="str">
        <f t="shared" si="4"/>
        <v>G</v>
      </c>
      <c r="I501" s="7" t="str">
        <f t="shared" si="5"/>
        <v>High ambition</v>
      </c>
      <c r="J501" s="7" t="str">
        <f t="shared" si="6"/>
        <v>High</v>
      </c>
      <c r="K501" s="7">
        <f t="shared" si="7"/>
        <v>1478292</v>
      </c>
      <c r="L501" s="7">
        <f t="shared" si="8"/>
        <v>377388.9761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22.71"/>
    <col customWidth="1" min="3" max="3" width="58.57"/>
    <col customWidth="1" min="4" max="6" width="22.71"/>
    <col customWidth="1" min="8" max="8" width="16.86"/>
    <col customWidth="1" min="11" max="11" width="26.0"/>
  </cols>
  <sheetData>
    <row r="1">
      <c r="A1" s="1" t="s">
        <v>0</v>
      </c>
      <c r="B1" s="1" t="s">
        <v>1</v>
      </c>
      <c r="C1" s="1" t="s">
        <v>1375</v>
      </c>
      <c r="D1" s="2" t="s">
        <v>3</v>
      </c>
      <c r="E1" s="2" t="s">
        <v>7</v>
      </c>
      <c r="F1" s="2" t="s">
        <v>8</v>
      </c>
      <c r="G1" s="2" t="s">
        <v>9</v>
      </c>
      <c r="H1" s="3" t="s">
        <v>10</v>
      </c>
      <c r="I1" s="3" t="s">
        <v>11</v>
      </c>
      <c r="J1" s="3" t="s">
        <v>1376</v>
      </c>
      <c r="K1" s="3" t="s">
        <v>1377</v>
      </c>
    </row>
    <row r="2">
      <c r="A2" s="5" t="s">
        <v>12</v>
      </c>
      <c r="B2" s="5" t="s">
        <v>13</v>
      </c>
      <c r="C2" s="5" t="s">
        <v>14</v>
      </c>
      <c r="D2" s="6">
        <v>17100.0</v>
      </c>
      <c r="E2" s="7" t="str">
        <f t="shared" ref="E2:E501" si="1">CHOOSE(RANDBETWEEN(1,7),"A","B","C","D","E","F","G")</f>
        <v>F</v>
      </c>
      <c r="F2" s="7" t="str">
        <f t="shared" ref="F2:F501" si="2">CHOOSE(RANDBETWEEN(1,6),"Transformative change","High ambition","Transformative change","Transformative change","Transformative change","Transformative change")</f>
        <v>High ambition</v>
      </c>
      <c r="G2" s="7" t="str">
        <f t="shared" ref="G2:G501" si="3">CHOOSE(RANDBETWEEN(1,3),"Low","Medium","High")</f>
        <v>High</v>
      </c>
      <c r="H2" s="7">
        <f t="shared" ref="H2:H501" si="4">RANDBETWEEN(40000,4000000)</f>
        <v>1518315</v>
      </c>
      <c r="I2" s="7">
        <f t="shared" ref="I2:I501" si="5">H2*RAND()</f>
        <v>737987.0001</v>
      </c>
      <c r="J2" s="7">
        <f t="shared" ref="J2:J501" si="6">D2*RANDBETWEEN(4,15)</f>
        <v>68400</v>
      </c>
      <c r="K2" s="7">
        <f t="shared" ref="K2:K19" si="7">IF(POWER(RAND(),5)*J2&lt;2231,2231,POWER(RAND(),5)*J2)</f>
        <v>903.9045624</v>
      </c>
    </row>
    <row r="3">
      <c r="A3" s="5" t="s">
        <v>15</v>
      </c>
      <c r="B3" s="5" t="s">
        <v>16</v>
      </c>
      <c r="C3" s="5" t="s">
        <v>17</v>
      </c>
      <c r="D3" s="6">
        <v>89592.0</v>
      </c>
      <c r="E3" s="7" t="str">
        <f t="shared" si="1"/>
        <v>F</v>
      </c>
      <c r="F3" s="7" t="str">
        <f t="shared" si="2"/>
        <v>Transformative change</v>
      </c>
      <c r="G3" s="7" t="str">
        <f t="shared" si="3"/>
        <v>High</v>
      </c>
      <c r="H3" s="7">
        <f t="shared" si="4"/>
        <v>795579</v>
      </c>
      <c r="I3" s="7">
        <f t="shared" si="5"/>
        <v>368522.5957</v>
      </c>
      <c r="J3" s="7">
        <f t="shared" si="6"/>
        <v>1254288</v>
      </c>
      <c r="K3" s="7">
        <f t="shared" si="7"/>
        <v>2231</v>
      </c>
    </row>
    <row r="4">
      <c r="A4" s="5" t="s">
        <v>18</v>
      </c>
      <c r="B4" s="5" t="s">
        <v>19</v>
      </c>
      <c r="C4" s="5" t="s">
        <v>20</v>
      </c>
      <c r="D4" s="6">
        <v>23688.0</v>
      </c>
      <c r="E4" s="7" t="str">
        <f t="shared" si="1"/>
        <v>A</v>
      </c>
      <c r="F4" s="7" t="str">
        <f t="shared" si="2"/>
        <v>Transformative change</v>
      </c>
      <c r="G4" s="7" t="str">
        <f t="shared" si="3"/>
        <v>Low</v>
      </c>
      <c r="H4" s="7">
        <f t="shared" si="4"/>
        <v>2576264</v>
      </c>
      <c r="I4" s="7">
        <f t="shared" si="5"/>
        <v>1589252.835</v>
      </c>
      <c r="J4" s="7">
        <f t="shared" si="6"/>
        <v>260568</v>
      </c>
      <c r="K4" s="7">
        <f t="shared" si="7"/>
        <v>105.2631152</v>
      </c>
    </row>
    <row r="5">
      <c r="A5" s="5" t="s">
        <v>21</v>
      </c>
      <c r="B5" s="5" t="s">
        <v>22</v>
      </c>
      <c r="C5" s="5" t="s">
        <v>23</v>
      </c>
      <c r="D5" s="6">
        <v>707515.0</v>
      </c>
      <c r="E5" s="7" t="str">
        <f t="shared" si="1"/>
        <v>D</v>
      </c>
      <c r="F5" s="7" t="str">
        <f t="shared" si="2"/>
        <v>Transformative change</v>
      </c>
      <c r="G5" s="7" t="str">
        <f t="shared" si="3"/>
        <v>High</v>
      </c>
      <c r="H5" s="7">
        <f t="shared" si="4"/>
        <v>2348796</v>
      </c>
      <c r="I5" s="7">
        <f t="shared" si="5"/>
        <v>237249.4086</v>
      </c>
      <c r="J5" s="7">
        <f t="shared" si="6"/>
        <v>3537575</v>
      </c>
      <c r="K5" s="7">
        <f t="shared" si="7"/>
        <v>227048.3057</v>
      </c>
    </row>
    <row r="6">
      <c r="A6" s="5" t="s">
        <v>24</v>
      </c>
      <c r="B6" s="5" t="s">
        <v>25</v>
      </c>
      <c r="C6" s="5" t="s">
        <v>26</v>
      </c>
      <c r="D6" s="6">
        <v>8954.0</v>
      </c>
      <c r="E6" s="7" t="str">
        <f t="shared" si="1"/>
        <v>B</v>
      </c>
      <c r="F6" s="7" t="str">
        <f t="shared" si="2"/>
        <v>High ambition</v>
      </c>
      <c r="G6" s="7" t="str">
        <f t="shared" si="3"/>
        <v>Medium</v>
      </c>
      <c r="H6" s="7">
        <f t="shared" si="4"/>
        <v>3831201</v>
      </c>
      <c r="I6" s="7">
        <f t="shared" si="5"/>
        <v>944875.3242</v>
      </c>
      <c r="J6" s="7">
        <f t="shared" si="6"/>
        <v>71632</v>
      </c>
      <c r="K6" s="7">
        <f t="shared" si="7"/>
        <v>2231</v>
      </c>
    </row>
    <row r="7">
      <c r="A7" s="5" t="s">
        <v>27</v>
      </c>
      <c r="B7" s="5" t="s">
        <v>28</v>
      </c>
      <c r="C7" s="5" t="s">
        <v>29</v>
      </c>
      <c r="D7" s="6">
        <v>77325.0</v>
      </c>
      <c r="E7" s="7" t="str">
        <f t="shared" si="1"/>
        <v>G</v>
      </c>
      <c r="F7" s="7" t="str">
        <f t="shared" si="2"/>
        <v>Transformative change</v>
      </c>
      <c r="G7" s="7" t="str">
        <f t="shared" si="3"/>
        <v>Low</v>
      </c>
      <c r="H7" s="7">
        <f t="shared" si="4"/>
        <v>3843421</v>
      </c>
      <c r="I7" s="7">
        <f t="shared" si="5"/>
        <v>355099.2866</v>
      </c>
      <c r="J7" s="7">
        <f t="shared" si="6"/>
        <v>850575</v>
      </c>
      <c r="K7" s="7">
        <f t="shared" si="7"/>
        <v>2231</v>
      </c>
    </row>
    <row r="8">
      <c r="A8" s="5" t="s">
        <v>30</v>
      </c>
      <c r="B8" s="5" t="s">
        <v>31</v>
      </c>
      <c r="C8" s="5" t="s">
        <v>32</v>
      </c>
      <c r="D8" s="6">
        <v>19336.0</v>
      </c>
      <c r="E8" s="7" t="str">
        <f t="shared" si="1"/>
        <v>E</v>
      </c>
      <c r="F8" s="7" t="str">
        <f t="shared" si="2"/>
        <v>High ambition</v>
      </c>
      <c r="G8" s="7" t="str">
        <f t="shared" si="3"/>
        <v>High</v>
      </c>
      <c r="H8" s="7">
        <f t="shared" si="4"/>
        <v>2536686</v>
      </c>
      <c r="I8" s="7">
        <f t="shared" si="5"/>
        <v>2309849.34</v>
      </c>
      <c r="J8" s="7">
        <f t="shared" si="6"/>
        <v>174024</v>
      </c>
      <c r="K8" s="7">
        <f t="shared" si="7"/>
        <v>4265.030052</v>
      </c>
    </row>
    <row r="9">
      <c r="A9" s="5" t="s">
        <v>33</v>
      </c>
      <c r="B9" s="5" t="s">
        <v>34</v>
      </c>
      <c r="C9" s="5" t="s">
        <v>35</v>
      </c>
      <c r="D9" s="6">
        <v>234404.0</v>
      </c>
      <c r="E9" s="7" t="str">
        <f t="shared" si="1"/>
        <v>D</v>
      </c>
      <c r="F9" s="7" t="str">
        <f t="shared" si="2"/>
        <v>Transformative change</v>
      </c>
      <c r="G9" s="7" t="str">
        <f t="shared" si="3"/>
        <v>Medium</v>
      </c>
      <c r="H9" s="7">
        <f t="shared" si="4"/>
        <v>2872904</v>
      </c>
      <c r="I9" s="7">
        <f t="shared" si="5"/>
        <v>2688253.766</v>
      </c>
      <c r="J9" s="7">
        <f t="shared" si="6"/>
        <v>1406424</v>
      </c>
      <c r="K9" s="7">
        <f t="shared" si="7"/>
        <v>8024.172261</v>
      </c>
    </row>
    <row r="10">
      <c r="A10" s="5" t="s">
        <v>36</v>
      </c>
      <c r="B10" s="5" t="s">
        <v>37</v>
      </c>
      <c r="C10" s="5" t="s">
        <v>38</v>
      </c>
      <c r="D10" s="6">
        <v>14081.0</v>
      </c>
      <c r="E10" s="7" t="str">
        <f t="shared" si="1"/>
        <v>B</v>
      </c>
      <c r="F10" s="7" t="str">
        <f t="shared" si="2"/>
        <v>Transformative change</v>
      </c>
      <c r="G10" s="7" t="str">
        <f t="shared" si="3"/>
        <v>High</v>
      </c>
      <c r="H10" s="7">
        <f t="shared" si="4"/>
        <v>1819667</v>
      </c>
      <c r="I10" s="7">
        <f t="shared" si="5"/>
        <v>167198.0306</v>
      </c>
      <c r="J10" s="7">
        <f t="shared" si="6"/>
        <v>70405</v>
      </c>
      <c r="K10" s="7">
        <f t="shared" si="7"/>
        <v>2231</v>
      </c>
    </row>
    <row r="11">
      <c r="A11" s="5" t="s">
        <v>39</v>
      </c>
      <c r="B11" s="5" t="s">
        <v>40</v>
      </c>
      <c r="C11" s="5" t="s">
        <v>41</v>
      </c>
      <c r="D11" s="6">
        <v>14001.0</v>
      </c>
      <c r="E11" s="7" t="str">
        <f t="shared" si="1"/>
        <v>B</v>
      </c>
      <c r="F11" s="7" t="str">
        <f t="shared" si="2"/>
        <v>Transformative change</v>
      </c>
      <c r="G11" s="7" t="str">
        <f t="shared" si="3"/>
        <v>High</v>
      </c>
      <c r="H11" s="7">
        <f t="shared" si="4"/>
        <v>1676358</v>
      </c>
      <c r="I11" s="7">
        <f t="shared" si="5"/>
        <v>423964.952</v>
      </c>
      <c r="J11" s="7">
        <f t="shared" si="6"/>
        <v>196014</v>
      </c>
      <c r="K11" s="7">
        <f t="shared" si="7"/>
        <v>4791.410408</v>
      </c>
    </row>
    <row r="12">
      <c r="A12" s="5" t="s">
        <v>42</v>
      </c>
      <c r="B12" s="5" t="s">
        <v>43</v>
      </c>
      <c r="C12" s="5" t="s">
        <v>44</v>
      </c>
      <c r="D12" s="6">
        <v>12157.0</v>
      </c>
      <c r="E12" s="7" t="str">
        <f t="shared" si="1"/>
        <v>E</v>
      </c>
      <c r="F12" s="7" t="str">
        <f t="shared" si="2"/>
        <v>Transformative change</v>
      </c>
      <c r="G12" s="7" t="str">
        <f t="shared" si="3"/>
        <v>Low</v>
      </c>
      <c r="H12" s="7">
        <f t="shared" si="4"/>
        <v>3072320</v>
      </c>
      <c r="I12" s="7">
        <f t="shared" si="5"/>
        <v>1232525.237</v>
      </c>
      <c r="J12" s="7">
        <f t="shared" si="6"/>
        <v>158041</v>
      </c>
      <c r="K12" s="7">
        <f t="shared" si="7"/>
        <v>2231</v>
      </c>
    </row>
    <row r="13">
      <c r="A13" s="5" t="s">
        <v>45</v>
      </c>
      <c r="B13" s="5" t="s">
        <v>46</v>
      </c>
      <c r="C13" s="5" t="s">
        <v>47</v>
      </c>
      <c r="D13" s="6">
        <v>7259.0</v>
      </c>
      <c r="E13" s="7" t="str">
        <f t="shared" si="1"/>
        <v>D</v>
      </c>
      <c r="F13" s="7" t="str">
        <f t="shared" si="2"/>
        <v>Transformative change</v>
      </c>
      <c r="G13" s="7" t="str">
        <f t="shared" si="3"/>
        <v>High</v>
      </c>
      <c r="H13" s="7">
        <f t="shared" si="4"/>
        <v>1680815</v>
      </c>
      <c r="I13" s="7">
        <f t="shared" si="5"/>
        <v>251628.8433</v>
      </c>
      <c r="J13" s="7">
        <f t="shared" si="6"/>
        <v>101626</v>
      </c>
      <c r="K13" s="7">
        <f t="shared" si="7"/>
        <v>2231</v>
      </c>
    </row>
    <row r="14">
      <c r="A14" s="5" t="s">
        <v>48</v>
      </c>
      <c r="B14" s="5" t="s">
        <v>49</v>
      </c>
      <c r="C14" s="5" t="s">
        <v>50</v>
      </c>
      <c r="D14" s="6">
        <v>15765.0</v>
      </c>
      <c r="E14" s="7" t="str">
        <f t="shared" si="1"/>
        <v>C</v>
      </c>
      <c r="F14" s="7" t="str">
        <f t="shared" si="2"/>
        <v>Transformative change</v>
      </c>
      <c r="G14" s="7" t="str">
        <f t="shared" si="3"/>
        <v>Low</v>
      </c>
      <c r="H14" s="7">
        <f t="shared" si="4"/>
        <v>3407003</v>
      </c>
      <c r="I14" s="7">
        <f t="shared" si="5"/>
        <v>418397.5938</v>
      </c>
      <c r="J14" s="7">
        <f t="shared" si="6"/>
        <v>63060</v>
      </c>
      <c r="K14" s="7">
        <f t="shared" si="7"/>
        <v>189.0568827</v>
      </c>
    </row>
    <row r="15">
      <c r="A15" s="5" t="s">
        <v>51</v>
      </c>
      <c r="B15" s="5" t="s">
        <v>52</v>
      </c>
      <c r="C15" s="5" t="s">
        <v>53</v>
      </c>
      <c r="D15" s="6">
        <v>11233.0</v>
      </c>
      <c r="E15" s="7" t="str">
        <f t="shared" si="1"/>
        <v>D</v>
      </c>
      <c r="F15" s="7" t="str">
        <f t="shared" si="2"/>
        <v>Transformative change</v>
      </c>
      <c r="G15" s="7" t="str">
        <f t="shared" si="3"/>
        <v>Low</v>
      </c>
      <c r="H15" s="7">
        <f t="shared" si="4"/>
        <v>1992292</v>
      </c>
      <c r="I15" s="7">
        <f t="shared" si="5"/>
        <v>90714.16561</v>
      </c>
      <c r="J15" s="7">
        <f t="shared" si="6"/>
        <v>56165</v>
      </c>
      <c r="K15" s="7">
        <f t="shared" si="7"/>
        <v>2231</v>
      </c>
    </row>
    <row r="16">
      <c r="A16" s="5" t="s">
        <v>54</v>
      </c>
      <c r="B16" s="5" t="s">
        <v>55</v>
      </c>
      <c r="C16" s="5" t="s">
        <v>56</v>
      </c>
      <c r="D16" s="6">
        <v>5414.0</v>
      </c>
      <c r="E16" s="7" t="str">
        <f t="shared" si="1"/>
        <v>G</v>
      </c>
      <c r="F16" s="7" t="str">
        <f t="shared" si="2"/>
        <v>Transformative change</v>
      </c>
      <c r="G16" s="7" t="str">
        <f t="shared" si="3"/>
        <v>High</v>
      </c>
      <c r="H16" s="7">
        <f t="shared" si="4"/>
        <v>622122</v>
      </c>
      <c r="I16" s="7">
        <f t="shared" si="5"/>
        <v>282255.4402</v>
      </c>
      <c r="J16" s="7">
        <f t="shared" si="6"/>
        <v>48726</v>
      </c>
      <c r="K16" s="7">
        <f t="shared" si="7"/>
        <v>2231</v>
      </c>
    </row>
    <row r="17">
      <c r="A17" s="5" t="s">
        <v>57</v>
      </c>
      <c r="B17" s="5" t="s">
        <v>58</v>
      </c>
      <c r="C17" s="5" t="s">
        <v>59</v>
      </c>
      <c r="D17" s="6">
        <v>10706.0</v>
      </c>
      <c r="E17" s="7" t="str">
        <f t="shared" si="1"/>
        <v>D</v>
      </c>
      <c r="F17" s="7" t="str">
        <f t="shared" si="2"/>
        <v>Transformative change</v>
      </c>
      <c r="G17" s="7" t="str">
        <f t="shared" si="3"/>
        <v>Low</v>
      </c>
      <c r="H17" s="7">
        <f t="shared" si="4"/>
        <v>503297</v>
      </c>
      <c r="I17" s="7">
        <f t="shared" si="5"/>
        <v>159331.4475</v>
      </c>
      <c r="J17" s="7">
        <f t="shared" si="6"/>
        <v>107060</v>
      </c>
      <c r="K17" s="7">
        <f t="shared" si="7"/>
        <v>9.373368455</v>
      </c>
    </row>
    <row r="18">
      <c r="A18" s="5" t="s">
        <v>60</v>
      </c>
      <c r="B18" s="5" t="s">
        <v>61</v>
      </c>
      <c r="C18" s="5" t="s">
        <v>62</v>
      </c>
      <c r="D18" s="6">
        <v>8842.0</v>
      </c>
      <c r="E18" s="7" t="str">
        <f t="shared" si="1"/>
        <v>A</v>
      </c>
      <c r="F18" s="7" t="str">
        <f t="shared" si="2"/>
        <v>Transformative change</v>
      </c>
      <c r="G18" s="7" t="str">
        <f t="shared" si="3"/>
        <v>Medium</v>
      </c>
      <c r="H18" s="7">
        <f t="shared" si="4"/>
        <v>1277929</v>
      </c>
      <c r="I18" s="7">
        <f t="shared" si="5"/>
        <v>848373.0863</v>
      </c>
      <c r="J18" s="7">
        <f t="shared" si="6"/>
        <v>106104</v>
      </c>
      <c r="K18" s="7">
        <f t="shared" si="7"/>
        <v>55.24889294</v>
      </c>
    </row>
    <row r="19">
      <c r="A19" s="5" t="s">
        <v>63</v>
      </c>
      <c r="B19" s="5" t="s">
        <v>64</v>
      </c>
      <c r="C19" s="5" t="s">
        <v>65</v>
      </c>
      <c r="D19" s="6">
        <v>184035.0</v>
      </c>
      <c r="E19" s="7" t="str">
        <f t="shared" si="1"/>
        <v>F</v>
      </c>
      <c r="F19" s="7" t="str">
        <f t="shared" si="2"/>
        <v>Transformative change</v>
      </c>
      <c r="G19" s="7" t="str">
        <f t="shared" si="3"/>
        <v>Low</v>
      </c>
      <c r="H19" s="7">
        <f t="shared" si="4"/>
        <v>1253750</v>
      </c>
      <c r="I19" s="7">
        <f t="shared" si="5"/>
        <v>450060.4571</v>
      </c>
      <c r="J19" s="7">
        <f t="shared" si="6"/>
        <v>1656315</v>
      </c>
      <c r="K19" s="7">
        <f t="shared" si="7"/>
        <v>2231</v>
      </c>
    </row>
    <row r="20">
      <c r="A20" s="5" t="s">
        <v>66</v>
      </c>
      <c r="B20" s="5" t="s">
        <v>67</v>
      </c>
      <c r="C20" s="5" t="s">
        <v>68</v>
      </c>
      <c r="D20" s="6">
        <v>23265.0</v>
      </c>
      <c r="E20" s="7" t="str">
        <f t="shared" si="1"/>
        <v>B</v>
      </c>
      <c r="F20" s="7" t="str">
        <f t="shared" si="2"/>
        <v>Transformative change</v>
      </c>
      <c r="G20" s="7" t="str">
        <f t="shared" si="3"/>
        <v>High</v>
      </c>
      <c r="H20" s="7">
        <f t="shared" si="4"/>
        <v>1698726</v>
      </c>
      <c r="I20" s="7">
        <f t="shared" si="5"/>
        <v>475706.0075</v>
      </c>
      <c r="J20" s="7">
        <f t="shared" si="6"/>
        <v>139590</v>
      </c>
      <c r="K20" s="8">
        <v>2231.0</v>
      </c>
    </row>
    <row r="21">
      <c r="A21" s="5" t="s">
        <v>69</v>
      </c>
      <c r="B21" s="5" t="s">
        <v>70</v>
      </c>
      <c r="C21" s="5" t="s">
        <v>71</v>
      </c>
      <c r="D21" s="6">
        <v>346162.0</v>
      </c>
      <c r="E21" s="7" t="str">
        <f t="shared" si="1"/>
        <v>G</v>
      </c>
      <c r="F21" s="7" t="str">
        <f t="shared" si="2"/>
        <v>Transformative change</v>
      </c>
      <c r="G21" s="7" t="str">
        <f t="shared" si="3"/>
        <v>Low</v>
      </c>
      <c r="H21" s="7">
        <f t="shared" si="4"/>
        <v>3857872</v>
      </c>
      <c r="I21" s="7">
        <f t="shared" si="5"/>
        <v>1582163.913</v>
      </c>
      <c r="J21" s="7">
        <f t="shared" si="6"/>
        <v>3115458</v>
      </c>
      <c r="K21" s="7">
        <f>IF(POWER(RAND(),5)*J21&lt;2231,2231,POWER(RAND(),5)*J21)</f>
        <v>2231</v>
      </c>
    </row>
    <row r="22">
      <c r="A22" s="5" t="s">
        <v>72</v>
      </c>
      <c r="B22" s="5" t="s">
        <v>73</v>
      </c>
      <c r="C22" s="5" t="s">
        <v>74</v>
      </c>
      <c r="D22" s="6">
        <v>8699.0</v>
      </c>
      <c r="E22" s="7" t="str">
        <f t="shared" si="1"/>
        <v>F</v>
      </c>
      <c r="F22" s="7" t="str">
        <f t="shared" si="2"/>
        <v>Transformative change</v>
      </c>
      <c r="G22" s="7" t="str">
        <f t="shared" si="3"/>
        <v>High</v>
      </c>
      <c r="H22" s="7">
        <f t="shared" si="4"/>
        <v>1641687</v>
      </c>
      <c r="I22" s="7">
        <f t="shared" si="5"/>
        <v>384832.621</v>
      </c>
      <c r="J22" s="7">
        <f t="shared" si="6"/>
        <v>52194</v>
      </c>
      <c r="K22" s="8">
        <v>2231.0</v>
      </c>
    </row>
    <row r="23">
      <c r="A23" s="5" t="s">
        <v>75</v>
      </c>
      <c r="B23" s="5" t="s">
        <v>76</v>
      </c>
      <c r="C23" s="5" t="s">
        <v>77</v>
      </c>
      <c r="D23" s="6">
        <v>18346.0</v>
      </c>
      <c r="E23" s="7" t="str">
        <f t="shared" si="1"/>
        <v>G</v>
      </c>
      <c r="F23" s="7" t="str">
        <f t="shared" si="2"/>
        <v>High ambition</v>
      </c>
      <c r="G23" s="7" t="str">
        <f t="shared" si="3"/>
        <v>Medium</v>
      </c>
      <c r="H23" s="7">
        <f t="shared" si="4"/>
        <v>1071428</v>
      </c>
      <c r="I23" s="7">
        <f t="shared" si="5"/>
        <v>713993.243</v>
      </c>
      <c r="J23" s="7">
        <f t="shared" si="6"/>
        <v>146768</v>
      </c>
      <c r="K23" s="7">
        <f>IF(POWER(RAND(),5)*J23&lt;2231,2231,POWER(RAND(),5)*J23)</f>
        <v>48765.76852</v>
      </c>
    </row>
    <row r="24">
      <c r="A24" s="5" t="s">
        <v>78</v>
      </c>
      <c r="B24" s="5" t="s">
        <v>79</v>
      </c>
      <c r="C24" s="5" t="s">
        <v>74</v>
      </c>
      <c r="D24" s="6">
        <v>17503.0</v>
      </c>
      <c r="E24" s="7" t="str">
        <f t="shared" si="1"/>
        <v>B</v>
      </c>
      <c r="F24" s="7" t="str">
        <f t="shared" si="2"/>
        <v>Transformative change</v>
      </c>
      <c r="G24" s="7" t="str">
        <f t="shared" si="3"/>
        <v>Low</v>
      </c>
      <c r="H24" s="7">
        <f t="shared" si="4"/>
        <v>3162423</v>
      </c>
      <c r="I24" s="7">
        <f t="shared" si="5"/>
        <v>2309389.229</v>
      </c>
      <c r="J24" s="7">
        <f t="shared" si="6"/>
        <v>70012</v>
      </c>
      <c r="K24" s="8">
        <v>2231.0</v>
      </c>
    </row>
    <row r="25">
      <c r="A25" s="5" t="s">
        <v>80</v>
      </c>
      <c r="B25" s="5" t="s">
        <v>81</v>
      </c>
      <c r="C25" s="5" t="s">
        <v>82</v>
      </c>
      <c r="D25" s="6">
        <v>18902.0</v>
      </c>
      <c r="E25" s="7" t="str">
        <f t="shared" si="1"/>
        <v>B</v>
      </c>
      <c r="F25" s="7" t="str">
        <f t="shared" si="2"/>
        <v>High ambition</v>
      </c>
      <c r="G25" s="7" t="str">
        <f t="shared" si="3"/>
        <v>Low</v>
      </c>
      <c r="H25" s="7">
        <f t="shared" si="4"/>
        <v>321810</v>
      </c>
      <c r="I25" s="7">
        <f t="shared" si="5"/>
        <v>291121.1286</v>
      </c>
      <c r="J25" s="7">
        <f t="shared" si="6"/>
        <v>245726</v>
      </c>
      <c r="K25" s="8">
        <v>2231.0</v>
      </c>
    </row>
    <row r="26">
      <c r="A26" s="5" t="s">
        <v>83</v>
      </c>
      <c r="B26" s="5" t="s">
        <v>84</v>
      </c>
      <c r="C26" s="5" t="s">
        <v>85</v>
      </c>
      <c r="D26" s="6">
        <v>5670.0</v>
      </c>
      <c r="E26" s="7" t="str">
        <f t="shared" si="1"/>
        <v>B</v>
      </c>
      <c r="F26" s="7" t="str">
        <f t="shared" si="2"/>
        <v>Transformative change</v>
      </c>
      <c r="G26" s="7" t="str">
        <f t="shared" si="3"/>
        <v>Low</v>
      </c>
      <c r="H26" s="7">
        <f t="shared" si="4"/>
        <v>3223682</v>
      </c>
      <c r="I26" s="7">
        <f t="shared" si="5"/>
        <v>1142249.233</v>
      </c>
      <c r="J26" s="7">
        <f t="shared" si="6"/>
        <v>34020</v>
      </c>
      <c r="K26" s="8">
        <v>2231.0</v>
      </c>
    </row>
    <row r="27">
      <c r="A27" s="5" t="s">
        <v>86</v>
      </c>
      <c r="B27" s="5" t="s">
        <v>87</v>
      </c>
      <c r="C27" s="5" t="s">
        <v>88</v>
      </c>
      <c r="D27" s="6">
        <v>50696.0</v>
      </c>
      <c r="E27" s="7" t="str">
        <f t="shared" si="1"/>
        <v>B</v>
      </c>
      <c r="F27" s="7" t="str">
        <f t="shared" si="2"/>
        <v>High ambition</v>
      </c>
      <c r="G27" s="7" t="str">
        <f t="shared" si="3"/>
        <v>High</v>
      </c>
      <c r="H27" s="7">
        <f t="shared" si="4"/>
        <v>2377761</v>
      </c>
      <c r="I27" s="7">
        <f t="shared" si="5"/>
        <v>2263966.248</v>
      </c>
      <c r="J27" s="7">
        <f t="shared" si="6"/>
        <v>304176</v>
      </c>
      <c r="K27" s="7">
        <f t="shared" ref="K27:K501" si="8">IF(POWER(RAND(),5)*J27&lt;2231,2231,POWER(RAND(),5)*J27)</f>
        <v>2231</v>
      </c>
    </row>
    <row r="28">
      <c r="A28" s="5" t="s">
        <v>89</v>
      </c>
      <c r="B28" s="5" t="s">
        <v>90</v>
      </c>
      <c r="C28" s="5" t="s">
        <v>91</v>
      </c>
      <c r="D28" s="6">
        <v>16670.0</v>
      </c>
      <c r="E28" s="7" t="str">
        <f t="shared" si="1"/>
        <v>C</v>
      </c>
      <c r="F28" s="7" t="str">
        <f t="shared" si="2"/>
        <v>Transformative change</v>
      </c>
      <c r="G28" s="7" t="str">
        <f t="shared" si="3"/>
        <v>Medium</v>
      </c>
      <c r="H28" s="7">
        <f t="shared" si="4"/>
        <v>1915985</v>
      </c>
      <c r="I28" s="7">
        <f t="shared" si="5"/>
        <v>1366465.479</v>
      </c>
      <c r="J28" s="7">
        <f t="shared" si="6"/>
        <v>166700</v>
      </c>
      <c r="K28" s="7">
        <f t="shared" si="8"/>
        <v>2231</v>
      </c>
    </row>
    <row r="29">
      <c r="A29" s="5" t="s">
        <v>92</v>
      </c>
      <c r="B29" s="5" t="s">
        <v>93</v>
      </c>
      <c r="C29" s="5" t="s">
        <v>74</v>
      </c>
      <c r="D29" s="6">
        <v>6941.0</v>
      </c>
      <c r="E29" s="7" t="str">
        <f t="shared" si="1"/>
        <v>B</v>
      </c>
      <c r="F29" s="7" t="str">
        <f t="shared" si="2"/>
        <v>Transformative change</v>
      </c>
      <c r="G29" s="7" t="str">
        <f t="shared" si="3"/>
        <v>Medium</v>
      </c>
      <c r="H29" s="7">
        <f t="shared" si="4"/>
        <v>416151</v>
      </c>
      <c r="I29" s="7">
        <f t="shared" si="5"/>
        <v>398151.4211</v>
      </c>
      <c r="J29" s="7">
        <f t="shared" si="6"/>
        <v>76351</v>
      </c>
      <c r="K29" s="7">
        <f t="shared" si="8"/>
        <v>4615.699186</v>
      </c>
    </row>
    <row r="30">
      <c r="A30" s="5" t="s">
        <v>94</v>
      </c>
      <c r="B30" s="5" t="s">
        <v>95</v>
      </c>
      <c r="C30" s="5" t="s">
        <v>96</v>
      </c>
      <c r="D30" s="6">
        <v>108146.0</v>
      </c>
      <c r="E30" s="7" t="str">
        <f t="shared" si="1"/>
        <v>E</v>
      </c>
      <c r="F30" s="7" t="str">
        <f t="shared" si="2"/>
        <v>Transformative change</v>
      </c>
      <c r="G30" s="7" t="str">
        <f t="shared" si="3"/>
        <v>High</v>
      </c>
      <c r="H30" s="7">
        <f t="shared" si="4"/>
        <v>2947744</v>
      </c>
      <c r="I30" s="7">
        <f t="shared" si="5"/>
        <v>1728363.391</v>
      </c>
      <c r="J30" s="7">
        <f t="shared" si="6"/>
        <v>1622190</v>
      </c>
      <c r="K30" s="7">
        <f t="shared" si="8"/>
        <v>2231</v>
      </c>
    </row>
    <row r="31">
      <c r="A31" s="5" t="s">
        <v>97</v>
      </c>
      <c r="B31" s="5" t="s">
        <v>98</v>
      </c>
      <c r="C31" s="5" t="s">
        <v>99</v>
      </c>
      <c r="D31" s="6">
        <v>457645.0</v>
      </c>
      <c r="E31" s="7" t="str">
        <f t="shared" si="1"/>
        <v>A</v>
      </c>
      <c r="F31" s="7" t="str">
        <f t="shared" si="2"/>
        <v>Transformative change</v>
      </c>
      <c r="G31" s="7" t="str">
        <f t="shared" si="3"/>
        <v>Low</v>
      </c>
      <c r="H31" s="7">
        <f t="shared" si="4"/>
        <v>1630031</v>
      </c>
      <c r="I31" s="7">
        <f t="shared" si="5"/>
        <v>788075.6068</v>
      </c>
      <c r="J31" s="7">
        <f t="shared" si="6"/>
        <v>1830580</v>
      </c>
      <c r="K31" s="7">
        <f t="shared" si="8"/>
        <v>161229.7784</v>
      </c>
    </row>
    <row r="32">
      <c r="A32" s="5" t="s">
        <v>100</v>
      </c>
      <c r="B32" s="5" t="s">
        <v>101</v>
      </c>
      <c r="C32" s="5" t="s">
        <v>102</v>
      </c>
      <c r="D32" s="6">
        <v>19133.0</v>
      </c>
      <c r="E32" s="7" t="str">
        <f t="shared" si="1"/>
        <v>F</v>
      </c>
      <c r="F32" s="7" t="str">
        <f t="shared" si="2"/>
        <v>Transformative change</v>
      </c>
      <c r="G32" s="7" t="str">
        <f t="shared" si="3"/>
        <v>Medium</v>
      </c>
      <c r="H32" s="7">
        <f t="shared" si="4"/>
        <v>2077361</v>
      </c>
      <c r="I32" s="7">
        <f t="shared" si="5"/>
        <v>568228.4205</v>
      </c>
      <c r="J32" s="7">
        <f t="shared" si="6"/>
        <v>210463</v>
      </c>
      <c r="K32" s="7">
        <f t="shared" si="8"/>
        <v>2231</v>
      </c>
    </row>
    <row r="33">
      <c r="A33" s="5" t="s">
        <v>103</v>
      </c>
      <c r="B33" s="5" t="s">
        <v>104</v>
      </c>
      <c r="C33" s="5" t="s">
        <v>41</v>
      </c>
      <c r="D33" s="6">
        <v>261473.0</v>
      </c>
      <c r="E33" s="7" t="str">
        <f t="shared" si="1"/>
        <v>E</v>
      </c>
      <c r="F33" s="7" t="str">
        <f t="shared" si="2"/>
        <v>Transformative change</v>
      </c>
      <c r="G33" s="7" t="str">
        <f t="shared" si="3"/>
        <v>Low</v>
      </c>
      <c r="H33" s="7">
        <f t="shared" si="4"/>
        <v>3375291</v>
      </c>
      <c r="I33" s="7">
        <f t="shared" si="5"/>
        <v>27951.92366</v>
      </c>
      <c r="J33" s="7">
        <f t="shared" si="6"/>
        <v>3922095</v>
      </c>
      <c r="K33" s="7">
        <f t="shared" si="8"/>
        <v>650175.9169</v>
      </c>
    </row>
    <row r="34">
      <c r="A34" s="5" t="s">
        <v>105</v>
      </c>
      <c r="B34" s="5" t="s">
        <v>106</v>
      </c>
      <c r="C34" s="5" t="s">
        <v>107</v>
      </c>
      <c r="D34" s="6">
        <v>7672.0</v>
      </c>
      <c r="E34" s="7" t="str">
        <f t="shared" si="1"/>
        <v>A</v>
      </c>
      <c r="F34" s="7" t="str">
        <f t="shared" si="2"/>
        <v>Transformative change</v>
      </c>
      <c r="G34" s="7" t="str">
        <f t="shared" si="3"/>
        <v>Medium</v>
      </c>
      <c r="H34" s="7">
        <f t="shared" si="4"/>
        <v>2801009</v>
      </c>
      <c r="I34" s="7">
        <f t="shared" si="5"/>
        <v>1308757.668</v>
      </c>
      <c r="J34" s="7">
        <f t="shared" si="6"/>
        <v>99736</v>
      </c>
      <c r="K34" s="7">
        <f t="shared" si="8"/>
        <v>14917.57907</v>
      </c>
    </row>
    <row r="35">
      <c r="A35" s="5" t="s">
        <v>108</v>
      </c>
      <c r="B35" s="5" t="s">
        <v>109</v>
      </c>
      <c r="C35" s="5" t="s">
        <v>110</v>
      </c>
      <c r="D35" s="6">
        <v>51061.0</v>
      </c>
      <c r="E35" s="7" t="str">
        <f t="shared" si="1"/>
        <v>E</v>
      </c>
      <c r="F35" s="7" t="str">
        <f t="shared" si="2"/>
        <v>Transformative change</v>
      </c>
      <c r="G35" s="7" t="str">
        <f t="shared" si="3"/>
        <v>High</v>
      </c>
      <c r="H35" s="7">
        <f t="shared" si="4"/>
        <v>2392566</v>
      </c>
      <c r="I35" s="7">
        <f t="shared" si="5"/>
        <v>938310.1992</v>
      </c>
      <c r="J35" s="7">
        <f t="shared" si="6"/>
        <v>612732</v>
      </c>
      <c r="K35" s="7">
        <f t="shared" si="8"/>
        <v>149969.3202</v>
      </c>
    </row>
    <row r="36">
      <c r="A36" s="5" t="s">
        <v>111</v>
      </c>
      <c r="B36" s="5" t="s">
        <v>112</v>
      </c>
      <c r="C36" s="5" t="s">
        <v>113</v>
      </c>
      <c r="D36" s="6">
        <v>14223.0</v>
      </c>
      <c r="E36" s="7" t="str">
        <f t="shared" si="1"/>
        <v>E</v>
      </c>
      <c r="F36" s="7" t="str">
        <f t="shared" si="2"/>
        <v>Transformative change</v>
      </c>
      <c r="G36" s="7" t="str">
        <f t="shared" si="3"/>
        <v>Low</v>
      </c>
      <c r="H36" s="7">
        <f t="shared" si="4"/>
        <v>557266</v>
      </c>
      <c r="I36" s="7">
        <f t="shared" si="5"/>
        <v>335959.5407</v>
      </c>
      <c r="J36" s="7">
        <f t="shared" si="6"/>
        <v>213345</v>
      </c>
      <c r="K36" s="7">
        <f t="shared" si="8"/>
        <v>2231</v>
      </c>
    </row>
    <row r="37">
      <c r="A37" s="5" t="s">
        <v>114</v>
      </c>
      <c r="B37" s="5" t="s">
        <v>115</v>
      </c>
      <c r="C37" s="5" t="s">
        <v>116</v>
      </c>
      <c r="D37" s="6">
        <v>93776.0</v>
      </c>
      <c r="E37" s="7" t="str">
        <f t="shared" si="1"/>
        <v>E</v>
      </c>
      <c r="F37" s="7" t="str">
        <f t="shared" si="2"/>
        <v>Transformative change</v>
      </c>
      <c r="G37" s="7" t="str">
        <f t="shared" si="3"/>
        <v>Low</v>
      </c>
      <c r="H37" s="7">
        <f t="shared" si="4"/>
        <v>3666661</v>
      </c>
      <c r="I37" s="7">
        <f t="shared" si="5"/>
        <v>1467786.15</v>
      </c>
      <c r="J37" s="7">
        <f t="shared" si="6"/>
        <v>1312864</v>
      </c>
      <c r="K37" s="7">
        <f t="shared" si="8"/>
        <v>37348.98039</v>
      </c>
    </row>
    <row r="38">
      <c r="A38" s="5" t="s">
        <v>117</v>
      </c>
      <c r="B38" s="5" t="s">
        <v>118</v>
      </c>
      <c r="C38" s="5" t="s">
        <v>119</v>
      </c>
      <c r="D38" s="6">
        <v>11389.0</v>
      </c>
      <c r="E38" s="7" t="str">
        <f t="shared" si="1"/>
        <v>F</v>
      </c>
      <c r="F38" s="7" t="str">
        <f t="shared" si="2"/>
        <v>Transformative change</v>
      </c>
      <c r="G38" s="7" t="str">
        <f t="shared" si="3"/>
        <v>Low</v>
      </c>
      <c r="H38" s="7">
        <f t="shared" si="4"/>
        <v>1283481</v>
      </c>
      <c r="I38" s="7">
        <f t="shared" si="5"/>
        <v>295950.0805</v>
      </c>
      <c r="J38" s="7">
        <f t="shared" si="6"/>
        <v>159446</v>
      </c>
      <c r="K38" s="7">
        <f t="shared" si="8"/>
        <v>3.197929657</v>
      </c>
    </row>
    <row r="39">
      <c r="A39" s="5" t="s">
        <v>120</v>
      </c>
      <c r="B39" s="5" t="s">
        <v>121</v>
      </c>
      <c r="C39" s="5" t="s">
        <v>122</v>
      </c>
      <c r="D39" s="6">
        <v>14553.0</v>
      </c>
      <c r="E39" s="7" t="str">
        <f t="shared" si="1"/>
        <v>E</v>
      </c>
      <c r="F39" s="7" t="str">
        <f t="shared" si="2"/>
        <v>Transformative change</v>
      </c>
      <c r="G39" s="7" t="str">
        <f t="shared" si="3"/>
        <v>High</v>
      </c>
      <c r="H39" s="7">
        <f t="shared" si="4"/>
        <v>1197535</v>
      </c>
      <c r="I39" s="7">
        <f t="shared" si="5"/>
        <v>336409.4973</v>
      </c>
      <c r="J39" s="7">
        <f t="shared" si="6"/>
        <v>160083</v>
      </c>
      <c r="K39" s="7">
        <f t="shared" si="8"/>
        <v>138580.4993</v>
      </c>
    </row>
    <row r="40">
      <c r="A40" s="5" t="s">
        <v>123</v>
      </c>
      <c r="B40" s="5" t="s">
        <v>124</v>
      </c>
      <c r="C40" s="5" t="s">
        <v>125</v>
      </c>
      <c r="D40" s="6">
        <v>11856.0</v>
      </c>
      <c r="E40" s="7" t="str">
        <f t="shared" si="1"/>
        <v>E</v>
      </c>
      <c r="F40" s="7" t="str">
        <f t="shared" si="2"/>
        <v>High ambition</v>
      </c>
      <c r="G40" s="7" t="str">
        <f t="shared" si="3"/>
        <v>Low</v>
      </c>
      <c r="H40" s="7">
        <f t="shared" si="4"/>
        <v>278709</v>
      </c>
      <c r="I40" s="7">
        <f t="shared" si="5"/>
        <v>142681.5115</v>
      </c>
      <c r="J40" s="7">
        <f t="shared" si="6"/>
        <v>94848</v>
      </c>
      <c r="K40" s="7">
        <f t="shared" si="8"/>
        <v>91289.87571</v>
      </c>
    </row>
    <row r="41">
      <c r="A41" s="5" t="s">
        <v>126</v>
      </c>
      <c r="B41" s="5" t="s">
        <v>127</v>
      </c>
      <c r="C41" s="5" t="s">
        <v>128</v>
      </c>
      <c r="D41" s="6">
        <v>72796.0</v>
      </c>
      <c r="E41" s="7" t="str">
        <f t="shared" si="1"/>
        <v>B</v>
      </c>
      <c r="F41" s="7" t="str">
        <f t="shared" si="2"/>
        <v>Transformative change</v>
      </c>
      <c r="G41" s="7" t="str">
        <f t="shared" si="3"/>
        <v>Medium</v>
      </c>
      <c r="H41" s="7">
        <f t="shared" si="4"/>
        <v>2595041</v>
      </c>
      <c r="I41" s="7">
        <f t="shared" si="5"/>
        <v>2174668.613</v>
      </c>
      <c r="J41" s="7">
        <f t="shared" si="6"/>
        <v>727960</v>
      </c>
      <c r="K41" s="7">
        <f t="shared" si="8"/>
        <v>2231</v>
      </c>
    </row>
    <row r="42">
      <c r="A42" s="5" t="s">
        <v>129</v>
      </c>
      <c r="B42" s="5" t="s">
        <v>130</v>
      </c>
      <c r="C42" s="5" t="s">
        <v>131</v>
      </c>
      <c r="D42" s="6">
        <v>7633.0</v>
      </c>
      <c r="E42" s="7" t="str">
        <f t="shared" si="1"/>
        <v>G</v>
      </c>
      <c r="F42" s="7" t="str">
        <f t="shared" si="2"/>
        <v>Transformative change</v>
      </c>
      <c r="G42" s="7" t="str">
        <f t="shared" si="3"/>
        <v>Low</v>
      </c>
      <c r="H42" s="7">
        <f t="shared" si="4"/>
        <v>1354277</v>
      </c>
      <c r="I42" s="7">
        <f t="shared" si="5"/>
        <v>640343.3055</v>
      </c>
      <c r="J42" s="7">
        <f t="shared" si="6"/>
        <v>30532</v>
      </c>
      <c r="K42" s="7">
        <f t="shared" si="8"/>
        <v>8410.718334</v>
      </c>
    </row>
    <row r="43">
      <c r="A43" s="5" t="s">
        <v>132</v>
      </c>
      <c r="B43" s="5" t="s">
        <v>133</v>
      </c>
      <c r="C43" s="5" t="s">
        <v>134</v>
      </c>
      <c r="D43" s="6">
        <v>11891.0</v>
      </c>
      <c r="E43" s="7" t="str">
        <f t="shared" si="1"/>
        <v>A</v>
      </c>
      <c r="F43" s="7" t="str">
        <f t="shared" si="2"/>
        <v>Transformative change</v>
      </c>
      <c r="G43" s="7" t="str">
        <f t="shared" si="3"/>
        <v>Medium</v>
      </c>
      <c r="H43" s="7">
        <f t="shared" si="4"/>
        <v>2613902</v>
      </c>
      <c r="I43" s="7">
        <f t="shared" si="5"/>
        <v>834174.9314</v>
      </c>
      <c r="J43" s="7">
        <f t="shared" si="6"/>
        <v>71346</v>
      </c>
      <c r="K43" s="7">
        <f t="shared" si="8"/>
        <v>2231</v>
      </c>
    </row>
    <row r="44">
      <c r="A44" s="5" t="s">
        <v>135</v>
      </c>
      <c r="B44" s="5" t="s">
        <v>136</v>
      </c>
      <c r="C44" s="5" t="s">
        <v>74</v>
      </c>
      <c r="D44" s="6">
        <v>9767.0</v>
      </c>
      <c r="E44" s="7" t="str">
        <f t="shared" si="1"/>
        <v>B</v>
      </c>
      <c r="F44" s="7" t="str">
        <f t="shared" si="2"/>
        <v>Transformative change</v>
      </c>
      <c r="G44" s="7" t="str">
        <f t="shared" si="3"/>
        <v>Medium</v>
      </c>
      <c r="H44" s="7">
        <f t="shared" si="4"/>
        <v>2265474</v>
      </c>
      <c r="I44" s="7">
        <f t="shared" si="5"/>
        <v>320467.331</v>
      </c>
      <c r="J44" s="7">
        <f t="shared" si="6"/>
        <v>107437</v>
      </c>
      <c r="K44" s="7">
        <f t="shared" si="8"/>
        <v>2231</v>
      </c>
    </row>
    <row r="45">
      <c r="A45" s="5" t="s">
        <v>137</v>
      </c>
      <c r="B45" s="5" t="s">
        <v>138</v>
      </c>
      <c r="C45" s="5" t="s">
        <v>139</v>
      </c>
      <c r="D45" s="6">
        <v>19467.0</v>
      </c>
      <c r="E45" s="7" t="str">
        <f t="shared" si="1"/>
        <v>E</v>
      </c>
      <c r="F45" s="7" t="str">
        <f t="shared" si="2"/>
        <v>Transformative change</v>
      </c>
      <c r="G45" s="7" t="str">
        <f t="shared" si="3"/>
        <v>High</v>
      </c>
      <c r="H45" s="7">
        <f t="shared" si="4"/>
        <v>3196020</v>
      </c>
      <c r="I45" s="7">
        <f t="shared" si="5"/>
        <v>2545066.163</v>
      </c>
      <c r="J45" s="7">
        <f t="shared" si="6"/>
        <v>155736</v>
      </c>
      <c r="K45" s="7">
        <f t="shared" si="8"/>
        <v>2231</v>
      </c>
    </row>
    <row r="46">
      <c r="A46" s="5" t="s">
        <v>140</v>
      </c>
      <c r="B46" s="5" t="s">
        <v>141</v>
      </c>
      <c r="C46" s="5" t="s">
        <v>74</v>
      </c>
      <c r="D46" s="6">
        <v>16315.0</v>
      </c>
      <c r="E46" s="7" t="str">
        <f t="shared" si="1"/>
        <v>G</v>
      </c>
      <c r="F46" s="7" t="str">
        <f t="shared" si="2"/>
        <v>Transformative change</v>
      </c>
      <c r="G46" s="7" t="str">
        <f t="shared" si="3"/>
        <v>Medium</v>
      </c>
      <c r="H46" s="7">
        <f t="shared" si="4"/>
        <v>456607</v>
      </c>
      <c r="I46" s="7">
        <f t="shared" si="5"/>
        <v>75655.10532</v>
      </c>
      <c r="J46" s="7">
        <f t="shared" si="6"/>
        <v>97890</v>
      </c>
      <c r="K46" s="7">
        <f t="shared" si="8"/>
        <v>2231</v>
      </c>
    </row>
    <row r="47">
      <c r="A47" s="5" t="s">
        <v>142</v>
      </c>
      <c r="B47" s="5" t="s">
        <v>143</v>
      </c>
      <c r="C47" s="5" t="s">
        <v>144</v>
      </c>
      <c r="D47" s="6">
        <v>16969.0</v>
      </c>
      <c r="E47" s="7" t="str">
        <f t="shared" si="1"/>
        <v>G</v>
      </c>
      <c r="F47" s="7" t="str">
        <f t="shared" si="2"/>
        <v>Transformative change</v>
      </c>
      <c r="G47" s="7" t="str">
        <f t="shared" si="3"/>
        <v>Medium</v>
      </c>
      <c r="H47" s="7">
        <f t="shared" si="4"/>
        <v>644037</v>
      </c>
      <c r="I47" s="7">
        <f t="shared" si="5"/>
        <v>349922.3976</v>
      </c>
      <c r="J47" s="7">
        <f t="shared" si="6"/>
        <v>186659</v>
      </c>
      <c r="K47" s="7">
        <f t="shared" si="8"/>
        <v>2231</v>
      </c>
    </row>
    <row r="48">
      <c r="A48" s="5" t="s">
        <v>145</v>
      </c>
      <c r="B48" s="5" t="s">
        <v>146</v>
      </c>
      <c r="C48" s="5" t="s">
        <v>147</v>
      </c>
      <c r="D48" s="6">
        <v>14235.0</v>
      </c>
      <c r="E48" s="7" t="str">
        <f t="shared" si="1"/>
        <v>C</v>
      </c>
      <c r="F48" s="7" t="str">
        <f t="shared" si="2"/>
        <v>Transformative change</v>
      </c>
      <c r="G48" s="7" t="str">
        <f t="shared" si="3"/>
        <v>High</v>
      </c>
      <c r="H48" s="7">
        <f t="shared" si="4"/>
        <v>96599</v>
      </c>
      <c r="I48" s="7">
        <f t="shared" si="5"/>
        <v>90698.93677</v>
      </c>
      <c r="J48" s="7">
        <f t="shared" si="6"/>
        <v>170820</v>
      </c>
      <c r="K48" s="7">
        <f t="shared" si="8"/>
        <v>116915.2248</v>
      </c>
    </row>
    <row r="49">
      <c r="A49" s="5" t="s">
        <v>148</v>
      </c>
      <c r="B49" s="5" t="s">
        <v>149</v>
      </c>
      <c r="C49" s="5" t="s">
        <v>150</v>
      </c>
      <c r="D49" s="6">
        <v>441183.0</v>
      </c>
      <c r="E49" s="7" t="str">
        <f t="shared" si="1"/>
        <v>G</v>
      </c>
      <c r="F49" s="7" t="str">
        <f t="shared" si="2"/>
        <v>Transformative change</v>
      </c>
      <c r="G49" s="7" t="str">
        <f t="shared" si="3"/>
        <v>High</v>
      </c>
      <c r="H49" s="7">
        <f t="shared" si="4"/>
        <v>3253154</v>
      </c>
      <c r="I49" s="7">
        <f t="shared" si="5"/>
        <v>670561.5916</v>
      </c>
      <c r="J49" s="7">
        <f t="shared" si="6"/>
        <v>3529464</v>
      </c>
      <c r="K49" s="7">
        <f t="shared" si="8"/>
        <v>680055.3694</v>
      </c>
    </row>
    <row r="50">
      <c r="A50" s="5" t="s">
        <v>151</v>
      </c>
      <c r="B50" s="5" t="s">
        <v>152</v>
      </c>
      <c r="C50" s="5" t="s">
        <v>153</v>
      </c>
      <c r="D50" s="6">
        <v>82796.0</v>
      </c>
      <c r="E50" s="7" t="str">
        <f t="shared" si="1"/>
        <v>G</v>
      </c>
      <c r="F50" s="7" t="str">
        <f t="shared" si="2"/>
        <v>Transformative change</v>
      </c>
      <c r="G50" s="7" t="str">
        <f t="shared" si="3"/>
        <v>High</v>
      </c>
      <c r="H50" s="7">
        <f t="shared" si="4"/>
        <v>473515</v>
      </c>
      <c r="I50" s="7">
        <f t="shared" si="5"/>
        <v>315698.2667</v>
      </c>
      <c r="J50" s="7">
        <f t="shared" si="6"/>
        <v>1159144</v>
      </c>
      <c r="K50" s="7">
        <f t="shared" si="8"/>
        <v>128269.1483</v>
      </c>
    </row>
    <row r="51">
      <c r="A51" s="5" t="s">
        <v>154</v>
      </c>
      <c r="B51" s="5" t="s">
        <v>155</v>
      </c>
      <c r="C51" s="5" t="s">
        <v>156</v>
      </c>
      <c r="D51" s="6">
        <v>82692.0</v>
      </c>
      <c r="E51" s="7" t="str">
        <f t="shared" si="1"/>
        <v>E</v>
      </c>
      <c r="F51" s="7" t="str">
        <f t="shared" si="2"/>
        <v>Transformative change</v>
      </c>
      <c r="G51" s="7" t="str">
        <f t="shared" si="3"/>
        <v>Medium</v>
      </c>
      <c r="H51" s="7">
        <f t="shared" si="4"/>
        <v>3157549</v>
      </c>
      <c r="I51" s="7">
        <f t="shared" si="5"/>
        <v>1031439.285</v>
      </c>
      <c r="J51" s="7">
        <f t="shared" si="6"/>
        <v>1074996</v>
      </c>
      <c r="K51" s="7">
        <f t="shared" si="8"/>
        <v>2231</v>
      </c>
    </row>
    <row r="52">
      <c r="A52" s="5" t="s">
        <v>157</v>
      </c>
      <c r="B52" s="5" t="s">
        <v>158</v>
      </c>
      <c r="C52" s="5" t="s">
        <v>159</v>
      </c>
      <c r="D52" s="6">
        <v>11342.0</v>
      </c>
      <c r="E52" s="7" t="str">
        <f t="shared" si="1"/>
        <v>E</v>
      </c>
      <c r="F52" s="7" t="str">
        <f t="shared" si="2"/>
        <v>Transformative change</v>
      </c>
      <c r="G52" s="7" t="str">
        <f t="shared" si="3"/>
        <v>Low</v>
      </c>
      <c r="H52" s="7">
        <f t="shared" si="4"/>
        <v>1213888</v>
      </c>
      <c r="I52" s="7">
        <f t="shared" si="5"/>
        <v>216848.4906</v>
      </c>
      <c r="J52" s="7">
        <f t="shared" si="6"/>
        <v>147446</v>
      </c>
      <c r="K52" s="7">
        <f t="shared" si="8"/>
        <v>38980.97403</v>
      </c>
    </row>
    <row r="53">
      <c r="A53" s="5" t="s">
        <v>160</v>
      </c>
      <c r="B53" s="5" t="s">
        <v>161</v>
      </c>
      <c r="C53" s="5" t="s">
        <v>162</v>
      </c>
      <c r="D53" s="6">
        <v>15291.0</v>
      </c>
      <c r="E53" s="7" t="str">
        <f t="shared" si="1"/>
        <v>B</v>
      </c>
      <c r="F53" s="7" t="str">
        <f t="shared" si="2"/>
        <v>Transformative change</v>
      </c>
      <c r="G53" s="7" t="str">
        <f t="shared" si="3"/>
        <v>Low</v>
      </c>
      <c r="H53" s="7">
        <f t="shared" si="4"/>
        <v>2263339</v>
      </c>
      <c r="I53" s="7">
        <f t="shared" si="5"/>
        <v>24594.75252</v>
      </c>
      <c r="J53" s="7">
        <f t="shared" si="6"/>
        <v>61164</v>
      </c>
      <c r="K53" s="7">
        <f t="shared" si="8"/>
        <v>2231</v>
      </c>
    </row>
    <row r="54">
      <c r="A54" s="5" t="s">
        <v>163</v>
      </c>
      <c r="B54" s="5" t="s">
        <v>164</v>
      </c>
      <c r="C54" s="5" t="s">
        <v>165</v>
      </c>
      <c r="D54" s="6">
        <v>9912.0</v>
      </c>
      <c r="E54" s="7" t="str">
        <f t="shared" si="1"/>
        <v>G</v>
      </c>
      <c r="F54" s="7" t="str">
        <f t="shared" si="2"/>
        <v>Transformative change</v>
      </c>
      <c r="G54" s="7" t="str">
        <f t="shared" si="3"/>
        <v>Low</v>
      </c>
      <c r="H54" s="7">
        <f t="shared" si="4"/>
        <v>1216403</v>
      </c>
      <c r="I54" s="7">
        <f t="shared" si="5"/>
        <v>767073.4724</v>
      </c>
      <c r="J54" s="7">
        <f t="shared" si="6"/>
        <v>109032</v>
      </c>
      <c r="K54" s="7">
        <f t="shared" si="8"/>
        <v>2231</v>
      </c>
    </row>
    <row r="55">
      <c r="A55" s="5" t="s">
        <v>166</v>
      </c>
      <c r="B55" s="5" t="s">
        <v>167</v>
      </c>
      <c r="C55" s="5" t="s">
        <v>168</v>
      </c>
      <c r="D55" s="6">
        <v>32313.0</v>
      </c>
      <c r="E55" s="7" t="str">
        <f t="shared" si="1"/>
        <v>G</v>
      </c>
      <c r="F55" s="7" t="str">
        <f t="shared" si="2"/>
        <v>Transformative change</v>
      </c>
      <c r="G55" s="7" t="str">
        <f t="shared" si="3"/>
        <v>Medium</v>
      </c>
      <c r="H55" s="7">
        <f t="shared" si="4"/>
        <v>2821833</v>
      </c>
      <c r="I55" s="7">
        <f t="shared" si="5"/>
        <v>656258.8234</v>
      </c>
      <c r="J55" s="7">
        <f t="shared" si="6"/>
        <v>226191</v>
      </c>
      <c r="K55" s="7">
        <f t="shared" si="8"/>
        <v>115312.2737</v>
      </c>
    </row>
    <row r="56">
      <c r="A56" s="5" t="s">
        <v>169</v>
      </c>
      <c r="B56" s="5" t="s">
        <v>170</v>
      </c>
      <c r="C56" s="5" t="s">
        <v>171</v>
      </c>
      <c r="D56" s="6">
        <v>19757.0</v>
      </c>
      <c r="E56" s="7" t="str">
        <f t="shared" si="1"/>
        <v>F</v>
      </c>
      <c r="F56" s="7" t="str">
        <f t="shared" si="2"/>
        <v>Transformative change</v>
      </c>
      <c r="G56" s="7" t="str">
        <f t="shared" si="3"/>
        <v>High</v>
      </c>
      <c r="H56" s="7">
        <f t="shared" si="4"/>
        <v>1559463</v>
      </c>
      <c r="I56" s="7">
        <f t="shared" si="5"/>
        <v>861446.5052</v>
      </c>
      <c r="J56" s="7">
        <f t="shared" si="6"/>
        <v>217327</v>
      </c>
      <c r="K56" s="7">
        <f t="shared" si="8"/>
        <v>92615.27467</v>
      </c>
    </row>
    <row r="57">
      <c r="A57" s="5" t="s">
        <v>172</v>
      </c>
      <c r="B57" s="5" t="s">
        <v>173</v>
      </c>
      <c r="C57" s="5" t="s">
        <v>174</v>
      </c>
      <c r="D57" s="6">
        <v>15421.0</v>
      </c>
      <c r="E57" s="7" t="str">
        <f t="shared" si="1"/>
        <v>E</v>
      </c>
      <c r="F57" s="7" t="str">
        <f t="shared" si="2"/>
        <v>Transformative change</v>
      </c>
      <c r="G57" s="7" t="str">
        <f t="shared" si="3"/>
        <v>Low</v>
      </c>
      <c r="H57" s="7">
        <f t="shared" si="4"/>
        <v>3524939</v>
      </c>
      <c r="I57" s="7">
        <f t="shared" si="5"/>
        <v>1527894.171</v>
      </c>
      <c r="J57" s="7">
        <f t="shared" si="6"/>
        <v>77105</v>
      </c>
      <c r="K57" s="7">
        <f t="shared" si="8"/>
        <v>30884.52359</v>
      </c>
    </row>
    <row r="58">
      <c r="A58" s="5" t="s">
        <v>175</v>
      </c>
      <c r="B58" s="5" t="s">
        <v>176</v>
      </c>
      <c r="C58" s="5" t="s">
        <v>177</v>
      </c>
      <c r="D58" s="6">
        <v>75675.0</v>
      </c>
      <c r="E58" s="7" t="str">
        <f t="shared" si="1"/>
        <v>B</v>
      </c>
      <c r="F58" s="7" t="str">
        <f t="shared" si="2"/>
        <v>High ambition</v>
      </c>
      <c r="G58" s="7" t="str">
        <f t="shared" si="3"/>
        <v>Low</v>
      </c>
      <c r="H58" s="7">
        <f t="shared" si="4"/>
        <v>1438385</v>
      </c>
      <c r="I58" s="7">
        <f t="shared" si="5"/>
        <v>1400413.672</v>
      </c>
      <c r="J58" s="7">
        <f t="shared" si="6"/>
        <v>378375</v>
      </c>
      <c r="K58" s="7">
        <f t="shared" si="8"/>
        <v>2231</v>
      </c>
    </row>
    <row r="59">
      <c r="A59" s="5" t="s">
        <v>178</v>
      </c>
      <c r="B59" s="5" t="s">
        <v>179</v>
      </c>
      <c r="C59" s="5" t="s">
        <v>180</v>
      </c>
      <c r="D59" s="6">
        <v>6570.0</v>
      </c>
      <c r="E59" s="7" t="str">
        <f t="shared" si="1"/>
        <v>B</v>
      </c>
      <c r="F59" s="7" t="str">
        <f t="shared" si="2"/>
        <v>Transformative change</v>
      </c>
      <c r="G59" s="7" t="str">
        <f t="shared" si="3"/>
        <v>High</v>
      </c>
      <c r="H59" s="7">
        <f t="shared" si="4"/>
        <v>938907</v>
      </c>
      <c r="I59" s="7">
        <f t="shared" si="5"/>
        <v>673538.7704</v>
      </c>
      <c r="J59" s="7">
        <f t="shared" si="6"/>
        <v>45990</v>
      </c>
      <c r="K59" s="7">
        <f t="shared" si="8"/>
        <v>7736.433566</v>
      </c>
    </row>
    <row r="60">
      <c r="A60" s="5" t="s">
        <v>181</v>
      </c>
      <c r="B60" s="5" t="s">
        <v>182</v>
      </c>
      <c r="C60" s="5" t="s">
        <v>183</v>
      </c>
      <c r="D60" s="6">
        <v>9659.0</v>
      </c>
      <c r="E60" s="7" t="str">
        <f t="shared" si="1"/>
        <v>E</v>
      </c>
      <c r="F60" s="7" t="str">
        <f t="shared" si="2"/>
        <v>Transformative change</v>
      </c>
      <c r="G60" s="7" t="str">
        <f t="shared" si="3"/>
        <v>Medium</v>
      </c>
      <c r="H60" s="7">
        <f t="shared" si="4"/>
        <v>3370416</v>
      </c>
      <c r="I60" s="7">
        <f t="shared" si="5"/>
        <v>2049557.639</v>
      </c>
      <c r="J60" s="7">
        <f t="shared" si="6"/>
        <v>115908</v>
      </c>
      <c r="K60" s="7">
        <f t="shared" si="8"/>
        <v>2231</v>
      </c>
    </row>
    <row r="61">
      <c r="A61" s="5" t="s">
        <v>184</v>
      </c>
      <c r="B61" s="5" t="s">
        <v>185</v>
      </c>
      <c r="C61" s="5" t="s">
        <v>186</v>
      </c>
      <c r="D61" s="6">
        <v>105444.0</v>
      </c>
      <c r="E61" s="7" t="str">
        <f t="shared" si="1"/>
        <v>D</v>
      </c>
      <c r="F61" s="7" t="str">
        <f t="shared" si="2"/>
        <v>Transformative change</v>
      </c>
      <c r="G61" s="7" t="str">
        <f t="shared" si="3"/>
        <v>High</v>
      </c>
      <c r="H61" s="7">
        <f t="shared" si="4"/>
        <v>1433193</v>
      </c>
      <c r="I61" s="7">
        <f t="shared" si="5"/>
        <v>61993.00103</v>
      </c>
      <c r="J61" s="7">
        <f t="shared" si="6"/>
        <v>1054440</v>
      </c>
      <c r="K61" s="7">
        <f t="shared" si="8"/>
        <v>0.04539691813</v>
      </c>
    </row>
    <row r="62">
      <c r="A62" s="5" t="s">
        <v>187</v>
      </c>
      <c r="B62" s="5" t="s">
        <v>188</v>
      </c>
      <c r="C62" s="5" t="s">
        <v>189</v>
      </c>
      <c r="D62" s="6">
        <v>334950.0</v>
      </c>
      <c r="E62" s="7" t="str">
        <f t="shared" si="1"/>
        <v>D</v>
      </c>
      <c r="F62" s="7" t="str">
        <f t="shared" si="2"/>
        <v>Transformative change</v>
      </c>
      <c r="G62" s="7" t="str">
        <f t="shared" si="3"/>
        <v>High</v>
      </c>
      <c r="H62" s="7">
        <f t="shared" si="4"/>
        <v>674488</v>
      </c>
      <c r="I62" s="7">
        <f t="shared" si="5"/>
        <v>197739.0578</v>
      </c>
      <c r="J62" s="7">
        <f t="shared" si="6"/>
        <v>1339800</v>
      </c>
      <c r="K62" s="7">
        <f t="shared" si="8"/>
        <v>2231</v>
      </c>
    </row>
    <row r="63">
      <c r="A63" s="5" t="s">
        <v>190</v>
      </c>
      <c r="B63" s="5" t="s">
        <v>191</v>
      </c>
      <c r="C63" s="5" t="s">
        <v>192</v>
      </c>
      <c r="D63" s="6">
        <v>18878.0</v>
      </c>
      <c r="E63" s="7" t="str">
        <f t="shared" si="1"/>
        <v>D</v>
      </c>
      <c r="F63" s="7" t="str">
        <f t="shared" si="2"/>
        <v>High ambition</v>
      </c>
      <c r="G63" s="7" t="str">
        <f t="shared" si="3"/>
        <v>Low</v>
      </c>
      <c r="H63" s="7">
        <f t="shared" si="4"/>
        <v>1508033</v>
      </c>
      <c r="I63" s="7">
        <f t="shared" si="5"/>
        <v>598127.4688</v>
      </c>
      <c r="J63" s="7">
        <f t="shared" si="6"/>
        <v>226536</v>
      </c>
      <c r="K63" s="7">
        <f t="shared" si="8"/>
        <v>2231</v>
      </c>
    </row>
    <row r="64">
      <c r="A64" s="5" t="s">
        <v>193</v>
      </c>
      <c r="B64" s="5" t="s">
        <v>194</v>
      </c>
      <c r="C64" s="5" t="s">
        <v>74</v>
      </c>
      <c r="D64" s="6">
        <v>71780.0</v>
      </c>
      <c r="E64" s="7" t="str">
        <f t="shared" si="1"/>
        <v>A</v>
      </c>
      <c r="F64" s="7" t="str">
        <f t="shared" si="2"/>
        <v>Transformative change</v>
      </c>
      <c r="G64" s="7" t="str">
        <f t="shared" si="3"/>
        <v>High</v>
      </c>
      <c r="H64" s="7">
        <f t="shared" si="4"/>
        <v>627576</v>
      </c>
      <c r="I64" s="7">
        <f t="shared" si="5"/>
        <v>39972.08392</v>
      </c>
      <c r="J64" s="7">
        <f t="shared" si="6"/>
        <v>1004920</v>
      </c>
      <c r="K64" s="7">
        <f t="shared" si="8"/>
        <v>2231</v>
      </c>
    </row>
    <row r="65">
      <c r="A65" s="5" t="s">
        <v>195</v>
      </c>
      <c r="B65" s="5" t="s">
        <v>196</v>
      </c>
      <c r="C65" s="5" t="s">
        <v>197</v>
      </c>
      <c r="D65" s="6">
        <v>6968.0</v>
      </c>
      <c r="E65" s="7" t="str">
        <f t="shared" si="1"/>
        <v>E</v>
      </c>
      <c r="F65" s="7" t="str">
        <f t="shared" si="2"/>
        <v>High ambition</v>
      </c>
      <c r="G65" s="7" t="str">
        <f t="shared" si="3"/>
        <v>Low</v>
      </c>
      <c r="H65" s="7">
        <f t="shared" si="4"/>
        <v>497443</v>
      </c>
      <c r="I65" s="7">
        <f t="shared" si="5"/>
        <v>479067.3456</v>
      </c>
      <c r="J65" s="7">
        <f t="shared" si="6"/>
        <v>76648</v>
      </c>
      <c r="K65" s="7">
        <f t="shared" si="8"/>
        <v>48.90228385</v>
      </c>
    </row>
    <row r="66">
      <c r="A66" s="5" t="s">
        <v>198</v>
      </c>
      <c r="B66" s="5" t="s">
        <v>199</v>
      </c>
      <c r="C66" s="5" t="s">
        <v>200</v>
      </c>
      <c r="D66" s="6">
        <v>6157.0</v>
      </c>
      <c r="E66" s="7" t="str">
        <f t="shared" si="1"/>
        <v>A</v>
      </c>
      <c r="F66" s="7" t="str">
        <f t="shared" si="2"/>
        <v>Transformative change</v>
      </c>
      <c r="G66" s="7" t="str">
        <f t="shared" si="3"/>
        <v>Low</v>
      </c>
      <c r="H66" s="7">
        <f t="shared" si="4"/>
        <v>160744</v>
      </c>
      <c r="I66" s="7">
        <f t="shared" si="5"/>
        <v>63575.03731</v>
      </c>
      <c r="J66" s="7">
        <f t="shared" si="6"/>
        <v>36942</v>
      </c>
      <c r="K66" s="7">
        <f t="shared" si="8"/>
        <v>2231</v>
      </c>
    </row>
    <row r="67">
      <c r="A67" s="5" t="s">
        <v>201</v>
      </c>
      <c r="B67" s="5" t="s">
        <v>202</v>
      </c>
      <c r="C67" s="5" t="s">
        <v>74</v>
      </c>
      <c r="D67" s="6">
        <v>18173.0</v>
      </c>
      <c r="E67" s="7" t="str">
        <f t="shared" si="1"/>
        <v>G</v>
      </c>
      <c r="F67" s="7" t="str">
        <f t="shared" si="2"/>
        <v>Transformative change</v>
      </c>
      <c r="G67" s="7" t="str">
        <f t="shared" si="3"/>
        <v>High</v>
      </c>
      <c r="H67" s="7">
        <f t="shared" si="4"/>
        <v>743668</v>
      </c>
      <c r="I67" s="7">
        <f t="shared" si="5"/>
        <v>624807.8394</v>
      </c>
      <c r="J67" s="7">
        <f t="shared" si="6"/>
        <v>181730</v>
      </c>
      <c r="K67" s="7">
        <f t="shared" si="8"/>
        <v>28306.11133</v>
      </c>
    </row>
    <row r="68">
      <c r="A68" s="5" t="s">
        <v>203</v>
      </c>
      <c r="B68" s="5" t="s">
        <v>204</v>
      </c>
      <c r="C68" s="5" t="s">
        <v>205</v>
      </c>
      <c r="D68" s="6">
        <v>225280.0</v>
      </c>
      <c r="E68" s="7" t="str">
        <f t="shared" si="1"/>
        <v>D</v>
      </c>
      <c r="F68" s="7" t="str">
        <f t="shared" si="2"/>
        <v>Transformative change</v>
      </c>
      <c r="G68" s="7" t="str">
        <f t="shared" si="3"/>
        <v>Medium</v>
      </c>
      <c r="H68" s="7">
        <f t="shared" si="4"/>
        <v>205426</v>
      </c>
      <c r="I68" s="7">
        <f t="shared" si="5"/>
        <v>56233.78503</v>
      </c>
      <c r="J68" s="7">
        <f t="shared" si="6"/>
        <v>901120</v>
      </c>
      <c r="K68" s="7">
        <f t="shared" si="8"/>
        <v>2231</v>
      </c>
    </row>
    <row r="69">
      <c r="A69" s="5" t="s">
        <v>206</v>
      </c>
      <c r="B69" s="5" t="s">
        <v>207</v>
      </c>
      <c r="C69" s="5" t="s">
        <v>208</v>
      </c>
      <c r="D69" s="6">
        <v>32338.0</v>
      </c>
      <c r="E69" s="7" t="str">
        <f t="shared" si="1"/>
        <v>B</v>
      </c>
      <c r="F69" s="7" t="str">
        <f t="shared" si="2"/>
        <v>Transformative change</v>
      </c>
      <c r="G69" s="7" t="str">
        <f t="shared" si="3"/>
        <v>High</v>
      </c>
      <c r="H69" s="7">
        <f t="shared" si="4"/>
        <v>2704695</v>
      </c>
      <c r="I69" s="7">
        <f t="shared" si="5"/>
        <v>2179493.712</v>
      </c>
      <c r="J69" s="7">
        <f t="shared" si="6"/>
        <v>485070</v>
      </c>
      <c r="K69" s="7">
        <f t="shared" si="8"/>
        <v>994.7437081</v>
      </c>
    </row>
    <row r="70">
      <c r="A70" s="5" t="s">
        <v>209</v>
      </c>
      <c r="B70" s="5" t="s">
        <v>210</v>
      </c>
      <c r="C70" s="5" t="s">
        <v>211</v>
      </c>
      <c r="D70" s="6">
        <v>10909.0</v>
      </c>
      <c r="E70" s="7" t="str">
        <f t="shared" si="1"/>
        <v>F</v>
      </c>
      <c r="F70" s="7" t="str">
        <f t="shared" si="2"/>
        <v>Transformative change</v>
      </c>
      <c r="G70" s="7" t="str">
        <f t="shared" si="3"/>
        <v>Medium</v>
      </c>
      <c r="H70" s="7">
        <f t="shared" si="4"/>
        <v>2074189</v>
      </c>
      <c r="I70" s="7">
        <f t="shared" si="5"/>
        <v>1727913.744</v>
      </c>
      <c r="J70" s="7">
        <f t="shared" si="6"/>
        <v>119999</v>
      </c>
      <c r="K70" s="7">
        <f t="shared" si="8"/>
        <v>2231</v>
      </c>
    </row>
    <row r="71">
      <c r="A71" s="5" t="s">
        <v>209</v>
      </c>
      <c r="B71" s="5" t="s">
        <v>212</v>
      </c>
      <c r="C71" s="5" t="s">
        <v>213</v>
      </c>
      <c r="D71" s="6">
        <v>18618.0</v>
      </c>
      <c r="E71" s="7" t="str">
        <f t="shared" si="1"/>
        <v>E</v>
      </c>
      <c r="F71" s="7" t="str">
        <f t="shared" si="2"/>
        <v>Transformative change</v>
      </c>
      <c r="G71" s="7" t="str">
        <f t="shared" si="3"/>
        <v>High</v>
      </c>
      <c r="H71" s="7">
        <f t="shared" si="4"/>
        <v>2228286</v>
      </c>
      <c r="I71" s="7">
        <f t="shared" si="5"/>
        <v>246280.8876</v>
      </c>
      <c r="J71" s="7">
        <f t="shared" si="6"/>
        <v>167562</v>
      </c>
      <c r="K71" s="7">
        <f t="shared" si="8"/>
        <v>2231</v>
      </c>
    </row>
    <row r="72">
      <c r="A72" s="5" t="s">
        <v>214</v>
      </c>
      <c r="B72" s="5" t="s">
        <v>215</v>
      </c>
      <c r="C72" s="5" t="s">
        <v>216</v>
      </c>
      <c r="D72" s="6">
        <v>38008.0</v>
      </c>
      <c r="E72" s="7" t="str">
        <f t="shared" si="1"/>
        <v>C</v>
      </c>
      <c r="F72" s="7" t="str">
        <f t="shared" si="2"/>
        <v>Transformative change</v>
      </c>
      <c r="G72" s="7" t="str">
        <f t="shared" si="3"/>
        <v>High</v>
      </c>
      <c r="H72" s="7">
        <f t="shared" si="4"/>
        <v>1240197</v>
      </c>
      <c r="I72" s="7">
        <f t="shared" si="5"/>
        <v>466343.024</v>
      </c>
      <c r="J72" s="7">
        <f t="shared" si="6"/>
        <v>266056</v>
      </c>
      <c r="K72" s="7">
        <f t="shared" si="8"/>
        <v>121409.8465</v>
      </c>
    </row>
    <row r="73">
      <c r="A73" s="5" t="s">
        <v>217</v>
      </c>
      <c r="B73" s="5" t="s">
        <v>218</v>
      </c>
      <c r="C73" s="5" t="s">
        <v>219</v>
      </c>
      <c r="D73" s="6">
        <v>11101.0</v>
      </c>
      <c r="E73" s="7" t="str">
        <f t="shared" si="1"/>
        <v>A</v>
      </c>
      <c r="F73" s="7" t="str">
        <f t="shared" si="2"/>
        <v>Transformative change</v>
      </c>
      <c r="G73" s="7" t="str">
        <f t="shared" si="3"/>
        <v>High</v>
      </c>
      <c r="H73" s="7">
        <f t="shared" si="4"/>
        <v>3804071</v>
      </c>
      <c r="I73" s="7">
        <f t="shared" si="5"/>
        <v>688701.2111</v>
      </c>
      <c r="J73" s="7">
        <f t="shared" si="6"/>
        <v>88808</v>
      </c>
      <c r="K73" s="7">
        <f t="shared" si="8"/>
        <v>2231</v>
      </c>
    </row>
    <row r="74">
      <c r="A74" s="5" t="s">
        <v>220</v>
      </c>
      <c r="B74" s="5" t="s">
        <v>221</v>
      </c>
      <c r="C74" s="5" t="s">
        <v>74</v>
      </c>
      <c r="D74" s="6">
        <v>521418.0</v>
      </c>
      <c r="E74" s="7" t="str">
        <f t="shared" si="1"/>
        <v>F</v>
      </c>
      <c r="F74" s="7" t="str">
        <f t="shared" si="2"/>
        <v>Transformative change</v>
      </c>
      <c r="G74" s="7" t="str">
        <f t="shared" si="3"/>
        <v>Low</v>
      </c>
      <c r="H74" s="7">
        <f t="shared" si="4"/>
        <v>3365811</v>
      </c>
      <c r="I74" s="7">
        <f t="shared" si="5"/>
        <v>2034529.142</v>
      </c>
      <c r="J74" s="7">
        <f t="shared" si="6"/>
        <v>5735598</v>
      </c>
      <c r="K74" s="7">
        <f t="shared" si="8"/>
        <v>2244.691618</v>
      </c>
    </row>
    <row r="75">
      <c r="A75" s="5" t="s">
        <v>222</v>
      </c>
      <c r="B75" s="5" t="s">
        <v>223</v>
      </c>
      <c r="C75" s="5" t="s">
        <v>224</v>
      </c>
      <c r="D75" s="6">
        <v>35656.0</v>
      </c>
      <c r="E75" s="7" t="str">
        <f t="shared" si="1"/>
        <v>C</v>
      </c>
      <c r="F75" s="7" t="str">
        <f t="shared" si="2"/>
        <v>Transformative change</v>
      </c>
      <c r="G75" s="7" t="str">
        <f t="shared" si="3"/>
        <v>High</v>
      </c>
      <c r="H75" s="7">
        <f t="shared" si="4"/>
        <v>1749577</v>
      </c>
      <c r="I75" s="7">
        <f t="shared" si="5"/>
        <v>891787.6601</v>
      </c>
      <c r="J75" s="7">
        <f t="shared" si="6"/>
        <v>142624</v>
      </c>
      <c r="K75" s="7">
        <f t="shared" si="8"/>
        <v>0.01436255064</v>
      </c>
    </row>
    <row r="76">
      <c r="A76" s="5" t="s">
        <v>225</v>
      </c>
      <c r="B76" s="5" t="s">
        <v>226</v>
      </c>
      <c r="C76" s="5" t="s">
        <v>227</v>
      </c>
      <c r="D76" s="6">
        <v>12697.0</v>
      </c>
      <c r="E76" s="7" t="str">
        <f t="shared" si="1"/>
        <v>A</v>
      </c>
      <c r="F76" s="7" t="str">
        <f t="shared" si="2"/>
        <v>Transformative change</v>
      </c>
      <c r="G76" s="7" t="str">
        <f t="shared" si="3"/>
        <v>Low</v>
      </c>
      <c r="H76" s="7">
        <f t="shared" si="4"/>
        <v>2743183</v>
      </c>
      <c r="I76" s="7">
        <f t="shared" si="5"/>
        <v>2456304.725</v>
      </c>
      <c r="J76" s="7">
        <f t="shared" si="6"/>
        <v>152364</v>
      </c>
      <c r="K76" s="7">
        <f t="shared" si="8"/>
        <v>2231</v>
      </c>
    </row>
    <row r="77">
      <c r="A77" s="5" t="s">
        <v>228</v>
      </c>
      <c r="B77" s="5" t="s">
        <v>229</v>
      </c>
      <c r="C77" s="5" t="s">
        <v>74</v>
      </c>
      <c r="D77" s="6">
        <v>95874.0</v>
      </c>
      <c r="E77" s="7" t="str">
        <f t="shared" si="1"/>
        <v>A</v>
      </c>
      <c r="F77" s="7" t="str">
        <f t="shared" si="2"/>
        <v>Transformative change</v>
      </c>
      <c r="G77" s="7" t="str">
        <f t="shared" si="3"/>
        <v>Low</v>
      </c>
      <c r="H77" s="7">
        <f t="shared" si="4"/>
        <v>476653</v>
      </c>
      <c r="I77" s="7">
        <f t="shared" si="5"/>
        <v>410246.2483</v>
      </c>
      <c r="J77" s="7">
        <f t="shared" si="6"/>
        <v>1150488</v>
      </c>
      <c r="K77" s="7">
        <f t="shared" si="8"/>
        <v>25.19209664</v>
      </c>
    </row>
    <row r="78">
      <c r="A78" s="5" t="s">
        <v>230</v>
      </c>
      <c r="B78" s="5" t="s">
        <v>231</v>
      </c>
      <c r="C78" s="5" t="s">
        <v>232</v>
      </c>
      <c r="D78" s="6">
        <v>7401.0</v>
      </c>
      <c r="E78" s="7" t="str">
        <f t="shared" si="1"/>
        <v>E</v>
      </c>
      <c r="F78" s="7" t="str">
        <f t="shared" si="2"/>
        <v>Transformative change</v>
      </c>
      <c r="G78" s="7" t="str">
        <f t="shared" si="3"/>
        <v>Medium</v>
      </c>
      <c r="H78" s="7">
        <f t="shared" si="4"/>
        <v>1248484</v>
      </c>
      <c r="I78" s="7">
        <f t="shared" si="5"/>
        <v>523499.3936</v>
      </c>
      <c r="J78" s="7">
        <f t="shared" si="6"/>
        <v>44406</v>
      </c>
      <c r="K78" s="7">
        <f t="shared" si="8"/>
        <v>663.7989238</v>
      </c>
    </row>
    <row r="79">
      <c r="A79" s="5" t="s">
        <v>233</v>
      </c>
      <c r="B79" s="5" t="s">
        <v>234</v>
      </c>
      <c r="C79" s="5" t="s">
        <v>235</v>
      </c>
      <c r="D79" s="6">
        <v>85694.0</v>
      </c>
      <c r="E79" s="7" t="str">
        <f t="shared" si="1"/>
        <v>G</v>
      </c>
      <c r="F79" s="7" t="str">
        <f t="shared" si="2"/>
        <v>Transformative change</v>
      </c>
      <c r="G79" s="7" t="str">
        <f t="shared" si="3"/>
        <v>Medium</v>
      </c>
      <c r="H79" s="7">
        <f t="shared" si="4"/>
        <v>1701585</v>
      </c>
      <c r="I79" s="7">
        <f t="shared" si="5"/>
        <v>424034.6939</v>
      </c>
      <c r="J79" s="7">
        <f t="shared" si="6"/>
        <v>685552</v>
      </c>
      <c r="K79" s="7">
        <f t="shared" si="8"/>
        <v>6298.336566</v>
      </c>
    </row>
    <row r="80">
      <c r="A80" s="5" t="s">
        <v>236</v>
      </c>
      <c r="B80" s="5" t="s">
        <v>237</v>
      </c>
      <c r="C80" s="5" t="s">
        <v>238</v>
      </c>
      <c r="D80" s="6">
        <v>13456.0</v>
      </c>
      <c r="E80" s="7" t="str">
        <f t="shared" si="1"/>
        <v>A</v>
      </c>
      <c r="F80" s="7" t="str">
        <f t="shared" si="2"/>
        <v>High ambition</v>
      </c>
      <c r="G80" s="7" t="str">
        <f t="shared" si="3"/>
        <v>Medium</v>
      </c>
      <c r="H80" s="7">
        <f t="shared" si="4"/>
        <v>3556290</v>
      </c>
      <c r="I80" s="7">
        <f t="shared" si="5"/>
        <v>2960704.706</v>
      </c>
      <c r="J80" s="7">
        <f t="shared" si="6"/>
        <v>107648</v>
      </c>
      <c r="K80" s="7">
        <f t="shared" si="8"/>
        <v>33830.64014</v>
      </c>
    </row>
    <row r="81">
      <c r="A81" s="5" t="s">
        <v>239</v>
      </c>
      <c r="B81" s="5" t="s">
        <v>240</v>
      </c>
      <c r="C81" s="5" t="s">
        <v>241</v>
      </c>
      <c r="D81" s="6">
        <v>15740.0</v>
      </c>
      <c r="E81" s="7" t="str">
        <f t="shared" si="1"/>
        <v>E</v>
      </c>
      <c r="F81" s="7" t="str">
        <f t="shared" si="2"/>
        <v>Transformative change</v>
      </c>
      <c r="G81" s="7" t="str">
        <f t="shared" si="3"/>
        <v>Medium</v>
      </c>
      <c r="H81" s="7">
        <f t="shared" si="4"/>
        <v>3425286</v>
      </c>
      <c r="I81" s="7">
        <f t="shared" si="5"/>
        <v>3234575.225</v>
      </c>
      <c r="J81" s="7">
        <f t="shared" si="6"/>
        <v>94440</v>
      </c>
      <c r="K81" s="7">
        <f t="shared" si="8"/>
        <v>460.8438183</v>
      </c>
    </row>
    <row r="82">
      <c r="A82" s="5" t="s">
        <v>242</v>
      </c>
      <c r="B82" s="5" t="s">
        <v>243</v>
      </c>
      <c r="C82" s="5" t="s">
        <v>244</v>
      </c>
      <c r="D82" s="6">
        <v>8007.0</v>
      </c>
      <c r="E82" s="7" t="str">
        <f t="shared" si="1"/>
        <v>C</v>
      </c>
      <c r="F82" s="7" t="str">
        <f t="shared" si="2"/>
        <v>Transformative change</v>
      </c>
      <c r="G82" s="7" t="str">
        <f t="shared" si="3"/>
        <v>High</v>
      </c>
      <c r="H82" s="7">
        <f t="shared" si="4"/>
        <v>671904</v>
      </c>
      <c r="I82" s="7">
        <f t="shared" si="5"/>
        <v>120844.977</v>
      </c>
      <c r="J82" s="7">
        <f t="shared" si="6"/>
        <v>64056</v>
      </c>
      <c r="K82" s="7">
        <f t="shared" si="8"/>
        <v>2231</v>
      </c>
    </row>
    <row r="83">
      <c r="A83" s="5" t="s">
        <v>245</v>
      </c>
      <c r="B83" s="5" t="s">
        <v>246</v>
      </c>
      <c r="C83" s="5" t="s">
        <v>247</v>
      </c>
      <c r="D83" s="6">
        <v>12912.0</v>
      </c>
      <c r="E83" s="7" t="str">
        <f t="shared" si="1"/>
        <v>E</v>
      </c>
      <c r="F83" s="7" t="str">
        <f t="shared" si="2"/>
        <v>High ambition</v>
      </c>
      <c r="G83" s="7" t="str">
        <f t="shared" si="3"/>
        <v>High</v>
      </c>
      <c r="H83" s="7">
        <f t="shared" si="4"/>
        <v>1079288</v>
      </c>
      <c r="I83" s="7">
        <f t="shared" si="5"/>
        <v>8416.064635</v>
      </c>
      <c r="J83" s="7">
        <f t="shared" si="6"/>
        <v>167856</v>
      </c>
      <c r="K83" s="7">
        <f t="shared" si="8"/>
        <v>25948.399</v>
      </c>
    </row>
    <row r="84">
      <c r="A84" s="5" t="s">
        <v>248</v>
      </c>
      <c r="B84" s="5" t="s">
        <v>249</v>
      </c>
      <c r="C84" s="5" t="s">
        <v>250</v>
      </c>
      <c r="D84" s="6">
        <v>5488.0</v>
      </c>
      <c r="E84" s="7" t="str">
        <f t="shared" si="1"/>
        <v>B</v>
      </c>
      <c r="F84" s="7" t="str">
        <f t="shared" si="2"/>
        <v>Transformative change</v>
      </c>
      <c r="G84" s="7" t="str">
        <f t="shared" si="3"/>
        <v>High</v>
      </c>
      <c r="H84" s="7">
        <f t="shared" si="4"/>
        <v>3296869</v>
      </c>
      <c r="I84" s="7">
        <f t="shared" si="5"/>
        <v>1695406.928</v>
      </c>
      <c r="J84" s="7">
        <f t="shared" si="6"/>
        <v>32928</v>
      </c>
      <c r="K84" s="7">
        <f t="shared" si="8"/>
        <v>2231</v>
      </c>
    </row>
    <row r="85">
      <c r="A85" s="5" t="s">
        <v>251</v>
      </c>
      <c r="B85" s="5" t="s">
        <v>252</v>
      </c>
      <c r="C85" s="5" t="s">
        <v>253</v>
      </c>
      <c r="D85" s="6">
        <v>46833.0</v>
      </c>
      <c r="E85" s="7" t="str">
        <f t="shared" si="1"/>
        <v>D</v>
      </c>
      <c r="F85" s="7" t="str">
        <f t="shared" si="2"/>
        <v>Transformative change</v>
      </c>
      <c r="G85" s="7" t="str">
        <f t="shared" si="3"/>
        <v>High</v>
      </c>
      <c r="H85" s="7">
        <f t="shared" si="4"/>
        <v>928829</v>
      </c>
      <c r="I85" s="7">
        <f t="shared" si="5"/>
        <v>569909.6292</v>
      </c>
      <c r="J85" s="7">
        <f t="shared" si="6"/>
        <v>655662</v>
      </c>
      <c r="K85" s="7">
        <f t="shared" si="8"/>
        <v>32216.72371</v>
      </c>
    </row>
    <row r="86">
      <c r="A86" s="5" t="s">
        <v>254</v>
      </c>
      <c r="B86" s="5" t="s">
        <v>255</v>
      </c>
      <c r="C86" s="5" t="s">
        <v>74</v>
      </c>
      <c r="D86" s="6">
        <v>18864.0</v>
      </c>
      <c r="E86" s="7" t="str">
        <f t="shared" si="1"/>
        <v>B</v>
      </c>
      <c r="F86" s="7" t="str">
        <f t="shared" si="2"/>
        <v>Transformative change</v>
      </c>
      <c r="G86" s="7" t="str">
        <f t="shared" si="3"/>
        <v>High</v>
      </c>
      <c r="H86" s="7">
        <f t="shared" si="4"/>
        <v>3226564</v>
      </c>
      <c r="I86" s="7">
        <f t="shared" si="5"/>
        <v>1879053.909</v>
      </c>
      <c r="J86" s="7">
        <f t="shared" si="6"/>
        <v>94320</v>
      </c>
      <c r="K86" s="7">
        <f t="shared" si="8"/>
        <v>2231</v>
      </c>
    </row>
    <row r="87">
      <c r="A87" s="5" t="s">
        <v>256</v>
      </c>
      <c r="B87" s="5" t="s">
        <v>257</v>
      </c>
      <c r="C87" s="5" t="s">
        <v>258</v>
      </c>
      <c r="D87" s="6">
        <v>70757.0</v>
      </c>
      <c r="E87" s="7" t="str">
        <f t="shared" si="1"/>
        <v>D</v>
      </c>
      <c r="F87" s="7" t="str">
        <f t="shared" si="2"/>
        <v>Transformative change</v>
      </c>
      <c r="G87" s="7" t="str">
        <f t="shared" si="3"/>
        <v>Medium</v>
      </c>
      <c r="H87" s="7">
        <f t="shared" si="4"/>
        <v>3126175</v>
      </c>
      <c r="I87" s="7">
        <f t="shared" si="5"/>
        <v>1852195.022</v>
      </c>
      <c r="J87" s="7">
        <f t="shared" si="6"/>
        <v>778327</v>
      </c>
      <c r="K87" s="7">
        <f t="shared" si="8"/>
        <v>301126.4976</v>
      </c>
    </row>
    <row r="88">
      <c r="A88" s="5" t="s">
        <v>259</v>
      </c>
      <c r="B88" s="5" t="s">
        <v>260</v>
      </c>
      <c r="C88" s="5" t="s">
        <v>261</v>
      </c>
      <c r="D88" s="6">
        <v>5440.0</v>
      </c>
      <c r="E88" s="7" t="str">
        <f t="shared" si="1"/>
        <v>E</v>
      </c>
      <c r="F88" s="7" t="str">
        <f t="shared" si="2"/>
        <v>Transformative change</v>
      </c>
      <c r="G88" s="7" t="str">
        <f t="shared" si="3"/>
        <v>Low</v>
      </c>
      <c r="H88" s="7">
        <f t="shared" si="4"/>
        <v>2048848</v>
      </c>
      <c r="I88" s="7">
        <f t="shared" si="5"/>
        <v>1503441.009</v>
      </c>
      <c r="J88" s="7">
        <f t="shared" si="6"/>
        <v>81600</v>
      </c>
      <c r="K88" s="7">
        <f t="shared" si="8"/>
        <v>2231</v>
      </c>
    </row>
    <row r="89">
      <c r="A89" s="5" t="s">
        <v>262</v>
      </c>
      <c r="B89" s="5" t="s">
        <v>263</v>
      </c>
      <c r="C89" s="5" t="s">
        <v>264</v>
      </c>
      <c r="D89" s="6">
        <v>5582.0</v>
      </c>
      <c r="E89" s="7" t="str">
        <f t="shared" si="1"/>
        <v>D</v>
      </c>
      <c r="F89" s="7" t="str">
        <f t="shared" si="2"/>
        <v>Transformative change</v>
      </c>
      <c r="G89" s="7" t="str">
        <f t="shared" si="3"/>
        <v>High</v>
      </c>
      <c r="H89" s="7">
        <f t="shared" si="4"/>
        <v>555423</v>
      </c>
      <c r="I89" s="7">
        <f t="shared" si="5"/>
        <v>175222.1331</v>
      </c>
      <c r="J89" s="7">
        <f t="shared" si="6"/>
        <v>44656</v>
      </c>
      <c r="K89" s="7">
        <f t="shared" si="8"/>
        <v>2338.615493</v>
      </c>
    </row>
    <row r="90">
      <c r="A90" s="5" t="s">
        <v>265</v>
      </c>
      <c r="B90" s="5" t="s">
        <v>266</v>
      </c>
      <c r="C90" s="5" t="s">
        <v>74</v>
      </c>
      <c r="D90" s="6">
        <v>97745.0</v>
      </c>
      <c r="E90" s="7" t="str">
        <f t="shared" si="1"/>
        <v>E</v>
      </c>
      <c r="F90" s="7" t="str">
        <f t="shared" si="2"/>
        <v>Transformative change</v>
      </c>
      <c r="G90" s="7" t="str">
        <f t="shared" si="3"/>
        <v>Low</v>
      </c>
      <c r="H90" s="7">
        <f t="shared" si="4"/>
        <v>1468804</v>
      </c>
      <c r="I90" s="7">
        <f t="shared" si="5"/>
        <v>1454321.499</v>
      </c>
      <c r="J90" s="7">
        <f t="shared" si="6"/>
        <v>879705</v>
      </c>
      <c r="K90" s="7">
        <f t="shared" si="8"/>
        <v>47.2574504</v>
      </c>
    </row>
    <row r="91">
      <c r="A91" s="5" t="s">
        <v>267</v>
      </c>
      <c r="B91" s="5" t="s">
        <v>268</v>
      </c>
      <c r="C91" s="5" t="s">
        <v>269</v>
      </c>
      <c r="D91" s="6">
        <v>317025.0</v>
      </c>
      <c r="E91" s="7" t="str">
        <f t="shared" si="1"/>
        <v>F</v>
      </c>
      <c r="F91" s="7" t="str">
        <f t="shared" si="2"/>
        <v>Transformative change</v>
      </c>
      <c r="G91" s="7" t="str">
        <f t="shared" si="3"/>
        <v>High</v>
      </c>
      <c r="H91" s="7">
        <f t="shared" si="4"/>
        <v>524324</v>
      </c>
      <c r="I91" s="7">
        <f t="shared" si="5"/>
        <v>87473.69056</v>
      </c>
      <c r="J91" s="7">
        <f t="shared" si="6"/>
        <v>3170250</v>
      </c>
      <c r="K91" s="7">
        <f t="shared" si="8"/>
        <v>2231</v>
      </c>
    </row>
    <row r="92">
      <c r="A92" s="5" t="s">
        <v>270</v>
      </c>
      <c r="B92" s="5" t="s">
        <v>271</v>
      </c>
      <c r="C92" s="5" t="s">
        <v>272</v>
      </c>
      <c r="D92" s="6">
        <v>12863.0</v>
      </c>
      <c r="E92" s="7" t="str">
        <f t="shared" si="1"/>
        <v>A</v>
      </c>
      <c r="F92" s="7" t="str">
        <f t="shared" si="2"/>
        <v>Transformative change</v>
      </c>
      <c r="G92" s="7" t="str">
        <f t="shared" si="3"/>
        <v>High</v>
      </c>
      <c r="H92" s="7">
        <f t="shared" si="4"/>
        <v>1507206</v>
      </c>
      <c r="I92" s="7">
        <f t="shared" si="5"/>
        <v>1442981.777</v>
      </c>
      <c r="J92" s="7">
        <f t="shared" si="6"/>
        <v>90041</v>
      </c>
      <c r="K92" s="7">
        <f t="shared" si="8"/>
        <v>2231</v>
      </c>
    </row>
    <row r="93">
      <c r="A93" s="5" t="s">
        <v>273</v>
      </c>
      <c r="B93" s="5" t="s">
        <v>274</v>
      </c>
      <c r="C93" s="5" t="s">
        <v>275</v>
      </c>
      <c r="D93" s="6">
        <v>16875.0</v>
      </c>
      <c r="E93" s="7" t="str">
        <f t="shared" si="1"/>
        <v>B</v>
      </c>
      <c r="F93" s="7" t="str">
        <f t="shared" si="2"/>
        <v>Transformative change</v>
      </c>
      <c r="G93" s="7" t="str">
        <f t="shared" si="3"/>
        <v>Medium</v>
      </c>
      <c r="H93" s="7">
        <f t="shared" si="4"/>
        <v>519287</v>
      </c>
      <c r="I93" s="7">
        <f t="shared" si="5"/>
        <v>241316.5986</v>
      </c>
      <c r="J93" s="7">
        <f t="shared" si="6"/>
        <v>118125</v>
      </c>
      <c r="K93" s="7">
        <f t="shared" si="8"/>
        <v>39319.31057</v>
      </c>
    </row>
    <row r="94">
      <c r="A94" s="5" t="s">
        <v>276</v>
      </c>
      <c r="B94" s="5" t="s">
        <v>277</v>
      </c>
      <c r="C94" s="5" t="s">
        <v>278</v>
      </c>
      <c r="D94" s="6">
        <v>10288.0</v>
      </c>
      <c r="E94" s="7" t="str">
        <f t="shared" si="1"/>
        <v>A</v>
      </c>
      <c r="F94" s="7" t="str">
        <f t="shared" si="2"/>
        <v>Transformative change</v>
      </c>
      <c r="G94" s="7" t="str">
        <f t="shared" si="3"/>
        <v>Low</v>
      </c>
      <c r="H94" s="7">
        <f t="shared" si="4"/>
        <v>3648967</v>
      </c>
      <c r="I94" s="7">
        <f t="shared" si="5"/>
        <v>3578372.965</v>
      </c>
      <c r="J94" s="7">
        <f t="shared" si="6"/>
        <v>72016</v>
      </c>
      <c r="K94" s="7">
        <f t="shared" si="8"/>
        <v>9259.056834</v>
      </c>
    </row>
    <row r="95">
      <c r="A95" s="5" t="s">
        <v>279</v>
      </c>
      <c r="B95" s="5" t="s">
        <v>280</v>
      </c>
      <c r="C95" s="5" t="s">
        <v>281</v>
      </c>
      <c r="D95" s="6">
        <v>16947.0</v>
      </c>
      <c r="E95" s="7" t="str">
        <f t="shared" si="1"/>
        <v>C</v>
      </c>
      <c r="F95" s="7" t="str">
        <f t="shared" si="2"/>
        <v>Transformative change</v>
      </c>
      <c r="G95" s="7" t="str">
        <f t="shared" si="3"/>
        <v>Low</v>
      </c>
      <c r="H95" s="7">
        <f t="shared" si="4"/>
        <v>1966550</v>
      </c>
      <c r="I95" s="7">
        <f t="shared" si="5"/>
        <v>1498621.399</v>
      </c>
      <c r="J95" s="7">
        <f t="shared" si="6"/>
        <v>67788</v>
      </c>
      <c r="K95" s="7">
        <f t="shared" si="8"/>
        <v>2231</v>
      </c>
    </row>
    <row r="96">
      <c r="A96" s="5" t="s">
        <v>282</v>
      </c>
      <c r="B96" s="5" t="s">
        <v>283</v>
      </c>
      <c r="C96" s="5" t="s">
        <v>284</v>
      </c>
      <c r="D96" s="6">
        <v>8168.0</v>
      </c>
      <c r="E96" s="7" t="str">
        <f t="shared" si="1"/>
        <v>E</v>
      </c>
      <c r="F96" s="7" t="str">
        <f t="shared" si="2"/>
        <v>High ambition</v>
      </c>
      <c r="G96" s="7" t="str">
        <f t="shared" si="3"/>
        <v>Low</v>
      </c>
      <c r="H96" s="7">
        <f t="shared" si="4"/>
        <v>3352815</v>
      </c>
      <c r="I96" s="7">
        <f t="shared" si="5"/>
        <v>2095430.6</v>
      </c>
      <c r="J96" s="7">
        <f t="shared" si="6"/>
        <v>114352</v>
      </c>
      <c r="K96" s="7">
        <f t="shared" si="8"/>
        <v>2231</v>
      </c>
    </row>
    <row r="97">
      <c r="A97" s="5" t="s">
        <v>285</v>
      </c>
      <c r="B97" s="5" t="s">
        <v>286</v>
      </c>
      <c r="C97" s="5" t="s">
        <v>287</v>
      </c>
      <c r="D97" s="6">
        <v>5276.0</v>
      </c>
      <c r="E97" s="7" t="str">
        <f t="shared" si="1"/>
        <v>G</v>
      </c>
      <c r="F97" s="7" t="str">
        <f t="shared" si="2"/>
        <v>Transformative change</v>
      </c>
      <c r="G97" s="7" t="str">
        <f t="shared" si="3"/>
        <v>High</v>
      </c>
      <c r="H97" s="7">
        <f t="shared" si="4"/>
        <v>555578</v>
      </c>
      <c r="I97" s="7">
        <f t="shared" si="5"/>
        <v>2554.987953</v>
      </c>
      <c r="J97" s="7">
        <f t="shared" si="6"/>
        <v>47484</v>
      </c>
      <c r="K97" s="7">
        <f t="shared" si="8"/>
        <v>2231</v>
      </c>
    </row>
    <row r="98">
      <c r="A98" s="5" t="s">
        <v>288</v>
      </c>
      <c r="B98" s="5" t="s">
        <v>289</v>
      </c>
      <c r="C98" s="5" t="s">
        <v>290</v>
      </c>
      <c r="D98" s="6">
        <v>17509.0</v>
      </c>
      <c r="E98" s="7" t="str">
        <f t="shared" si="1"/>
        <v>B</v>
      </c>
      <c r="F98" s="7" t="str">
        <f t="shared" si="2"/>
        <v>Transformative change</v>
      </c>
      <c r="G98" s="7" t="str">
        <f t="shared" si="3"/>
        <v>Medium</v>
      </c>
      <c r="H98" s="7">
        <f t="shared" si="4"/>
        <v>3934680</v>
      </c>
      <c r="I98" s="7">
        <f t="shared" si="5"/>
        <v>862718.8243</v>
      </c>
      <c r="J98" s="7">
        <f t="shared" si="6"/>
        <v>87545</v>
      </c>
      <c r="K98" s="7">
        <f t="shared" si="8"/>
        <v>25705.53529</v>
      </c>
    </row>
    <row r="99">
      <c r="A99" s="5" t="s">
        <v>291</v>
      </c>
      <c r="B99" s="5" t="s">
        <v>292</v>
      </c>
      <c r="C99" s="5" t="s">
        <v>293</v>
      </c>
      <c r="D99" s="6">
        <v>10243.0</v>
      </c>
      <c r="E99" s="7" t="str">
        <f t="shared" si="1"/>
        <v>C</v>
      </c>
      <c r="F99" s="7" t="str">
        <f t="shared" si="2"/>
        <v>Transformative change</v>
      </c>
      <c r="G99" s="7" t="str">
        <f t="shared" si="3"/>
        <v>Low</v>
      </c>
      <c r="H99" s="7">
        <f t="shared" si="4"/>
        <v>2580112</v>
      </c>
      <c r="I99" s="7">
        <f t="shared" si="5"/>
        <v>91207.18051</v>
      </c>
      <c r="J99" s="7">
        <f t="shared" si="6"/>
        <v>112673</v>
      </c>
      <c r="K99" s="7">
        <f t="shared" si="8"/>
        <v>47.46485416</v>
      </c>
    </row>
    <row r="100">
      <c r="A100" s="5" t="s">
        <v>294</v>
      </c>
      <c r="B100" s="5" t="s">
        <v>295</v>
      </c>
      <c r="C100" s="5" t="s">
        <v>74</v>
      </c>
      <c r="D100" s="6">
        <v>243999.0</v>
      </c>
      <c r="E100" s="7" t="str">
        <f t="shared" si="1"/>
        <v>D</v>
      </c>
      <c r="F100" s="7" t="str">
        <f t="shared" si="2"/>
        <v>High ambition</v>
      </c>
      <c r="G100" s="7" t="str">
        <f t="shared" si="3"/>
        <v>Low</v>
      </c>
      <c r="H100" s="7">
        <f t="shared" si="4"/>
        <v>1624673</v>
      </c>
      <c r="I100" s="7">
        <f t="shared" si="5"/>
        <v>1336157.214</v>
      </c>
      <c r="J100" s="7">
        <f t="shared" si="6"/>
        <v>1707993</v>
      </c>
      <c r="K100" s="7">
        <f t="shared" si="8"/>
        <v>2231</v>
      </c>
    </row>
    <row r="101">
      <c r="A101" s="5" t="s">
        <v>296</v>
      </c>
      <c r="B101" s="5" t="s">
        <v>297</v>
      </c>
      <c r="C101" s="5" t="s">
        <v>298</v>
      </c>
      <c r="D101" s="6">
        <v>17116.0</v>
      </c>
      <c r="E101" s="7" t="str">
        <f t="shared" si="1"/>
        <v>B</v>
      </c>
      <c r="F101" s="7" t="str">
        <f t="shared" si="2"/>
        <v>Transformative change</v>
      </c>
      <c r="G101" s="7" t="str">
        <f t="shared" si="3"/>
        <v>Low</v>
      </c>
      <c r="H101" s="7">
        <f t="shared" si="4"/>
        <v>817841</v>
      </c>
      <c r="I101" s="7">
        <f t="shared" si="5"/>
        <v>340716.0265</v>
      </c>
      <c r="J101" s="7">
        <f t="shared" si="6"/>
        <v>188276</v>
      </c>
      <c r="K101" s="7">
        <f t="shared" si="8"/>
        <v>1699.476088</v>
      </c>
    </row>
    <row r="102">
      <c r="A102" s="5" t="s">
        <v>299</v>
      </c>
      <c r="B102" s="5" t="s">
        <v>300</v>
      </c>
      <c r="C102" s="5" t="s">
        <v>301</v>
      </c>
      <c r="D102" s="6">
        <v>479335.0</v>
      </c>
      <c r="E102" s="7" t="str">
        <f t="shared" si="1"/>
        <v>F</v>
      </c>
      <c r="F102" s="7" t="str">
        <f t="shared" si="2"/>
        <v>Transformative change</v>
      </c>
      <c r="G102" s="7" t="str">
        <f t="shared" si="3"/>
        <v>High</v>
      </c>
      <c r="H102" s="7">
        <f t="shared" si="4"/>
        <v>331314</v>
      </c>
      <c r="I102" s="7">
        <f t="shared" si="5"/>
        <v>186080.9978</v>
      </c>
      <c r="J102" s="7">
        <f t="shared" si="6"/>
        <v>5272685</v>
      </c>
      <c r="K102" s="7">
        <f t="shared" si="8"/>
        <v>2231</v>
      </c>
    </row>
    <row r="103">
      <c r="A103" s="5" t="s">
        <v>302</v>
      </c>
      <c r="B103" s="5" t="s">
        <v>303</v>
      </c>
      <c r="C103" s="5" t="s">
        <v>304</v>
      </c>
      <c r="D103" s="6">
        <v>252933.0</v>
      </c>
      <c r="E103" s="7" t="str">
        <f t="shared" si="1"/>
        <v>A</v>
      </c>
      <c r="F103" s="7" t="str">
        <f t="shared" si="2"/>
        <v>Transformative change</v>
      </c>
      <c r="G103" s="7" t="str">
        <f t="shared" si="3"/>
        <v>High</v>
      </c>
      <c r="H103" s="7">
        <f t="shared" si="4"/>
        <v>3621545</v>
      </c>
      <c r="I103" s="7">
        <f t="shared" si="5"/>
        <v>1776361.532</v>
      </c>
      <c r="J103" s="7">
        <f t="shared" si="6"/>
        <v>2782263</v>
      </c>
      <c r="K103" s="7">
        <f t="shared" si="8"/>
        <v>2231</v>
      </c>
    </row>
    <row r="104">
      <c r="A104" s="5" t="s">
        <v>305</v>
      </c>
      <c r="B104" s="5" t="s">
        <v>306</v>
      </c>
      <c r="C104" s="5" t="s">
        <v>74</v>
      </c>
      <c r="D104" s="6">
        <v>8106.0</v>
      </c>
      <c r="E104" s="7" t="str">
        <f t="shared" si="1"/>
        <v>D</v>
      </c>
      <c r="F104" s="7" t="str">
        <f t="shared" si="2"/>
        <v>Transformative change</v>
      </c>
      <c r="G104" s="7" t="str">
        <f t="shared" si="3"/>
        <v>Low</v>
      </c>
      <c r="H104" s="7">
        <f t="shared" si="4"/>
        <v>2486588</v>
      </c>
      <c r="I104" s="7">
        <f t="shared" si="5"/>
        <v>2119440.467</v>
      </c>
      <c r="J104" s="7">
        <f t="shared" si="6"/>
        <v>105378</v>
      </c>
      <c r="K104" s="7">
        <f t="shared" si="8"/>
        <v>31657.82386</v>
      </c>
    </row>
    <row r="105">
      <c r="A105" s="5" t="s">
        <v>307</v>
      </c>
      <c r="B105" s="5" t="s">
        <v>308</v>
      </c>
      <c r="C105" s="5" t="s">
        <v>309</v>
      </c>
      <c r="D105" s="6">
        <v>19323.0</v>
      </c>
      <c r="E105" s="7" t="str">
        <f t="shared" si="1"/>
        <v>A</v>
      </c>
      <c r="F105" s="7" t="str">
        <f t="shared" si="2"/>
        <v>Transformative change</v>
      </c>
      <c r="G105" s="7" t="str">
        <f t="shared" si="3"/>
        <v>Medium</v>
      </c>
      <c r="H105" s="7">
        <f t="shared" si="4"/>
        <v>1652600</v>
      </c>
      <c r="I105" s="7">
        <f t="shared" si="5"/>
        <v>30091.22231</v>
      </c>
      <c r="J105" s="7">
        <f t="shared" si="6"/>
        <v>154584</v>
      </c>
      <c r="K105" s="7">
        <f t="shared" si="8"/>
        <v>1951.053623</v>
      </c>
    </row>
    <row r="106">
      <c r="A106" s="5" t="s">
        <v>310</v>
      </c>
      <c r="B106" s="5" t="s">
        <v>311</v>
      </c>
      <c r="C106" s="5" t="s">
        <v>312</v>
      </c>
      <c r="D106" s="6">
        <v>18234.0</v>
      </c>
      <c r="E106" s="7" t="str">
        <f t="shared" si="1"/>
        <v>C</v>
      </c>
      <c r="F106" s="7" t="str">
        <f t="shared" si="2"/>
        <v>High ambition</v>
      </c>
      <c r="G106" s="7" t="str">
        <f t="shared" si="3"/>
        <v>Low</v>
      </c>
      <c r="H106" s="7">
        <f t="shared" si="4"/>
        <v>1131629</v>
      </c>
      <c r="I106" s="7">
        <f t="shared" si="5"/>
        <v>608220.905</v>
      </c>
      <c r="J106" s="7">
        <f t="shared" si="6"/>
        <v>91170</v>
      </c>
      <c r="K106" s="7">
        <f t="shared" si="8"/>
        <v>2231</v>
      </c>
    </row>
    <row r="107">
      <c r="A107" s="5" t="s">
        <v>313</v>
      </c>
      <c r="B107" s="5" t="s">
        <v>314</v>
      </c>
      <c r="C107" s="5" t="s">
        <v>315</v>
      </c>
      <c r="D107" s="6">
        <v>6177.0</v>
      </c>
      <c r="E107" s="7" t="str">
        <f t="shared" si="1"/>
        <v>B</v>
      </c>
      <c r="F107" s="7" t="str">
        <f t="shared" si="2"/>
        <v>High ambition</v>
      </c>
      <c r="G107" s="7" t="str">
        <f t="shared" si="3"/>
        <v>High</v>
      </c>
      <c r="H107" s="7">
        <f t="shared" si="4"/>
        <v>1732126</v>
      </c>
      <c r="I107" s="7">
        <f t="shared" si="5"/>
        <v>1083500.943</v>
      </c>
      <c r="J107" s="7">
        <f t="shared" si="6"/>
        <v>86478</v>
      </c>
      <c r="K107" s="7">
        <f t="shared" si="8"/>
        <v>73582.7553</v>
      </c>
    </row>
    <row r="108">
      <c r="A108" s="5" t="s">
        <v>316</v>
      </c>
      <c r="B108" s="5" t="s">
        <v>317</v>
      </c>
      <c r="C108" s="5" t="s">
        <v>318</v>
      </c>
      <c r="D108" s="6">
        <v>17535.0</v>
      </c>
      <c r="E108" s="7" t="str">
        <f t="shared" si="1"/>
        <v>C</v>
      </c>
      <c r="F108" s="7" t="str">
        <f t="shared" si="2"/>
        <v>Transformative change</v>
      </c>
      <c r="G108" s="7" t="str">
        <f t="shared" si="3"/>
        <v>Medium</v>
      </c>
      <c r="H108" s="7">
        <f t="shared" si="4"/>
        <v>2815303</v>
      </c>
      <c r="I108" s="7">
        <f t="shared" si="5"/>
        <v>1354672.5</v>
      </c>
      <c r="J108" s="7">
        <f t="shared" si="6"/>
        <v>210420</v>
      </c>
      <c r="K108" s="7">
        <f t="shared" si="8"/>
        <v>2231</v>
      </c>
    </row>
    <row r="109">
      <c r="A109" s="5" t="s">
        <v>319</v>
      </c>
      <c r="B109" s="5" t="s">
        <v>320</v>
      </c>
      <c r="C109" s="5" t="s">
        <v>321</v>
      </c>
      <c r="D109" s="6">
        <v>18409.0</v>
      </c>
      <c r="E109" s="7" t="str">
        <f t="shared" si="1"/>
        <v>C</v>
      </c>
      <c r="F109" s="7" t="str">
        <f t="shared" si="2"/>
        <v>Transformative change</v>
      </c>
      <c r="G109" s="7" t="str">
        <f t="shared" si="3"/>
        <v>High</v>
      </c>
      <c r="H109" s="7">
        <f t="shared" si="4"/>
        <v>2255587</v>
      </c>
      <c r="I109" s="7">
        <f t="shared" si="5"/>
        <v>1441446.316</v>
      </c>
      <c r="J109" s="7">
        <f t="shared" si="6"/>
        <v>220908</v>
      </c>
      <c r="K109" s="7">
        <f t="shared" si="8"/>
        <v>27642.91073</v>
      </c>
    </row>
    <row r="110">
      <c r="A110" s="5" t="s">
        <v>322</v>
      </c>
      <c r="B110" s="5" t="s">
        <v>323</v>
      </c>
      <c r="C110" s="5" t="s">
        <v>324</v>
      </c>
      <c r="D110" s="6">
        <v>18289.0</v>
      </c>
      <c r="E110" s="7" t="str">
        <f t="shared" si="1"/>
        <v>B</v>
      </c>
      <c r="F110" s="7" t="str">
        <f t="shared" si="2"/>
        <v>Transformative change</v>
      </c>
      <c r="G110" s="7" t="str">
        <f t="shared" si="3"/>
        <v>Medium</v>
      </c>
      <c r="H110" s="7">
        <f t="shared" si="4"/>
        <v>1316649</v>
      </c>
      <c r="I110" s="7">
        <f t="shared" si="5"/>
        <v>813080.9279</v>
      </c>
      <c r="J110" s="7">
        <f t="shared" si="6"/>
        <v>73156</v>
      </c>
      <c r="K110" s="7">
        <f t="shared" si="8"/>
        <v>2231</v>
      </c>
    </row>
    <row r="111">
      <c r="A111" s="5" t="s">
        <v>325</v>
      </c>
      <c r="B111" s="5" t="s">
        <v>326</v>
      </c>
      <c r="C111" s="5" t="s">
        <v>74</v>
      </c>
      <c r="D111" s="6">
        <v>423787.0</v>
      </c>
      <c r="E111" s="7" t="str">
        <f t="shared" si="1"/>
        <v>A</v>
      </c>
      <c r="F111" s="7" t="str">
        <f t="shared" si="2"/>
        <v>Transformative change</v>
      </c>
      <c r="G111" s="7" t="str">
        <f t="shared" si="3"/>
        <v>Medium</v>
      </c>
      <c r="H111" s="7">
        <f t="shared" si="4"/>
        <v>3673521</v>
      </c>
      <c r="I111" s="7">
        <f t="shared" si="5"/>
        <v>2653370.568</v>
      </c>
      <c r="J111" s="7">
        <f t="shared" si="6"/>
        <v>5509231</v>
      </c>
      <c r="K111" s="7">
        <f t="shared" si="8"/>
        <v>18267.39132</v>
      </c>
    </row>
    <row r="112">
      <c r="A112" s="5" t="s">
        <v>327</v>
      </c>
      <c r="B112" s="5" t="s">
        <v>328</v>
      </c>
      <c r="C112" s="5" t="s">
        <v>329</v>
      </c>
      <c r="D112" s="6">
        <v>17528.0</v>
      </c>
      <c r="E112" s="7" t="str">
        <f t="shared" si="1"/>
        <v>D</v>
      </c>
      <c r="F112" s="7" t="str">
        <f t="shared" si="2"/>
        <v>Transformative change</v>
      </c>
      <c r="G112" s="7" t="str">
        <f t="shared" si="3"/>
        <v>High</v>
      </c>
      <c r="H112" s="7">
        <f t="shared" si="4"/>
        <v>2587128</v>
      </c>
      <c r="I112" s="7">
        <f t="shared" si="5"/>
        <v>2301237.446</v>
      </c>
      <c r="J112" s="7">
        <f t="shared" si="6"/>
        <v>210336</v>
      </c>
      <c r="K112" s="7">
        <f t="shared" si="8"/>
        <v>394.5719063</v>
      </c>
    </row>
    <row r="113">
      <c r="A113" s="5" t="s">
        <v>330</v>
      </c>
      <c r="B113" s="5" t="s">
        <v>331</v>
      </c>
      <c r="C113" s="5" t="s">
        <v>332</v>
      </c>
      <c r="D113" s="6">
        <v>5442.0</v>
      </c>
      <c r="E113" s="7" t="str">
        <f t="shared" si="1"/>
        <v>E</v>
      </c>
      <c r="F113" s="7" t="str">
        <f t="shared" si="2"/>
        <v>Transformative change</v>
      </c>
      <c r="G113" s="7" t="str">
        <f t="shared" si="3"/>
        <v>High</v>
      </c>
      <c r="H113" s="7">
        <f t="shared" si="4"/>
        <v>1164177</v>
      </c>
      <c r="I113" s="7">
        <f t="shared" si="5"/>
        <v>17650.97847</v>
      </c>
      <c r="J113" s="7">
        <f t="shared" si="6"/>
        <v>21768</v>
      </c>
      <c r="K113" s="7">
        <f t="shared" si="8"/>
        <v>809.7988709</v>
      </c>
    </row>
    <row r="114">
      <c r="A114" s="5" t="s">
        <v>333</v>
      </c>
      <c r="B114" s="5" t="s">
        <v>334</v>
      </c>
      <c r="C114" s="5" t="s">
        <v>335</v>
      </c>
      <c r="D114" s="6">
        <v>92106.0</v>
      </c>
      <c r="E114" s="7" t="str">
        <f t="shared" si="1"/>
        <v>E</v>
      </c>
      <c r="F114" s="7" t="str">
        <f t="shared" si="2"/>
        <v>High ambition</v>
      </c>
      <c r="G114" s="7" t="str">
        <f t="shared" si="3"/>
        <v>High</v>
      </c>
      <c r="H114" s="7">
        <f t="shared" si="4"/>
        <v>2399805</v>
      </c>
      <c r="I114" s="7">
        <f t="shared" si="5"/>
        <v>2200049.414</v>
      </c>
      <c r="J114" s="7">
        <f t="shared" si="6"/>
        <v>1197378</v>
      </c>
      <c r="K114" s="7">
        <f t="shared" si="8"/>
        <v>15.95257298</v>
      </c>
    </row>
    <row r="115">
      <c r="A115" s="5" t="s">
        <v>336</v>
      </c>
      <c r="B115" s="5" t="s">
        <v>337</v>
      </c>
      <c r="C115" s="5" t="s">
        <v>338</v>
      </c>
      <c r="D115" s="6">
        <v>16350.0</v>
      </c>
      <c r="E115" s="7" t="str">
        <f t="shared" si="1"/>
        <v>B</v>
      </c>
      <c r="F115" s="7" t="str">
        <f t="shared" si="2"/>
        <v>Transformative change</v>
      </c>
      <c r="G115" s="7" t="str">
        <f t="shared" si="3"/>
        <v>Low</v>
      </c>
      <c r="H115" s="7">
        <f t="shared" si="4"/>
        <v>693124</v>
      </c>
      <c r="I115" s="7">
        <f t="shared" si="5"/>
        <v>168263.673</v>
      </c>
      <c r="J115" s="7">
        <f t="shared" si="6"/>
        <v>114450</v>
      </c>
      <c r="K115" s="7">
        <f t="shared" si="8"/>
        <v>2231</v>
      </c>
    </row>
    <row r="116">
      <c r="A116" s="5" t="s">
        <v>339</v>
      </c>
      <c r="B116" s="5" t="s">
        <v>340</v>
      </c>
      <c r="C116" s="5" t="s">
        <v>341</v>
      </c>
      <c r="D116" s="6">
        <v>76105.0</v>
      </c>
      <c r="E116" s="7" t="str">
        <f t="shared" si="1"/>
        <v>B</v>
      </c>
      <c r="F116" s="7" t="str">
        <f t="shared" si="2"/>
        <v>High ambition</v>
      </c>
      <c r="G116" s="7" t="str">
        <f t="shared" si="3"/>
        <v>Medium</v>
      </c>
      <c r="H116" s="7">
        <f t="shared" si="4"/>
        <v>310091</v>
      </c>
      <c r="I116" s="7">
        <f t="shared" si="5"/>
        <v>187054.3486</v>
      </c>
      <c r="J116" s="7">
        <f t="shared" si="6"/>
        <v>989365</v>
      </c>
      <c r="K116" s="7">
        <f t="shared" si="8"/>
        <v>259354.9932</v>
      </c>
    </row>
    <row r="117">
      <c r="A117" s="5" t="s">
        <v>342</v>
      </c>
      <c r="B117" s="5" t="s">
        <v>343</v>
      </c>
      <c r="C117" s="5" t="s">
        <v>344</v>
      </c>
      <c r="D117" s="6">
        <v>7365.0</v>
      </c>
      <c r="E117" s="7" t="str">
        <f t="shared" si="1"/>
        <v>F</v>
      </c>
      <c r="F117" s="7" t="str">
        <f t="shared" si="2"/>
        <v>Transformative change</v>
      </c>
      <c r="G117" s="7" t="str">
        <f t="shared" si="3"/>
        <v>High</v>
      </c>
      <c r="H117" s="7">
        <f t="shared" si="4"/>
        <v>2530535</v>
      </c>
      <c r="I117" s="7">
        <f t="shared" si="5"/>
        <v>1242601.356</v>
      </c>
      <c r="J117" s="7">
        <f t="shared" si="6"/>
        <v>110475</v>
      </c>
      <c r="K117" s="7">
        <f t="shared" si="8"/>
        <v>2231</v>
      </c>
    </row>
    <row r="118">
      <c r="A118" s="5" t="s">
        <v>345</v>
      </c>
      <c r="B118" s="5" t="s">
        <v>346</v>
      </c>
      <c r="C118" s="5" t="s">
        <v>347</v>
      </c>
      <c r="D118" s="6">
        <v>328085.0</v>
      </c>
      <c r="E118" s="7" t="str">
        <f t="shared" si="1"/>
        <v>F</v>
      </c>
      <c r="F118" s="7" t="str">
        <f t="shared" si="2"/>
        <v>Transformative change</v>
      </c>
      <c r="G118" s="7" t="str">
        <f t="shared" si="3"/>
        <v>High</v>
      </c>
      <c r="H118" s="7">
        <f t="shared" si="4"/>
        <v>3676353</v>
      </c>
      <c r="I118" s="7">
        <f t="shared" si="5"/>
        <v>865399.4762</v>
      </c>
      <c r="J118" s="7">
        <f t="shared" si="6"/>
        <v>2296595</v>
      </c>
      <c r="K118" s="7">
        <f t="shared" si="8"/>
        <v>10633.97387</v>
      </c>
    </row>
    <row r="119">
      <c r="A119" s="5" t="s">
        <v>348</v>
      </c>
      <c r="B119" s="5" t="s">
        <v>349</v>
      </c>
      <c r="C119" s="5" t="s">
        <v>350</v>
      </c>
      <c r="D119" s="6">
        <v>20506.0</v>
      </c>
      <c r="E119" s="7" t="str">
        <f t="shared" si="1"/>
        <v>C</v>
      </c>
      <c r="F119" s="7" t="str">
        <f t="shared" si="2"/>
        <v>Transformative change</v>
      </c>
      <c r="G119" s="7" t="str">
        <f t="shared" si="3"/>
        <v>Medium</v>
      </c>
      <c r="H119" s="7">
        <f t="shared" si="4"/>
        <v>3978647</v>
      </c>
      <c r="I119" s="7">
        <f t="shared" si="5"/>
        <v>186742.3816</v>
      </c>
      <c r="J119" s="7">
        <f t="shared" si="6"/>
        <v>82024</v>
      </c>
      <c r="K119" s="7">
        <f t="shared" si="8"/>
        <v>2231</v>
      </c>
    </row>
    <row r="120">
      <c r="A120" s="5" t="s">
        <v>351</v>
      </c>
      <c r="B120" s="5" t="s">
        <v>352</v>
      </c>
      <c r="C120" s="5" t="s">
        <v>353</v>
      </c>
      <c r="D120" s="6">
        <v>499358.0</v>
      </c>
      <c r="E120" s="7" t="str">
        <f t="shared" si="1"/>
        <v>E</v>
      </c>
      <c r="F120" s="7" t="str">
        <f t="shared" si="2"/>
        <v>Transformative change</v>
      </c>
      <c r="G120" s="7" t="str">
        <f t="shared" si="3"/>
        <v>High</v>
      </c>
      <c r="H120" s="7">
        <f t="shared" si="4"/>
        <v>938651</v>
      </c>
      <c r="I120" s="7">
        <f t="shared" si="5"/>
        <v>875723.0178</v>
      </c>
      <c r="J120" s="7">
        <f t="shared" si="6"/>
        <v>2996148</v>
      </c>
      <c r="K120" s="7">
        <f t="shared" si="8"/>
        <v>2231</v>
      </c>
    </row>
    <row r="121">
      <c r="A121" s="5" t="s">
        <v>354</v>
      </c>
      <c r="B121" s="5" t="s">
        <v>355</v>
      </c>
      <c r="C121" s="5" t="s">
        <v>356</v>
      </c>
      <c r="D121" s="6">
        <v>11065.0</v>
      </c>
      <c r="E121" s="7" t="str">
        <f t="shared" si="1"/>
        <v>D</v>
      </c>
      <c r="F121" s="7" t="str">
        <f t="shared" si="2"/>
        <v>Transformative change</v>
      </c>
      <c r="G121" s="7" t="str">
        <f t="shared" si="3"/>
        <v>High</v>
      </c>
      <c r="H121" s="7">
        <f t="shared" si="4"/>
        <v>1430012</v>
      </c>
      <c r="I121" s="7">
        <f t="shared" si="5"/>
        <v>1243563.322</v>
      </c>
      <c r="J121" s="7">
        <f t="shared" si="6"/>
        <v>132780</v>
      </c>
      <c r="K121" s="7">
        <f t="shared" si="8"/>
        <v>2231</v>
      </c>
    </row>
    <row r="122">
      <c r="A122" s="5" t="s">
        <v>357</v>
      </c>
      <c r="B122" s="5" t="s">
        <v>358</v>
      </c>
      <c r="C122" s="5" t="s">
        <v>359</v>
      </c>
      <c r="D122" s="6">
        <v>379611.0</v>
      </c>
      <c r="E122" s="7" t="str">
        <f t="shared" si="1"/>
        <v>B</v>
      </c>
      <c r="F122" s="7" t="str">
        <f t="shared" si="2"/>
        <v>High ambition</v>
      </c>
      <c r="G122" s="7" t="str">
        <f t="shared" si="3"/>
        <v>Low</v>
      </c>
      <c r="H122" s="7">
        <f t="shared" si="4"/>
        <v>750133</v>
      </c>
      <c r="I122" s="7">
        <f t="shared" si="5"/>
        <v>443147.4204</v>
      </c>
      <c r="J122" s="7">
        <f t="shared" si="6"/>
        <v>2657277</v>
      </c>
      <c r="K122" s="7">
        <f t="shared" si="8"/>
        <v>80868.34069</v>
      </c>
    </row>
    <row r="123">
      <c r="A123" s="5" t="s">
        <v>360</v>
      </c>
      <c r="B123" s="5" t="s">
        <v>361</v>
      </c>
      <c r="C123" s="5" t="s">
        <v>362</v>
      </c>
      <c r="D123" s="6">
        <v>256106.0</v>
      </c>
      <c r="E123" s="7" t="str">
        <f t="shared" si="1"/>
        <v>B</v>
      </c>
      <c r="F123" s="7" t="str">
        <f t="shared" si="2"/>
        <v>Transformative change</v>
      </c>
      <c r="G123" s="7" t="str">
        <f t="shared" si="3"/>
        <v>Low</v>
      </c>
      <c r="H123" s="7">
        <f t="shared" si="4"/>
        <v>2091466</v>
      </c>
      <c r="I123" s="7">
        <f t="shared" si="5"/>
        <v>1876494.329</v>
      </c>
      <c r="J123" s="7">
        <f t="shared" si="6"/>
        <v>1792742</v>
      </c>
      <c r="K123" s="7">
        <f t="shared" si="8"/>
        <v>861309.8705</v>
      </c>
    </row>
    <row r="124">
      <c r="A124" s="5" t="s">
        <v>36</v>
      </c>
      <c r="B124" s="5" t="s">
        <v>363</v>
      </c>
      <c r="C124" s="5" t="s">
        <v>364</v>
      </c>
      <c r="D124" s="6">
        <v>886346.0</v>
      </c>
      <c r="E124" s="7" t="str">
        <f t="shared" si="1"/>
        <v>D</v>
      </c>
      <c r="F124" s="7" t="str">
        <f t="shared" si="2"/>
        <v>Transformative change</v>
      </c>
      <c r="G124" s="7" t="str">
        <f t="shared" si="3"/>
        <v>High</v>
      </c>
      <c r="H124" s="7">
        <f t="shared" si="4"/>
        <v>3337990</v>
      </c>
      <c r="I124" s="7">
        <f t="shared" si="5"/>
        <v>2332274.842</v>
      </c>
      <c r="J124" s="7">
        <f t="shared" si="6"/>
        <v>7090768</v>
      </c>
      <c r="K124" s="7">
        <f t="shared" si="8"/>
        <v>3389.86052</v>
      </c>
    </row>
    <row r="125">
      <c r="A125" s="5" t="s">
        <v>365</v>
      </c>
      <c r="B125" s="5" t="s">
        <v>366</v>
      </c>
      <c r="C125" s="5" t="s">
        <v>74</v>
      </c>
      <c r="D125" s="6">
        <v>89067.0</v>
      </c>
      <c r="E125" s="7" t="str">
        <f t="shared" si="1"/>
        <v>A</v>
      </c>
      <c r="F125" s="7" t="str">
        <f t="shared" si="2"/>
        <v>Transformative change</v>
      </c>
      <c r="G125" s="7" t="str">
        <f t="shared" si="3"/>
        <v>High</v>
      </c>
      <c r="H125" s="7">
        <f t="shared" si="4"/>
        <v>1649336</v>
      </c>
      <c r="I125" s="7">
        <f t="shared" si="5"/>
        <v>824192.7784</v>
      </c>
      <c r="J125" s="7">
        <f t="shared" si="6"/>
        <v>1068804</v>
      </c>
      <c r="K125" s="7">
        <f t="shared" si="8"/>
        <v>111300.778</v>
      </c>
    </row>
    <row r="126">
      <c r="A126" s="5" t="s">
        <v>367</v>
      </c>
      <c r="B126" s="5" t="s">
        <v>368</v>
      </c>
      <c r="C126" s="5" t="s">
        <v>74</v>
      </c>
      <c r="D126" s="6">
        <v>8203.0</v>
      </c>
      <c r="E126" s="7" t="str">
        <f t="shared" si="1"/>
        <v>B</v>
      </c>
      <c r="F126" s="7" t="str">
        <f t="shared" si="2"/>
        <v>Transformative change</v>
      </c>
      <c r="G126" s="7" t="str">
        <f t="shared" si="3"/>
        <v>High</v>
      </c>
      <c r="H126" s="7">
        <f t="shared" si="4"/>
        <v>479664</v>
      </c>
      <c r="I126" s="7">
        <f t="shared" si="5"/>
        <v>307873.189</v>
      </c>
      <c r="J126" s="7">
        <f t="shared" si="6"/>
        <v>90233</v>
      </c>
      <c r="K126" s="7">
        <f t="shared" si="8"/>
        <v>2231</v>
      </c>
    </row>
    <row r="127">
      <c r="A127" s="5" t="s">
        <v>369</v>
      </c>
      <c r="B127" s="5" t="s">
        <v>370</v>
      </c>
      <c r="C127" s="5" t="s">
        <v>371</v>
      </c>
      <c r="D127" s="6">
        <v>13897.0</v>
      </c>
      <c r="E127" s="7" t="str">
        <f t="shared" si="1"/>
        <v>A</v>
      </c>
      <c r="F127" s="7" t="str">
        <f t="shared" si="2"/>
        <v>Transformative change</v>
      </c>
      <c r="G127" s="7" t="str">
        <f t="shared" si="3"/>
        <v>Medium</v>
      </c>
      <c r="H127" s="7">
        <f t="shared" si="4"/>
        <v>3218271</v>
      </c>
      <c r="I127" s="7">
        <f t="shared" si="5"/>
        <v>3102432.542</v>
      </c>
      <c r="J127" s="7">
        <f t="shared" si="6"/>
        <v>83382</v>
      </c>
      <c r="K127" s="7">
        <f t="shared" si="8"/>
        <v>2231</v>
      </c>
    </row>
    <row r="128">
      <c r="A128" s="5" t="s">
        <v>372</v>
      </c>
      <c r="B128" s="5" t="s">
        <v>373</v>
      </c>
      <c r="C128" s="5" t="s">
        <v>374</v>
      </c>
      <c r="D128" s="6">
        <v>6842.0</v>
      </c>
      <c r="E128" s="7" t="str">
        <f t="shared" si="1"/>
        <v>F</v>
      </c>
      <c r="F128" s="7" t="str">
        <f t="shared" si="2"/>
        <v>Transformative change</v>
      </c>
      <c r="G128" s="7" t="str">
        <f t="shared" si="3"/>
        <v>High</v>
      </c>
      <c r="H128" s="7">
        <f t="shared" si="4"/>
        <v>2674927</v>
      </c>
      <c r="I128" s="7">
        <f t="shared" si="5"/>
        <v>715419.467</v>
      </c>
      <c r="J128" s="7">
        <f t="shared" si="6"/>
        <v>41052</v>
      </c>
      <c r="K128" s="7">
        <f t="shared" si="8"/>
        <v>32632.86635</v>
      </c>
    </row>
    <row r="129">
      <c r="A129" s="5" t="s">
        <v>375</v>
      </c>
      <c r="B129" s="5" t="s">
        <v>376</v>
      </c>
      <c r="C129" s="5" t="s">
        <v>74</v>
      </c>
      <c r="D129" s="6">
        <v>19601.0</v>
      </c>
      <c r="E129" s="7" t="str">
        <f t="shared" si="1"/>
        <v>E</v>
      </c>
      <c r="F129" s="7" t="str">
        <f t="shared" si="2"/>
        <v>Transformative change</v>
      </c>
      <c r="G129" s="7" t="str">
        <f t="shared" si="3"/>
        <v>Medium</v>
      </c>
      <c r="H129" s="7">
        <f t="shared" si="4"/>
        <v>1589099</v>
      </c>
      <c r="I129" s="7">
        <f t="shared" si="5"/>
        <v>1495379.918</v>
      </c>
      <c r="J129" s="7">
        <f t="shared" si="6"/>
        <v>137207</v>
      </c>
      <c r="K129" s="7">
        <f t="shared" si="8"/>
        <v>2231</v>
      </c>
    </row>
    <row r="130">
      <c r="A130" s="5" t="s">
        <v>377</v>
      </c>
      <c r="B130" s="5" t="s">
        <v>378</v>
      </c>
      <c r="C130" s="5" t="s">
        <v>379</v>
      </c>
      <c r="D130" s="6">
        <v>19167.0</v>
      </c>
      <c r="E130" s="7" t="str">
        <f t="shared" si="1"/>
        <v>C</v>
      </c>
      <c r="F130" s="7" t="str">
        <f t="shared" si="2"/>
        <v>High ambition</v>
      </c>
      <c r="G130" s="7" t="str">
        <f t="shared" si="3"/>
        <v>High</v>
      </c>
      <c r="H130" s="7">
        <f t="shared" si="4"/>
        <v>3075633</v>
      </c>
      <c r="I130" s="7">
        <f t="shared" si="5"/>
        <v>2027497.669</v>
      </c>
      <c r="J130" s="7">
        <f t="shared" si="6"/>
        <v>172503</v>
      </c>
      <c r="K130" s="7">
        <f t="shared" si="8"/>
        <v>118293.6915</v>
      </c>
    </row>
    <row r="131">
      <c r="A131" s="5" t="s">
        <v>380</v>
      </c>
      <c r="B131" s="5" t="s">
        <v>381</v>
      </c>
      <c r="C131" s="5" t="s">
        <v>382</v>
      </c>
      <c r="D131" s="6">
        <v>51943.0</v>
      </c>
      <c r="E131" s="7" t="str">
        <f t="shared" si="1"/>
        <v>D</v>
      </c>
      <c r="F131" s="7" t="str">
        <f t="shared" si="2"/>
        <v>Transformative change</v>
      </c>
      <c r="G131" s="7" t="str">
        <f t="shared" si="3"/>
        <v>Low</v>
      </c>
      <c r="H131" s="7">
        <f t="shared" si="4"/>
        <v>1350540</v>
      </c>
      <c r="I131" s="7">
        <f t="shared" si="5"/>
        <v>401769.5885</v>
      </c>
      <c r="J131" s="7">
        <f t="shared" si="6"/>
        <v>363601</v>
      </c>
      <c r="K131" s="7">
        <f t="shared" si="8"/>
        <v>13157.70429</v>
      </c>
    </row>
    <row r="132">
      <c r="A132" s="5" t="s">
        <v>383</v>
      </c>
      <c r="B132" s="5" t="s">
        <v>384</v>
      </c>
      <c r="C132" s="5" t="s">
        <v>385</v>
      </c>
      <c r="D132" s="6">
        <v>31956.0</v>
      </c>
      <c r="E132" s="7" t="str">
        <f t="shared" si="1"/>
        <v>C</v>
      </c>
      <c r="F132" s="7" t="str">
        <f t="shared" si="2"/>
        <v>Transformative change</v>
      </c>
      <c r="G132" s="7" t="str">
        <f t="shared" si="3"/>
        <v>Medium</v>
      </c>
      <c r="H132" s="7">
        <f t="shared" si="4"/>
        <v>542488</v>
      </c>
      <c r="I132" s="7">
        <f t="shared" si="5"/>
        <v>98128.87283</v>
      </c>
      <c r="J132" s="7">
        <f t="shared" si="6"/>
        <v>415428</v>
      </c>
      <c r="K132" s="7">
        <f t="shared" si="8"/>
        <v>2231</v>
      </c>
    </row>
    <row r="133">
      <c r="A133" s="5" t="s">
        <v>386</v>
      </c>
      <c r="B133" s="5" t="s">
        <v>387</v>
      </c>
      <c r="C133" s="5" t="s">
        <v>388</v>
      </c>
      <c r="D133" s="6">
        <v>11874.0</v>
      </c>
      <c r="E133" s="7" t="str">
        <f t="shared" si="1"/>
        <v>E</v>
      </c>
      <c r="F133" s="7" t="str">
        <f t="shared" si="2"/>
        <v>High ambition</v>
      </c>
      <c r="G133" s="7" t="str">
        <f t="shared" si="3"/>
        <v>Low</v>
      </c>
      <c r="H133" s="7">
        <f t="shared" si="4"/>
        <v>3705103</v>
      </c>
      <c r="I133" s="7">
        <f t="shared" si="5"/>
        <v>2950671.38</v>
      </c>
      <c r="J133" s="7">
        <f t="shared" si="6"/>
        <v>118740</v>
      </c>
      <c r="K133" s="7">
        <f t="shared" si="8"/>
        <v>0.4338960376</v>
      </c>
    </row>
    <row r="134">
      <c r="A134" s="5" t="s">
        <v>389</v>
      </c>
      <c r="B134" s="5" t="s">
        <v>390</v>
      </c>
      <c r="C134" s="5" t="s">
        <v>391</v>
      </c>
      <c r="D134" s="6">
        <v>9081.0</v>
      </c>
      <c r="E134" s="7" t="str">
        <f t="shared" si="1"/>
        <v>G</v>
      </c>
      <c r="F134" s="7" t="str">
        <f t="shared" si="2"/>
        <v>Transformative change</v>
      </c>
      <c r="G134" s="7" t="str">
        <f t="shared" si="3"/>
        <v>Medium</v>
      </c>
      <c r="H134" s="7">
        <f t="shared" si="4"/>
        <v>2071794</v>
      </c>
      <c r="I134" s="7">
        <f t="shared" si="5"/>
        <v>1952317.56</v>
      </c>
      <c r="J134" s="7">
        <f t="shared" si="6"/>
        <v>127134</v>
      </c>
      <c r="K134" s="7">
        <f t="shared" si="8"/>
        <v>2231</v>
      </c>
    </row>
    <row r="135">
      <c r="A135" s="5" t="s">
        <v>392</v>
      </c>
      <c r="B135" s="5" t="s">
        <v>393</v>
      </c>
      <c r="C135" s="5" t="s">
        <v>394</v>
      </c>
      <c r="D135" s="6">
        <v>11966.0</v>
      </c>
      <c r="E135" s="7" t="str">
        <f t="shared" si="1"/>
        <v>F</v>
      </c>
      <c r="F135" s="7" t="str">
        <f t="shared" si="2"/>
        <v>Transformative change</v>
      </c>
      <c r="G135" s="7" t="str">
        <f t="shared" si="3"/>
        <v>High</v>
      </c>
      <c r="H135" s="7">
        <f t="shared" si="4"/>
        <v>3491386</v>
      </c>
      <c r="I135" s="7">
        <f t="shared" si="5"/>
        <v>1677029.929</v>
      </c>
      <c r="J135" s="7">
        <f t="shared" si="6"/>
        <v>179490</v>
      </c>
      <c r="K135" s="7">
        <f t="shared" si="8"/>
        <v>2231</v>
      </c>
    </row>
    <row r="136">
      <c r="A136" s="5" t="s">
        <v>395</v>
      </c>
      <c r="B136" s="5" t="s">
        <v>396</v>
      </c>
      <c r="C136" s="5" t="s">
        <v>397</v>
      </c>
      <c r="D136" s="6">
        <v>16095.0</v>
      </c>
      <c r="E136" s="7" t="str">
        <f t="shared" si="1"/>
        <v>C</v>
      </c>
      <c r="F136" s="7" t="str">
        <f t="shared" si="2"/>
        <v>Transformative change</v>
      </c>
      <c r="G136" s="7" t="str">
        <f t="shared" si="3"/>
        <v>High</v>
      </c>
      <c r="H136" s="7">
        <f t="shared" si="4"/>
        <v>775153</v>
      </c>
      <c r="I136" s="7">
        <f t="shared" si="5"/>
        <v>698099.0603</v>
      </c>
      <c r="J136" s="7">
        <f t="shared" si="6"/>
        <v>177045</v>
      </c>
      <c r="K136" s="7">
        <f t="shared" si="8"/>
        <v>85236.13484</v>
      </c>
    </row>
    <row r="137">
      <c r="A137" s="5" t="s">
        <v>398</v>
      </c>
      <c r="B137" s="5" t="s">
        <v>399</v>
      </c>
      <c r="C137" s="5" t="s">
        <v>74</v>
      </c>
      <c r="D137" s="6">
        <v>85484.0</v>
      </c>
      <c r="E137" s="7" t="str">
        <f t="shared" si="1"/>
        <v>E</v>
      </c>
      <c r="F137" s="7" t="str">
        <f t="shared" si="2"/>
        <v>Transformative change</v>
      </c>
      <c r="G137" s="7" t="str">
        <f t="shared" si="3"/>
        <v>High</v>
      </c>
      <c r="H137" s="7">
        <f t="shared" si="4"/>
        <v>943079</v>
      </c>
      <c r="I137" s="7">
        <f t="shared" si="5"/>
        <v>519767.8426</v>
      </c>
      <c r="J137" s="7">
        <f t="shared" si="6"/>
        <v>1282260</v>
      </c>
      <c r="K137" s="7">
        <f t="shared" si="8"/>
        <v>13.71061587</v>
      </c>
    </row>
    <row r="138">
      <c r="A138" s="5" t="s">
        <v>400</v>
      </c>
      <c r="B138" s="5" t="s">
        <v>401</v>
      </c>
      <c r="C138" s="5" t="s">
        <v>402</v>
      </c>
      <c r="D138" s="6">
        <v>17580.0</v>
      </c>
      <c r="E138" s="7" t="str">
        <f t="shared" si="1"/>
        <v>C</v>
      </c>
      <c r="F138" s="7" t="str">
        <f t="shared" si="2"/>
        <v>Transformative change</v>
      </c>
      <c r="G138" s="7" t="str">
        <f t="shared" si="3"/>
        <v>Medium</v>
      </c>
      <c r="H138" s="7">
        <f t="shared" si="4"/>
        <v>2401320</v>
      </c>
      <c r="I138" s="7">
        <f t="shared" si="5"/>
        <v>2009863.354</v>
      </c>
      <c r="J138" s="7">
        <f t="shared" si="6"/>
        <v>246120</v>
      </c>
      <c r="K138" s="7">
        <f t="shared" si="8"/>
        <v>116545.5304</v>
      </c>
    </row>
    <row r="139">
      <c r="A139" s="5" t="s">
        <v>403</v>
      </c>
      <c r="B139" s="5" t="s">
        <v>404</v>
      </c>
      <c r="C139" s="5" t="s">
        <v>405</v>
      </c>
      <c r="D139" s="6">
        <v>11812.0</v>
      </c>
      <c r="E139" s="7" t="str">
        <f t="shared" si="1"/>
        <v>B</v>
      </c>
      <c r="F139" s="7" t="str">
        <f t="shared" si="2"/>
        <v>Transformative change</v>
      </c>
      <c r="G139" s="7" t="str">
        <f t="shared" si="3"/>
        <v>Medium</v>
      </c>
      <c r="H139" s="7">
        <f t="shared" si="4"/>
        <v>2539277</v>
      </c>
      <c r="I139" s="7">
        <f t="shared" si="5"/>
        <v>2351995.554</v>
      </c>
      <c r="J139" s="7">
        <f t="shared" si="6"/>
        <v>47248</v>
      </c>
      <c r="K139" s="7">
        <f t="shared" si="8"/>
        <v>401.1898692</v>
      </c>
    </row>
    <row r="140">
      <c r="A140" s="5" t="s">
        <v>406</v>
      </c>
      <c r="B140" s="5" t="s">
        <v>407</v>
      </c>
      <c r="C140" s="5" t="s">
        <v>408</v>
      </c>
      <c r="D140" s="6">
        <v>15360.0</v>
      </c>
      <c r="E140" s="7" t="str">
        <f t="shared" si="1"/>
        <v>F</v>
      </c>
      <c r="F140" s="7" t="str">
        <f t="shared" si="2"/>
        <v>Transformative change</v>
      </c>
      <c r="G140" s="7" t="str">
        <f t="shared" si="3"/>
        <v>Medium</v>
      </c>
      <c r="H140" s="7">
        <f t="shared" si="4"/>
        <v>1581807</v>
      </c>
      <c r="I140" s="7">
        <f t="shared" si="5"/>
        <v>708836.8443</v>
      </c>
      <c r="J140" s="7">
        <f t="shared" si="6"/>
        <v>230400</v>
      </c>
      <c r="K140" s="7">
        <f t="shared" si="8"/>
        <v>5.197835178</v>
      </c>
    </row>
    <row r="141">
      <c r="A141" s="5" t="s">
        <v>409</v>
      </c>
      <c r="B141" s="5" t="s">
        <v>410</v>
      </c>
      <c r="C141" s="5" t="s">
        <v>411</v>
      </c>
      <c r="D141" s="6">
        <v>14865.0</v>
      </c>
      <c r="E141" s="7" t="str">
        <f t="shared" si="1"/>
        <v>D</v>
      </c>
      <c r="F141" s="7" t="str">
        <f t="shared" si="2"/>
        <v>Transformative change</v>
      </c>
      <c r="G141" s="7" t="str">
        <f t="shared" si="3"/>
        <v>Medium</v>
      </c>
      <c r="H141" s="7">
        <f t="shared" si="4"/>
        <v>1531315</v>
      </c>
      <c r="I141" s="7">
        <f t="shared" si="5"/>
        <v>780317.003</v>
      </c>
      <c r="J141" s="7">
        <f t="shared" si="6"/>
        <v>133785</v>
      </c>
      <c r="K141" s="7">
        <f t="shared" si="8"/>
        <v>496.78831</v>
      </c>
    </row>
    <row r="142">
      <c r="A142" s="5" t="s">
        <v>412</v>
      </c>
      <c r="B142" s="5" t="s">
        <v>413</v>
      </c>
      <c r="C142" s="5" t="s">
        <v>414</v>
      </c>
      <c r="D142" s="6">
        <v>10659.0</v>
      </c>
      <c r="E142" s="7" t="str">
        <f t="shared" si="1"/>
        <v>E</v>
      </c>
      <c r="F142" s="7" t="str">
        <f t="shared" si="2"/>
        <v>Transformative change</v>
      </c>
      <c r="G142" s="7" t="str">
        <f t="shared" si="3"/>
        <v>Medium</v>
      </c>
      <c r="H142" s="7">
        <f t="shared" si="4"/>
        <v>2360626</v>
      </c>
      <c r="I142" s="7">
        <f t="shared" si="5"/>
        <v>1781840.62</v>
      </c>
      <c r="J142" s="7">
        <f t="shared" si="6"/>
        <v>53295</v>
      </c>
      <c r="K142" s="7">
        <f t="shared" si="8"/>
        <v>2231</v>
      </c>
    </row>
    <row r="143">
      <c r="A143" s="5" t="s">
        <v>415</v>
      </c>
      <c r="B143" s="5" t="s">
        <v>416</v>
      </c>
      <c r="C143" s="5" t="s">
        <v>77</v>
      </c>
      <c r="D143" s="6">
        <v>14805.0</v>
      </c>
      <c r="E143" s="7" t="str">
        <f t="shared" si="1"/>
        <v>D</v>
      </c>
      <c r="F143" s="7" t="str">
        <f t="shared" si="2"/>
        <v>Transformative change</v>
      </c>
      <c r="G143" s="7" t="str">
        <f t="shared" si="3"/>
        <v>Medium</v>
      </c>
      <c r="H143" s="7">
        <f t="shared" si="4"/>
        <v>3248197</v>
      </c>
      <c r="I143" s="7">
        <f t="shared" si="5"/>
        <v>1751281.2</v>
      </c>
      <c r="J143" s="7">
        <f t="shared" si="6"/>
        <v>133245</v>
      </c>
      <c r="K143" s="7">
        <f t="shared" si="8"/>
        <v>2231</v>
      </c>
    </row>
    <row r="144">
      <c r="A144" s="5" t="s">
        <v>417</v>
      </c>
      <c r="B144" s="5" t="s">
        <v>418</v>
      </c>
      <c r="C144" s="5" t="s">
        <v>419</v>
      </c>
      <c r="D144" s="6">
        <v>15023.0</v>
      </c>
      <c r="E144" s="7" t="str">
        <f t="shared" si="1"/>
        <v>B</v>
      </c>
      <c r="F144" s="7" t="str">
        <f t="shared" si="2"/>
        <v>Transformative change</v>
      </c>
      <c r="G144" s="7" t="str">
        <f t="shared" si="3"/>
        <v>Medium</v>
      </c>
      <c r="H144" s="7">
        <f t="shared" si="4"/>
        <v>3533447</v>
      </c>
      <c r="I144" s="7">
        <f t="shared" si="5"/>
        <v>3417440.91</v>
      </c>
      <c r="J144" s="7">
        <f t="shared" si="6"/>
        <v>195299</v>
      </c>
      <c r="K144" s="7">
        <f t="shared" si="8"/>
        <v>2231</v>
      </c>
    </row>
    <row r="145">
      <c r="A145" s="5" t="s">
        <v>420</v>
      </c>
      <c r="B145" s="5" t="s">
        <v>421</v>
      </c>
      <c r="C145" s="5" t="s">
        <v>74</v>
      </c>
      <c r="D145" s="6">
        <v>9864.0</v>
      </c>
      <c r="E145" s="7" t="str">
        <f t="shared" si="1"/>
        <v>G</v>
      </c>
      <c r="F145" s="7" t="str">
        <f t="shared" si="2"/>
        <v>Transformative change</v>
      </c>
      <c r="G145" s="7" t="str">
        <f t="shared" si="3"/>
        <v>High</v>
      </c>
      <c r="H145" s="7">
        <f t="shared" si="4"/>
        <v>45712</v>
      </c>
      <c r="I145" s="7">
        <f t="shared" si="5"/>
        <v>7683.45381</v>
      </c>
      <c r="J145" s="7">
        <f t="shared" si="6"/>
        <v>78912</v>
      </c>
      <c r="K145" s="7">
        <f t="shared" si="8"/>
        <v>2231</v>
      </c>
    </row>
    <row r="146">
      <c r="A146" s="5" t="s">
        <v>422</v>
      </c>
      <c r="B146" s="5" t="s">
        <v>423</v>
      </c>
      <c r="C146" s="5" t="s">
        <v>424</v>
      </c>
      <c r="D146" s="6">
        <v>7851.0</v>
      </c>
      <c r="E146" s="7" t="str">
        <f t="shared" si="1"/>
        <v>E</v>
      </c>
      <c r="F146" s="7" t="str">
        <f t="shared" si="2"/>
        <v>Transformative change</v>
      </c>
      <c r="G146" s="7" t="str">
        <f t="shared" si="3"/>
        <v>High</v>
      </c>
      <c r="H146" s="7">
        <f t="shared" si="4"/>
        <v>1072709</v>
      </c>
      <c r="I146" s="7">
        <f t="shared" si="5"/>
        <v>909181.0717</v>
      </c>
      <c r="J146" s="7">
        <f t="shared" si="6"/>
        <v>102063</v>
      </c>
      <c r="K146" s="7">
        <f t="shared" si="8"/>
        <v>2231</v>
      </c>
    </row>
    <row r="147">
      <c r="A147" s="5" t="s">
        <v>425</v>
      </c>
      <c r="B147" s="5" t="s">
        <v>426</v>
      </c>
      <c r="C147" s="5" t="s">
        <v>427</v>
      </c>
      <c r="D147" s="6">
        <v>11688.0</v>
      </c>
      <c r="E147" s="7" t="str">
        <f t="shared" si="1"/>
        <v>C</v>
      </c>
      <c r="F147" s="7" t="str">
        <f t="shared" si="2"/>
        <v>High ambition</v>
      </c>
      <c r="G147" s="7" t="str">
        <f t="shared" si="3"/>
        <v>Low</v>
      </c>
      <c r="H147" s="7">
        <f t="shared" si="4"/>
        <v>3733752</v>
      </c>
      <c r="I147" s="7">
        <f t="shared" si="5"/>
        <v>2605817.049</v>
      </c>
      <c r="J147" s="7">
        <f t="shared" si="6"/>
        <v>105192</v>
      </c>
      <c r="K147" s="7">
        <f t="shared" si="8"/>
        <v>2231</v>
      </c>
    </row>
    <row r="148">
      <c r="A148" s="5" t="s">
        <v>428</v>
      </c>
      <c r="B148" s="5" t="s">
        <v>429</v>
      </c>
      <c r="C148" s="5" t="s">
        <v>430</v>
      </c>
      <c r="D148" s="6">
        <v>9702.0</v>
      </c>
      <c r="E148" s="7" t="str">
        <f t="shared" si="1"/>
        <v>D</v>
      </c>
      <c r="F148" s="7" t="str">
        <f t="shared" si="2"/>
        <v>Transformative change</v>
      </c>
      <c r="G148" s="7" t="str">
        <f t="shared" si="3"/>
        <v>High</v>
      </c>
      <c r="H148" s="7">
        <f t="shared" si="4"/>
        <v>2452661</v>
      </c>
      <c r="I148" s="7">
        <f t="shared" si="5"/>
        <v>1190477.287</v>
      </c>
      <c r="J148" s="7">
        <f t="shared" si="6"/>
        <v>135828</v>
      </c>
      <c r="K148" s="7">
        <f t="shared" si="8"/>
        <v>2231</v>
      </c>
    </row>
    <row r="149">
      <c r="A149" s="5" t="s">
        <v>431</v>
      </c>
      <c r="B149" s="5" t="s">
        <v>432</v>
      </c>
      <c r="C149" s="5" t="s">
        <v>433</v>
      </c>
      <c r="D149" s="6">
        <v>12739.0</v>
      </c>
      <c r="E149" s="7" t="str">
        <f t="shared" si="1"/>
        <v>G</v>
      </c>
      <c r="F149" s="7" t="str">
        <f t="shared" si="2"/>
        <v>High ambition</v>
      </c>
      <c r="G149" s="7" t="str">
        <f t="shared" si="3"/>
        <v>High</v>
      </c>
      <c r="H149" s="7">
        <f t="shared" si="4"/>
        <v>1651832</v>
      </c>
      <c r="I149" s="7">
        <f t="shared" si="5"/>
        <v>1016023.348</v>
      </c>
      <c r="J149" s="7">
        <f t="shared" si="6"/>
        <v>152868</v>
      </c>
      <c r="K149" s="7">
        <f t="shared" si="8"/>
        <v>29.25026516</v>
      </c>
    </row>
    <row r="150">
      <c r="A150" s="5" t="s">
        <v>434</v>
      </c>
      <c r="B150" s="5" t="s">
        <v>435</v>
      </c>
      <c r="C150" s="5" t="s">
        <v>74</v>
      </c>
      <c r="D150" s="6">
        <v>154600.0</v>
      </c>
      <c r="E150" s="7" t="str">
        <f t="shared" si="1"/>
        <v>E</v>
      </c>
      <c r="F150" s="7" t="str">
        <f t="shared" si="2"/>
        <v>Transformative change</v>
      </c>
      <c r="G150" s="7" t="str">
        <f t="shared" si="3"/>
        <v>High</v>
      </c>
      <c r="H150" s="7">
        <f t="shared" si="4"/>
        <v>2972020</v>
      </c>
      <c r="I150" s="7">
        <f t="shared" si="5"/>
        <v>707729.4594</v>
      </c>
      <c r="J150" s="7">
        <f t="shared" si="6"/>
        <v>1391400</v>
      </c>
      <c r="K150" s="7">
        <f t="shared" si="8"/>
        <v>619676.9286</v>
      </c>
    </row>
    <row r="151">
      <c r="A151" s="5" t="s">
        <v>436</v>
      </c>
      <c r="B151" s="5" t="s">
        <v>437</v>
      </c>
      <c r="C151" s="5" t="s">
        <v>438</v>
      </c>
      <c r="D151" s="6">
        <v>5165.0</v>
      </c>
      <c r="E151" s="7" t="str">
        <f t="shared" si="1"/>
        <v>F</v>
      </c>
      <c r="F151" s="7" t="str">
        <f t="shared" si="2"/>
        <v>Transformative change</v>
      </c>
      <c r="G151" s="7" t="str">
        <f t="shared" si="3"/>
        <v>High</v>
      </c>
      <c r="H151" s="7">
        <f t="shared" si="4"/>
        <v>2304766</v>
      </c>
      <c r="I151" s="7">
        <f t="shared" si="5"/>
        <v>1800746.214</v>
      </c>
      <c r="J151" s="7">
        <f t="shared" si="6"/>
        <v>20660</v>
      </c>
      <c r="K151" s="7">
        <f t="shared" si="8"/>
        <v>3231.256374</v>
      </c>
    </row>
    <row r="152">
      <c r="A152" s="5" t="s">
        <v>439</v>
      </c>
      <c r="B152" s="5" t="s">
        <v>440</v>
      </c>
      <c r="C152" s="5" t="s">
        <v>74</v>
      </c>
      <c r="D152" s="6">
        <v>18218.0</v>
      </c>
      <c r="E152" s="7" t="str">
        <f t="shared" si="1"/>
        <v>F</v>
      </c>
      <c r="F152" s="7" t="str">
        <f t="shared" si="2"/>
        <v>Transformative change</v>
      </c>
      <c r="G152" s="7" t="str">
        <f t="shared" si="3"/>
        <v>Medium</v>
      </c>
      <c r="H152" s="7">
        <f t="shared" si="4"/>
        <v>601907</v>
      </c>
      <c r="I152" s="7">
        <f t="shared" si="5"/>
        <v>242525.8297</v>
      </c>
      <c r="J152" s="7">
        <f t="shared" si="6"/>
        <v>91090</v>
      </c>
      <c r="K152" s="7">
        <f t="shared" si="8"/>
        <v>2231</v>
      </c>
    </row>
    <row r="153">
      <c r="A153" s="5" t="s">
        <v>441</v>
      </c>
      <c r="B153" s="5" t="s">
        <v>442</v>
      </c>
      <c r="C153" s="5" t="s">
        <v>74</v>
      </c>
      <c r="D153" s="6">
        <v>5862.0</v>
      </c>
      <c r="E153" s="7" t="str">
        <f t="shared" si="1"/>
        <v>G</v>
      </c>
      <c r="F153" s="7" t="str">
        <f t="shared" si="2"/>
        <v>Transformative change</v>
      </c>
      <c r="G153" s="7" t="str">
        <f t="shared" si="3"/>
        <v>High</v>
      </c>
      <c r="H153" s="7">
        <f t="shared" si="4"/>
        <v>1498421</v>
      </c>
      <c r="I153" s="7">
        <f t="shared" si="5"/>
        <v>1194874.274</v>
      </c>
      <c r="J153" s="7">
        <f t="shared" si="6"/>
        <v>82068</v>
      </c>
      <c r="K153" s="7">
        <f t="shared" si="8"/>
        <v>2231</v>
      </c>
    </row>
    <row r="154">
      <c r="A154" s="5" t="s">
        <v>443</v>
      </c>
      <c r="B154" s="5" t="s">
        <v>444</v>
      </c>
      <c r="C154" s="5" t="s">
        <v>74</v>
      </c>
      <c r="D154" s="6">
        <v>93321.0</v>
      </c>
      <c r="E154" s="7" t="str">
        <f t="shared" si="1"/>
        <v>F</v>
      </c>
      <c r="F154" s="7" t="str">
        <f t="shared" si="2"/>
        <v>Transformative change</v>
      </c>
      <c r="G154" s="7" t="str">
        <f t="shared" si="3"/>
        <v>High</v>
      </c>
      <c r="H154" s="7">
        <f t="shared" si="4"/>
        <v>3702915</v>
      </c>
      <c r="I154" s="7">
        <f t="shared" si="5"/>
        <v>3558907.213</v>
      </c>
      <c r="J154" s="7">
        <f t="shared" si="6"/>
        <v>1026531</v>
      </c>
      <c r="K154" s="7">
        <f t="shared" si="8"/>
        <v>2231</v>
      </c>
    </row>
    <row r="155">
      <c r="A155" s="5" t="s">
        <v>445</v>
      </c>
      <c r="B155" s="5" t="s">
        <v>446</v>
      </c>
      <c r="C155" s="5" t="s">
        <v>447</v>
      </c>
      <c r="D155" s="6">
        <v>15811.0</v>
      </c>
      <c r="E155" s="7" t="str">
        <f t="shared" si="1"/>
        <v>F</v>
      </c>
      <c r="F155" s="7" t="str">
        <f t="shared" si="2"/>
        <v>Transformative change</v>
      </c>
      <c r="G155" s="7" t="str">
        <f t="shared" si="3"/>
        <v>High</v>
      </c>
      <c r="H155" s="7">
        <f t="shared" si="4"/>
        <v>1389891</v>
      </c>
      <c r="I155" s="7">
        <f t="shared" si="5"/>
        <v>970650.2478</v>
      </c>
      <c r="J155" s="7">
        <f t="shared" si="6"/>
        <v>221354</v>
      </c>
      <c r="K155" s="7">
        <f t="shared" si="8"/>
        <v>2231</v>
      </c>
    </row>
    <row r="156">
      <c r="A156" s="5" t="s">
        <v>448</v>
      </c>
      <c r="B156" s="5" t="s">
        <v>449</v>
      </c>
      <c r="C156" s="5" t="s">
        <v>450</v>
      </c>
      <c r="D156" s="6">
        <v>237720.0</v>
      </c>
      <c r="E156" s="7" t="str">
        <f t="shared" si="1"/>
        <v>E</v>
      </c>
      <c r="F156" s="7" t="str">
        <f t="shared" si="2"/>
        <v>Transformative change</v>
      </c>
      <c r="G156" s="7" t="str">
        <f t="shared" si="3"/>
        <v>High</v>
      </c>
      <c r="H156" s="7">
        <f t="shared" si="4"/>
        <v>3237639</v>
      </c>
      <c r="I156" s="7">
        <f t="shared" si="5"/>
        <v>1571382.254</v>
      </c>
      <c r="J156" s="7">
        <f t="shared" si="6"/>
        <v>1664040</v>
      </c>
      <c r="K156" s="7">
        <f t="shared" si="8"/>
        <v>0.0002216181824</v>
      </c>
    </row>
    <row r="157">
      <c r="A157" s="5" t="s">
        <v>451</v>
      </c>
      <c r="B157" s="5" t="s">
        <v>452</v>
      </c>
      <c r="C157" s="5" t="s">
        <v>453</v>
      </c>
      <c r="D157" s="6">
        <v>10402.0</v>
      </c>
      <c r="E157" s="7" t="str">
        <f t="shared" si="1"/>
        <v>C</v>
      </c>
      <c r="F157" s="7" t="str">
        <f t="shared" si="2"/>
        <v>Transformative change</v>
      </c>
      <c r="G157" s="7" t="str">
        <f t="shared" si="3"/>
        <v>Medium</v>
      </c>
      <c r="H157" s="7">
        <f t="shared" si="4"/>
        <v>426988</v>
      </c>
      <c r="I157" s="7">
        <f t="shared" si="5"/>
        <v>317294.1381</v>
      </c>
      <c r="J157" s="7">
        <f t="shared" si="6"/>
        <v>52010</v>
      </c>
      <c r="K157" s="7">
        <f t="shared" si="8"/>
        <v>2231</v>
      </c>
    </row>
    <row r="158">
      <c r="A158" s="5" t="s">
        <v>454</v>
      </c>
      <c r="B158" s="5" t="s">
        <v>421</v>
      </c>
      <c r="C158" s="5" t="s">
        <v>455</v>
      </c>
      <c r="D158" s="6">
        <v>7333.0</v>
      </c>
      <c r="E158" s="7" t="str">
        <f t="shared" si="1"/>
        <v>F</v>
      </c>
      <c r="F158" s="7" t="str">
        <f t="shared" si="2"/>
        <v>Transformative change</v>
      </c>
      <c r="G158" s="7" t="str">
        <f t="shared" si="3"/>
        <v>Medium</v>
      </c>
      <c r="H158" s="7">
        <f t="shared" si="4"/>
        <v>2213703</v>
      </c>
      <c r="I158" s="7">
        <f t="shared" si="5"/>
        <v>32677.10939</v>
      </c>
      <c r="J158" s="7">
        <f t="shared" si="6"/>
        <v>29332</v>
      </c>
      <c r="K158" s="7">
        <f t="shared" si="8"/>
        <v>2231</v>
      </c>
    </row>
    <row r="159">
      <c r="A159" s="5" t="s">
        <v>456</v>
      </c>
      <c r="B159" s="5" t="s">
        <v>457</v>
      </c>
      <c r="C159" s="5" t="s">
        <v>458</v>
      </c>
      <c r="D159" s="6">
        <v>12089.0</v>
      </c>
      <c r="E159" s="7" t="str">
        <f t="shared" si="1"/>
        <v>F</v>
      </c>
      <c r="F159" s="7" t="str">
        <f t="shared" si="2"/>
        <v>Transformative change</v>
      </c>
      <c r="G159" s="7" t="str">
        <f t="shared" si="3"/>
        <v>Medium</v>
      </c>
      <c r="H159" s="7">
        <f t="shared" si="4"/>
        <v>1118769</v>
      </c>
      <c r="I159" s="7">
        <f t="shared" si="5"/>
        <v>154943.8971</v>
      </c>
      <c r="J159" s="7">
        <f t="shared" si="6"/>
        <v>48356</v>
      </c>
      <c r="K159" s="7">
        <f t="shared" si="8"/>
        <v>0.02620377388</v>
      </c>
    </row>
    <row r="160">
      <c r="A160" s="5" t="s">
        <v>459</v>
      </c>
      <c r="B160" s="5" t="s">
        <v>460</v>
      </c>
      <c r="C160" s="5" t="s">
        <v>461</v>
      </c>
      <c r="D160" s="6">
        <v>19954.0</v>
      </c>
      <c r="E160" s="7" t="str">
        <f t="shared" si="1"/>
        <v>F</v>
      </c>
      <c r="F160" s="7" t="str">
        <f t="shared" si="2"/>
        <v>Transformative change</v>
      </c>
      <c r="G160" s="7" t="str">
        <f t="shared" si="3"/>
        <v>Medium</v>
      </c>
      <c r="H160" s="7">
        <f t="shared" si="4"/>
        <v>267286</v>
      </c>
      <c r="I160" s="7">
        <f t="shared" si="5"/>
        <v>103686.8411</v>
      </c>
      <c r="J160" s="7">
        <f t="shared" si="6"/>
        <v>219494</v>
      </c>
      <c r="K160" s="7">
        <f t="shared" si="8"/>
        <v>66509.57757</v>
      </c>
    </row>
    <row r="161">
      <c r="A161" s="5" t="s">
        <v>462</v>
      </c>
      <c r="B161" s="5" t="s">
        <v>463</v>
      </c>
      <c r="C161" s="5" t="s">
        <v>74</v>
      </c>
      <c r="D161" s="6">
        <v>35707.0</v>
      </c>
      <c r="E161" s="7" t="str">
        <f t="shared" si="1"/>
        <v>D</v>
      </c>
      <c r="F161" s="7" t="str">
        <f t="shared" si="2"/>
        <v>Transformative change</v>
      </c>
      <c r="G161" s="7" t="str">
        <f t="shared" si="3"/>
        <v>Low</v>
      </c>
      <c r="H161" s="7">
        <f t="shared" si="4"/>
        <v>551937</v>
      </c>
      <c r="I161" s="7">
        <f t="shared" si="5"/>
        <v>44307.82352</v>
      </c>
      <c r="J161" s="7">
        <f t="shared" si="6"/>
        <v>142828</v>
      </c>
      <c r="K161" s="7">
        <f t="shared" si="8"/>
        <v>77298.64817</v>
      </c>
    </row>
    <row r="162">
      <c r="A162" s="5" t="s">
        <v>464</v>
      </c>
      <c r="B162" s="5" t="s">
        <v>465</v>
      </c>
      <c r="C162" s="5" t="s">
        <v>466</v>
      </c>
      <c r="D162" s="6">
        <v>17939.0</v>
      </c>
      <c r="E162" s="7" t="str">
        <f t="shared" si="1"/>
        <v>B</v>
      </c>
      <c r="F162" s="7" t="str">
        <f t="shared" si="2"/>
        <v>Transformative change</v>
      </c>
      <c r="G162" s="7" t="str">
        <f t="shared" si="3"/>
        <v>Low</v>
      </c>
      <c r="H162" s="7">
        <f t="shared" si="4"/>
        <v>1658336</v>
      </c>
      <c r="I162" s="7">
        <f t="shared" si="5"/>
        <v>293680.5764</v>
      </c>
      <c r="J162" s="7">
        <f t="shared" si="6"/>
        <v>269085</v>
      </c>
      <c r="K162" s="7">
        <f t="shared" si="8"/>
        <v>162641.8651</v>
      </c>
    </row>
    <row r="163">
      <c r="A163" s="5" t="s">
        <v>467</v>
      </c>
      <c r="B163" s="5" t="s">
        <v>468</v>
      </c>
      <c r="C163" s="5" t="s">
        <v>469</v>
      </c>
      <c r="D163" s="6">
        <v>18553.0</v>
      </c>
      <c r="E163" s="7" t="str">
        <f t="shared" si="1"/>
        <v>E</v>
      </c>
      <c r="F163" s="7" t="str">
        <f t="shared" si="2"/>
        <v>Transformative change</v>
      </c>
      <c r="G163" s="7" t="str">
        <f t="shared" si="3"/>
        <v>High</v>
      </c>
      <c r="H163" s="7">
        <f t="shared" si="4"/>
        <v>3827268</v>
      </c>
      <c r="I163" s="7">
        <f t="shared" si="5"/>
        <v>1939352.563</v>
      </c>
      <c r="J163" s="7">
        <f t="shared" si="6"/>
        <v>166977</v>
      </c>
      <c r="K163" s="7">
        <f t="shared" si="8"/>
        <v>467.3925783</v>
      </c>
    </row>
    <row r="164">
      <c r="A164" s="5" t="s">
        <v>470</v>
      </c>
      <c r="B164" s="5" t="s">
        <v>471</v>
      </c>
      <c r="C164" s="5" t="s">
        <v>472</v>
      </c>
      <c r="D164" s="6">
        <v>5689.0</v>
      </c>
      <c r="E164" s="7" t="str">
        <f t="shared" si="1"/>
        <v>C</v>
      </c>
      <c r="F164" s="7" t="str">
        <f t="shared" si="2"/>
        <v>Transformative change</v>
      </c>
      <c r="G164" s="7" t="str">
        <f t="shared" si="3"/>
        <v>Low</v>
      </c>
      <c r="H164" s="7">
        <f t="shared" si="4"/>
        <v>1056158</v>
      </c>
      <c r="I164" s="7">
        <f t="shared" si="5"/>
        <v>1044512.005</v>
      </c>
      <c r="J164" s="7">
        <f t="shared" si="6"/>
        <v>73957</v>
      </c>
      <c r="K164" s="7">
        <f t="shared" si="8"/>
        <v>355.6969166</v>
      </c>
    </row>
    <row r="165">
      <c r="A165" s="5" t="s">
        <v>473</v>
      </c>
      <c r="B165" s="5" t="s">
        <v>474</v>
      </c>
      <c r="C165" s="5" t="s">
        <v>475</v>
      </c>
      <c r="D165" s="6">
        <v>17786.0</v>
      </c>
      <c r="E165" s="7" t="str">
        <f t="shared" si="1"/>
        <v>D</v>
      </c>
      <c r="F165" s="7" t="str">
        <f t="shared" si="2"/>
        <v>Transformative change</v>
      </c>
      <c r="G165" s="7" t="str">
        <f t="shared" si="3"/>
        <v>Medium</v>
      </c>
      <c r="H165" s="7">
        <f t="shared" si="4"/>
        <v>495791</v>
      </c>
      <c r="I165" s="7">
        <f t="shared" si="5"/>
        <v>219276.1875</v>
      </c>
      <c r="J165" s="7">
        <f t="shared" si="6"/>
        <v>213432</v>
      </c>
      <c r="K165" s="7">
        <f t="shared" si="8"/>
        <v>97335.75948</v>
      </c>
    </row>
    <row r="166">
      <c r="A166" s="5" t="s">
        <v>476</v>
      </c>
      <c r="B166" s="5" t="s">
        <v>477</v>
      </c>
      <c r="C166" s="5" t="s">
        <v>478</v>
      </c>
      <c r="D166" s="6">
        <v>7582.0</v>
      </c>
      <c r="E166" s="7" t="str">
        <f t="shared" si="1"/>
        <v>E</v>
      </c>
      <c r="F166" s="7" t="str">
        <f t="shared" si="2"/>
        <v>Transformative change</v>
      </c>
      <c r="G166" s="7" t="str">
        <f t="shared" si="3"/>
        <v>Low</v>
      </c>
      <c r="H166" s="7">
        <f t="shared" si="4"/>
        <v>2307756</v>
      </c>
      <c r="I166" s="7">
        <f t="shared" si="5"/>
        <v>1126676.67</v>
      </c>
      <c r="J166" s="7">
        <f t="shared" si="6"/>
        <v>30328</v>
      </c>
      <c r="K166" s="7">
        <f t="shared" si="8"/>
        <v>0.03061690006</v>
      </c>
    </row>
    <row r="167">
      <c r="A167" s="5" t="s">
        <v>479</v>
      </c>
      <c r="B167" s="5" t="s">
        <v>480</v>
      </c>
      <c r="C167" s="5" t="s">
        <v>481</v>
      </c>
      <c r="D167" s="6">
        <v>17095.0</v>
      </c>
      <c r="E167" s="7" t="str">
        <f t="shared" si="1"/>
        <v>F</v>
      </c>
      <c r="F167" s="7" t="str">
        <f t="shared" si="2"/>
        <v>Transformative change</v>
      </c>
      <c r="G167" s="7" t="str">
        <f t="shared" si="3"/>
        <v>High</v>
      </c>
      <c r="H167" s="7">
        <f t="shared" si="4"/>
        <v>266333</v>
      </c>
      <c r="I167" s="7">
        <f t="shared" si="5"/>
        <v>202009.0714</v>
      </c>
      <c r="J167" s="7">
        <f t="shared" si="6"/>
        <v>239330</v>
      </c>
      <c r="K167" s="7">
        <f t="shared" si="8"/>
        <v>2231</v>
      </c>
    </row>
    <row r="168">
      <c r="A168" s="5" t="s">
        <v>482</v>
      </c>
      <c r="B168" s="5" t="s">
        <v>483</v>
      </c>
      <c r="C168" s="5" t="s">
        <v>484</v>
      </c>
      <c r="D168" s="6">
        <v>13864.0</v>
      </c>
      <c r="E168" s="7" t="str">
        <f t="shared" si="1"/>
        <v>F</v>
      </c>
      <c r="F168" s="7" t="str">
        <f t="shared" si="2"/>
        <v>Transformative change</v>
      </c>
      <c r="G168" s="7" t="str">
        <f t="shared" si="3"/>
        <v>High</v>
      </c>
      <c r="H168" s="7">
        <f t="shared" si="4"/>
        <v>1341249</v>
      </c>
      <c r="I168" s="7">
        <f t="shared" si="5"/>
        <v>79619.37819</v>
      </c>
      <c r="J168" s="7">
        <f t="shared" si="6"/>
        <v>138640</v>
      </c>
      <c r="K168" s="7">
        <f t="shared" si="8"/>
        <v>2231</v>
      </c>
    </row>
    <row r="169">
      <c r="A169" s="5" t="s">
        <v>485</v>
      </c>
      <c r="B169" s="5" t="s">
        <v>486</v>
      </c>
      <c r="C169" s="5" t="s">
        <v>487</v>
      </c>
      <c r="D169" s="6">
        <v>496131.0</v>
      </c>
      <c r="E169" s="7" t="str">
        <f t="shared" si="1"/>
        <v>F</v>
      </c>
      <c r="F169" s="7" t="str">
        <f t="shared" si="2"/>
        <v>High ambition</v>
      </c>
      <c r="G169" s="7" t="str">
        <f t="shared" si="3"/>
        <v>High</v>
      </c>
      <c r="H169" s="7">
        <f t="shared" si="4"/>
        <v>3134051</v>
      </c>
      <c r="I169" s="7">
        <f t="shared" si="5"/>
        <v>1875649.363</v>
      </c>
      <c r="J169" s="7">
        <f t="shared" si="6"/>
        <v>2976786</v>
      </c>
      <c r="K169" s="7">
        <f t="shared" si="8"/>
        <v>172900.7247</v>
      </c>
    </row>
    <row r="170">
      <c r="A170" s="5" t="s">
        <v>488</v>
      </c>
      <c r="B170" s="5" t="s">
        <v>489</v>
      </c>
      <c r="C170" s="5" t="s">
        <v>490</v>
      </c>
      <c r="D170" s="6">
        <v>18265.0</v>
      </c>
      <c r="E170" s="7" t="str">
        <f t="shared" si="1"/>
        <v>C</v>
      </c>
      <c r="F170" s="7" t="str">
        <f t="shared" si="2"/>
        <v>Transformative change</v>
      </c>
      <c r="G170" s="7" t="str">
        <f t="shared" si="3"/>
        <v>High</v>
      </c>
      <c r="H170" s="7">
        <f t="shared" si="4"/>
        <v>2542942</v>
      </c>
      <c r="I170" s="7">
        <f t="shared" si="5"/>
        <v>1402051.299</v>
      </c>
      <c r="J170" s="7">
        <f t="shared" si="6"/>
        <v>91325</v>
      </c>
      <c r="K170" s="7">
        <f t="shared" si="8"/>
        <v>2231</v>
      </c>
    </row>
    <row r="171">
      <c r="A171" s="5" t="s">
        <v>491</v>
      </c>
      <c r="B171" s="5" t="s">
        <v>492</v>
      </c>
      <c r="C171" s="5" t="s">
        <v>493</v>
      </c>
      <c r="D171" s="6">
        <v>10827.0</v>
      </c>
      <c r="E171" s="7" t="str">
        <f t="shared" si="1"/>
        <v>B</v>
      </c>
      <c r="F171" s="7" t="str">
        <f t="shared" si="2"/>
        <v>Transformative change</v>
      </c>
      <c r="G171" s="7" t="str">
        <f t="shared" si="3"/>
        <v>Low</v>
      </c>
      <c r="H171" s="7">
        <f t="shared" si="4"/>
        <v>363984</v>
      </c>
      <c r="I171" s="7">
        <f t="shared" si="5"/>
        <v>218054.0636</v>
      </c>
      <c r="J171" s="7">
        <f t="shared" si="6"/>
        <v>129924</v>
      </c>
      <c r="K171" s="7">
        <f t="shared" si="8"/>
        <v>18920.4419</v>
      </c>
    </row>
    <row r="172">
      <c r="A172" s="5" t="s">
        <v>494</v>
      </c>
      <c r="B172" s="5" t="s">
        <v>495</v>
      </c>
      <c r="C172" s="5" t="s">
        <v>496</v>
      </c>
      <c r="D172" s="6">
        <v>6929.0</v>
      </c>
      <c r="E172" s="7" t="str">
        <f t="shared" si="1"/>
        <v>C</v>
      </c>
      <c r="F172" s="7" t="str">
        <f t="shared" si="2"/>
        <v>Transformative change</v>
      </c>
      <c r="G172" s="7" t="str">
        <f t="shared" si="3"/>
        <v>Medium</v>
      </c>
      <c r="H172" s="7">
        <f t="shared" si="4"/>
        <v>3759031</v>
      </c>
      <c r="I172" s="7">
        <f t="shared" si="5"/>
        <v>171500.8492</v>
      </c>
      <c r="J172" s="7">
        <f t="shared" si="6"/>
        <v>48503</v>
      </c>
      <c r="K172" s="7">
        <f t="shared" si="8"/>
        <v>2231</v>
      </c>
    </row>
    <row r="173">
      <c r="A173" s="5" t="s">
        <v>497</v>
      </c>
      <c r="B173" s="5" t="s">
        <v>498</v>
      </c>
      <c r="C173" s="5" t="s">
        <v>499</v>
      </c>
      <c r="D173" s="6">
        <v>12685.0</v>
      </c>
      <c r="E173" s="7" t="str">
        <f t="shared" si="1"/>
        <v>A</v>
      </c>
      <c r="F173" s="7" t="str">
        <f t="shared" si="2"/>
        <v>High ambition</v>
      </c>
      <c r="G173" s="7" t="str">
        <f t="shared" si="3"/>
        <v>Medium</v>
      </c>
      <c r="H173" s="7">
        <f t="shared" si="4"/>
        <v>2174205</v>
      </c>
      <c r="I173" s="7">
        <f t="shared" si="5"/>
        <v>871760.3074</v>
      </c>
      <c r="J173" s="7">
        <f t="shared" si="6"/>
        <v>63425</v>
      </c>
      <c r="K173" s="7">
        <f t="shared" si="8"/>
        <v>2231</v>
      </c>
    </row>
    <row r="174">
      <c r="A174" s="5" t="s">
        <v>500</v>
      </c>
      <c r="B174" s="5" t="s">
        <v>501</v>
      </c>
      <c r="C174" s="5" t="s">
        <v>74</v>
      </c>
      <c r="D174" s="6">
        <v>5961.0</v>
      </c>
      <c r="E174" s="7" t="str">
        <f t="shared" si="1"/>
        <v>D</v>
      </c>
      <c r="F174" s="7" t="str">
        <f t="shared" si="2"/>
        <v>High ambition</v>
      </c>
      <c r="G174" s="7" t="str">
        <f t="shared" si="3"/>
        <v>High</v>
      </c>
      <c r="H174" s="7">
        <f t="shared" si="4"/>
        <v>1231692</v>
      </c>
      <c r="I174" s="7">
        <f t="shared" si="5"/>
        <v>67608.68049</v>
      </c>
      <c r="J174" s="7">
        <f t="shared" si="6"/>
        <v>23844</v>
      </c>
      <c r="K174" s="7">
        <f t="shared" si="8"/>
        <v>393.227426</v>
      </c>
    </row>
    <row r="175">
      <c r="A175" s="5" t="s">
        <v>502</v>
      </c>
      <c r="B175" s="5" t="s">
        <v>457</v>
      </c>
      <c r="C175" s="5" t="s">
        <v>433</v>
      </c>
      <c r="D175" s="6">
        <v>15309.0</v>
      </c>
      <c r="E175" s="7" t="str">
        <f t="shared" si="1"/>
        <v>F</v>
      </c>
      <c r="F175" s="7" t="str">
        <f t="shared" si="2"/>
        <v>Transformative change</v>
      </c>
      <c r="G175" s="7" t="str">
        <f t="shared" si="3"/>
        <v>Medium</v>
      </c>
      <c r="H175" s="7">
        <f t="shared" si="4"/>
        <v>2099974</v>
      </c>
      <c r="I175" s="7">
        <f t="shared" si="5"/>
        <v>1601145.08</v>
      </c>
      <c r="J175" s="7">
        <f t="shared" si="6"/>
        <v>183708</v>
      </c>
      <c r="K175" s="7">
        <f t="shared" si="8"/>
        <v>2231</v>
      </c>
    </row>
    <row r="176">
      <c r="A176" s="5" t="s">
        <v>503</v>
      </c>
      <c r="B176" s="5" t="s">
        <v>504</v>
      </c>
      <c r="C176" s="5" t="s">
        <v>505</v>
      </c>
      <c r="D176" s="6">
        <v>536921.0</v>
      </c>
      <c r="E176" s="7" t="str">
        <f t="shared" si="1"/>
        <v>A</v>
      </c>
      <c r="F176" s="7" t="str">
        <f t="shared" si="2"/>
        <v>Transformative change</v>
      </c>
      <c r="G176" s="7" t="str">
        <f t="shared" si="3"/>
        <v>High</v>
      </c>
      <c r="H176" s="7">
        <f t="shared" si="4"/>
        <v>644225</v>
      </c>
      <c r="I176" s="7">
        <f t="shared" si="5"/>
        <v>640356.5966</v>
      </c>
      <c r="J176" s="7">
        <f t="shared" si="6"/>
        <v>2684605</v>
      </c>
      <c r="K176" s="7">
        <f t="shared" si="8"/>
        <v>111819.7772</v>
      </c>
    </row>
    <row r="177">
      <c r="A177" s="5" t="s">
        <v>506</v>
      </c>
      <c r="B177" s="5" t="s">
        <v>507</v>
      </c>
      <c r="C177" s="5" t="s">
        <v>508</v>
      </c>
      <c r="D177" s="6">
        <v>16946.0</v>
      </c>
      <c r="E177" s="7" t="str">
        <f t="shared" si="1"/>
        <v>G</v>
      </c>
      <c r="F177" s="7" t="str">
        <f t="shared" si="2"/>
        <v>High ambition</v>
      </c>
      <c r="G177" s="7" t="str">
        <f t="shared" si="3"/>
        <v>High</v>
      </c>
      <c r="H177" s="7">
        <f t="shared" si="4"/>
        <v>2003434</v>
      </c>
      <c r="I177" s="7">
        <f t="shared" si="5"/>
        <v>1776487.452</v>
      </c>
      <c r="J177" s="7">
        <f t="shared" si="6"/>
        <v>135568</v>
      </c>
      <c r="K177" s="7">
        <f t="shared" si="8"/>
        <v>6791.188063</v>
      </c>
    </row>
    <row r="178">
      <c r="A178" s="5" t="s">
        <v>509</v>
      </c>
      <c r="B178" s="5" t="s">
        <v>510</v>
      </c>
      <c r="C178" s="5" t="s">
        <v>511</v>
      </c>
      <c r="D178" s="6">
        <v>5096.0</v>
      </c>
      <c r="E178" s="7" t="str">
        <f t="shared" si="1"/>
        <v>D</v>
      </c>
      <c r="F178" s="7" t="str">
        <f t="shared" si="2"/>
        <v>Transformative change</v>
      </c>
      <c r="G178" s="7" t="str">
        <f t="shared" si="3"/>
        <v>Medium</v>
      </c>
      <c r="H178" s="7">
        <f t="shared" si="4"/>
        <v>3701149</v>
      </c>
      <c r="I178" s="7">
        <f t="shared" si="5"/>
        <v>620914.8444</v>
      </c>
      <c r="J178" s="7">
        <f t="shared" si="6"/>
        <v>61152</v>
      </c>
      <c r="K178" s="7">
        <f t="shared" si="8"/>
        <v>2231</v>
      </c>
    </row>
    <row r="179">
      <c r="A179" s="5" t="s">
        <v>512</v>
      </c>
      <c r="B179" s="5" t="s">
        <v>513</v>
      </c>
      <c r="C179" s="5" t="s">
        <v>153</v>
      </c>
      <c r="D179" s="6">
        <v>7134.0</v>
      </c>
      <c r="E179" s="7" t="str">
        <f t="shared" si="1"/>
        <v>C</v>
      </c>
      <c r="F179" s="7" t="str">
        <f t="shared" si="2"/>
        <v>Transformative change</v>
      </c>
      <c r="G179" s="7" t="str">
        <f t="shared" si="3"/>
        <v>High</v>
      </c>
      <c r="H179" s="7">
        <f t="shared" si="4"/>
        <v>2922664</v>
      </c>
      <c r="I179" s="7">
        <f t="shared" si="5"/>
        <v>977157.0788</v>
      </c>
      <c r="J179" s="7">
        <f t="shared" si="6"/>
        <v>99876</v>
      </c>
      <c r="K179" s="7">
        <f t="shared" si="8"/>
        <v>32177.14611</v>
      </c>
    </row>
    <row r="180">
      <c r="A180" s="5" t="s">
        <v>514</v>
      </c>
      <c r="B180" s="5" t="s">
        <v>515</v>
      </c>
      <c r="C180" s="5" t="s">
        <v>516</v>
      </c>
      <c r="D180" s="6">
        <v>18324.0</v>
      </c>
      <c r="E180" s="7" t="str">
        <f t="shared" si="1"/>
        <v>D</v>
      </c>
      <c r="F180" s="7" t="str">
        <f t="shared" si="2"/>
        <v>Transformative change</v>
      </c>
      <c r="G180" s="7" t="str">
        <f t="shared" si="3"/>
        <v>High</v>
      </c>
      <c r="H180" s="7">
        <f t="shared" si="4"/>
        <v>2986606</v>
      </c>
      <c r="I180" s="7">
        <f t="shared" si="5"/>
        <v>2666244.192</v>
      </c>
      <c r="J180" s="7">
        <f t="shared" si="6"/>
        <v>183240</v>
      </c>
      <c r="K180" s="7">
        <f t="shared" si="8"/>
        <v>6753.460468</v>
      </c>
    </row>
    <row r="181">
      <c r="A181" s="5" t="s">
        <v>517</v>
      </c>
      <c r="B181" s="5" t="s">
        <v>518</v>
      </c>
      <c r="C181" s="5" t="s">
        <v>74</v>
      </c>
      <c r="D181" s="6">
        <v>15537.0</v>
      </c>
      <c r="E181" s="7" t="str">
        <f t="shared" si="1"/>
        <v>G</v>
      </c>
      <c r="F181" s="7" t="str">
        <f t="shared" si="2"/>
        <v>Transformative change</v>
      </c>
      <c r="G181" s="7" t="str">
        <f t="shared" si="3"/>
        <v>Low</v>
      </c>
      <c r="H181" s="7">
        <f t="shared" si="4"/>
        <v>3469533</v>
      </c>
      <c r="I181" s="7">
        <f t="shared" si="5"/>
        <v>434840.4722</v>
      </c>
      <c r="J181" s="7">
        <f t="shared" si="6"/>
        <v>124296</v>
      </c>
      <c r="K181" s="7">
        <f t="shared" si="8"/>
        <v>5849.691026</v>
      </c>
    </row>
    <row r="182">
      <c r="A182" s="5" t="s">
        <v>519</v>
      </c>
      <c r="B182" s="5" t="s">
        <v>520</v>
      </c>
      <c r="C182" s="5" t="s">
        <v>74</v>
      </c>
      <c r="D182" s="6">
        <v>16622.0</v>
      </c>
      <c r="E182" s="7" t="str">
        <f t="shared" si="1"/>
        <v>F</v>
      </c>
      <c r="F182" s="7" t="str">
        <f t="shared" si="2"/>
        <v>Transformative change</v>
      </c>
      <c r="G182" s="7" t="str">
        <f t="shared" si="3"/>
        <v>Low</v>
      </c>
      <c r="H182" s="7">
        <f t="shared" si="4"/>
        <v>2828134</v>
      </c>
      <c r="I182" s="7">
        <f t="shared" si="5"/>
        <v>2009429.918</v>
      </c>
      <c r="J182" s="7">
        <f t="shared" si="6"/>
        <v>166220</v>
      </c>
      <c r="K182" s="7">
        <f t="shared" si="8"/>
        <v>2231</v>
      </c>
    </row>
    <row r="183">
      <c r="A183" s="5" t="s">
        <v>521</v>
      </c>
      <c r="B183" s="5" t="s">
        <v>522</v>
      </c>
      <c r="C183" s="5" t="s">
        <v>74</v>
      </c>
      <c r="D183" s="6">
        <v>554197.0</v>
      </c>
      <c r="E183" s="7" t="str">
        <f t="shared" si="1"/>
        <v>D</v>
      </c>
      <c r="F183" s="7" t="str">
        <f t="shared" si="2"/>
        <v>Transformative change</v>
      </c>
      <c r="G183" s="7" t="str">
        <f t="shared" si="3"/>
        <v>Medium</v>
      </c>
      <c r="H183" s="7">
        <f t="shared" si="4"/>
        <v>727625</v>
      </c>
      <c r="I183" s="7">
        <f t="shared" si="5"/>
        <v>243263.882</v>
      </c>
      <c r="J183" s="7">
        <f t="shared" si="6"/>
        <v>4987773</v>
      </c>
      <c r="K183" s="7">
        <f t="shared" si="8"/>
        <v>39455.22776</v>
      </c>
    </row>
    <row r="184">
      <c r="A184" s="5" t="s">
        <v>523</v>
      </c>
      <c r="B184" s="5" t="s">
        <v>524</v>
      </c>
      <c r="C184" s="5" t="s">
        <v>74</v>
      </c>
      <c r="D184" s="6">
        <v>17345.0</v>
      </c>
      <c r="E184" s="7" t="str">
        <f t="shared" si="1"/>
        <v>B</v>
      </c>
      <c r="F184" s="7" t="str">
        <f t="shared" si="2"/>
        <v>Transformative change</v>
      </c>
      <c r="G184" s="7" t="str">
        <f t="shared" si="3"/>
        <v>High</v>
      </c>
      <c r="H184" s="7">
        <f t="shared" si="4"/>
        <v>2422856</v>
      </c>
      <c r="I184" s="7">
        <f t="shared" si="5"/>
        <v>2326058.965</v>
      </c>
      <c r="J184" s="7">
        <f t="shared" si="6"/>
        <v>121415</v>
      </c>
      <c r="K184" s="7">
        <f t="shared" si="8"/>
        <v>1.126977838</v>
      </c>
    </row>
    <row r="185">
      <c r="A185" s="5" t="s">
        <v>392</v>
      </c>
      <c r="B185" s="5" t="s">
        <v>525</v>
      </c>
      <c r="C185" s="5" t="s">
        <v>74</v>
      </c>
      <c r="D185" s="6">
        <v>14221.0</v>
      </c>
      <c r="E185" s="7" t="str">
        <f t="shared" si="1"/>
        <v>B</v>
      </c>
      <c r="F185" s="7" t="str">
        <f t="shared" si="2"/>
        <v>High ambition</v>
      </c>
      <c r="G185" s="7" t="str">
        <f t="shared" si="3"/>
        <v>Low</v>
      </c>
      <c r="H185" s="7">
        <f t="shared" si="4"/>
        <v>129577</v>
      </c>
      <c r="I185" s="7">
        <f t="shared" si="5"/>
        <v>84459.81713</v>
      </c>
      <c r="J185" s="7">
        <f t="shared" si="6"/>
        <v>170652</v>
      </c>
      <c r="K185" s="7">
        <f t="shared" si="8"/>
        <v>586.9001001</v>
      </c>
    </row>
    <row r="186">
      <c r="A186" s="5" t="s">
        <v>526</v>
      </c>
      <c r="B186" s="5" t="s">
        <v>527</v>
      </c>
      <c r="C186" s="5" t="s">
        <v>528</v>
      </c>
      <c r="D186" s="6">
        <v>13575.0</v>
      </c>
      <c r="E186" s="7" t="str">
        <f t="shared" si="1"/>
        <v>B</v>
      </c>
      <c r="F186" s="7" t="str">
        <f t="shared" si="2"/>
        <v>High ambition</v>
      </c>
      <c r="G186" s="7" t="str">
        <f t="shared" si="3"/>
        <v>High</v>
      </c>
      <c r="H186" s="7">
        <f t="shared" si="4"/>
        <v>2799290</v>
      </c>
      <c r="I186" s="7">
        <f t="shared" si="5"/>
        <v>712241.0816</v>
      </c>
      <c r="J186" s="7">
        <f t="shared" si="6"/>
        <v>67875</v>
      </c>
      <c r="K186" s="7">
        <f t="shared" si="8"/>
        <v>37877.14075</v>
      </c>
    </row>
    <row r="187">
      <c r="A187" s="5" t="s">
        <v>529</v>
      </c>
      <c r="B187" s="5" t="s">
        <v>530</v>
      </c>
      <c r="C187" s="5" t="s">
        <v>74</v>
      </c>
      <c r="D187" s="6">
        <v>12438.0</v>
      </c>
      <c r="E187" s="7" t="str">
        <f t="shared" si="1"/>
        <v>F</v>
      </c>
      <c r="F187" s="7" t="str">
        <f t="shared" si="2"/>
        <v>Transformative change</v>
      </c>
      <c r="G187" s="7" t="str">
        <f t="shared" si="3"/>
        <v>Low</v>
      </c>
      <c r="H187" s="7">
        <f t="shared" si="4"/>
        <v>3687519</v>
      </c>
      <c r="I187" s="7">
        <f t="shared" si="5"/>
        <v>81328.83944</v>
      </c>
      <c r="J187" s="7">
        <f t="shared" si="6"/>
        <v>99504</v>
      </c>
      <c r="K187" s="7">
        <f t="shared" si="8"/>
        <v>2231</v>
      </c>
    </row>
    <row r="188">
      <c r="A188" s="5" t="s">
        <v>531</v>
      </c>
      <c r="B188" s="5" t="s">
        <v>532</v>
      </c>
      <c r="C188" s="5" t="s">
        <v>533</v>
      </c>
      <c r="D188" s="6">
        <v>14024.0</v>
      </c>
      <c r="E188" s="7" t="str">
        <f t="shared" si="1"/>
        <v>A</v>
      </c>
      <c r="F188" s="7" t="str">
        <f t="shared" si="2"/>
        <v>Transformative change</v>
      </c>
      <c r="G188" s="7" t="str">
        <f t="shared" si="3"/>
        <v>Medium</v>
      </c>
      <c r="H188" s="7">
        <f t="shared" si="4"/>
        <v>3610516</v>
      </c>
      <c r="I188" s="7">
        <f t="shared" si="5"/>
        <v>2364865.801</v>
      </c>
      <c r="J188" s="7">
        <f t="shared" si="6"/>
        <v>84144</v>
      </c>
      <c r="K188" s="7">
        <f t="shared" si="8"/>
        <v>2231</v>
      </c>
    </row>
    <row r="189">
      <c r="A189" s="5" t="s">
        <v>534</v>
      </c>
      <c r="B189" s="5" t="s">
        <v>535</v>
      </c>
      <c r="C189" s="5" t="s">
        <v>536</v>
      </c>
      <c r="D189" s="6">
        <v>10083.0</v>
      </c>
      <c r="E189" s="7" t="str">
        <f t="shared" si="1"/>
        <v>F</v>
      </c>
      <c r="F189" s="7" t="str">
        <f t="shared" si="2"/>
        <v>Transformative change</v>
      </c>
      <c r="G189" s="7" t="str">
        <f t="shared" si="3"/>
        <v>Low</v>
      </c>
      <c r="H189" s="7">
        <f t="shared" si="4"/>
        <v>2770891</v>
      </c>
      <c r="I189" s="7">
        <f t="shared" si="5"/>
        <v>1592350.689</v>
      </c>
      <c r="J189" s="7">
        <f t="shared" si="6"/>
        <v>40332</v>
      </c>
      <c r="K189" s="7">
        <f t="shared" si="8"/>
        <v>2231</v>
      </c>
    </row>
    <row r="190">
      <c r="A190" s="5" t="s">
        <v>537</v>
      </c>
      <c r="B190" s="5" t="s">
        <v>538</v>
      </c>
      <c r="C190" s="5" t="s">
        <v>539</v>
      </c>
      <c r="D190" s="6">
        <v>64856.0</v>
      </c>
      <c r="E190" s="7" t="str">
        <f t="shared" si="1"/>
        <v>D</v>
      </c>
      <c r="F190" s="7" t="str">
        <f t="shared" si="2"/>
        <v>Transformative change</v>
      </c>
      <c r="G190" s="7" t="str">
        <f t="shared" si="3"/>
        <v>Medium</v>
      </c>
      <c r="H190" s="7">
        <f t="shared" si="4"/>
        <v>3603082</v>
      </c>
      <c r="I190" s="7">
        <f t="shared" si="5"/>
        <v>1985529.469</v>
      </c>
      <c r="J190" s="7">
        <f t="shared" si="6"/>
        <v>583704</v>
      </c>
      <c r="K190" s="7">
        <f t="shared" si="8"/>
        <v>2231</v>
      </c>
    </row>
    <row r="191">
      <c r="A191" s="5" t="s">
        <v>540</v>
      </c>
      <c r="B191" s="5" t="s">
        <v>541</v>
      </c>
      <c r="C191" s="5" t="s">
        <v>542</v>
      </c>
      <c r="D191" s="6">
        <v>81637.0</v>
      </c>
      <c r="E191" s="7" t="str">
        <f t="shared" si="1"/>
        <v>C</v>
      </c>
      <c r="F191" s="7" t="str">
        <f t="shared" si="2"/>
        <v>Transformative change</v>
      </c>
      <c r="G191" s="7" t="str">
        <f t="shared" si="3"/>
        <v>Medium</v>
      </c>
      <c r="H191" s="7">
        <f t="shared" si="4"/>
        <v>1892760</v>
      </c>
      <c r="I191" s="7">
        <f t="shared" si="5"/>
        <v>1215266.937</v>
      </c>
      <c r="J191" s="7">
        <f t="shared" si="6"/>
        <v>1142918</v>
      </c>
      <c r="K191" s="7">
        <f t="shared" si="8"/>
        <v>768028.0758</v>
      </c>
    </row>
    <row r="192">
      <c r="A192" s="5" t="s">
        <v>543</v>
      </c>
      <c r="B192" s="5" t="s">
        <v>544</v>
      </c>
      <c r="C192" s="5" t="s">
        <v>545</v>
      </c>
      <c r="D192" s="6">
        <v>14492.0</v>
      </c>
      <c r="E192" s="7" t="str">
        <f t="shared" si="1"/>
        <v>B</v>
      </c>
      <c r="F192" s="7" t="str">
        <f t="shared" si="2"/>
        <v>Transformative change</v>
      </c>
      <c r="G192" s="7" t="str">
        <f t="shared" si="3"/>
        <v>High</v>
      </c>
      <c r="H192" s="7">
        <f t="shared" si="4"/>
        <v>3961041</v>
      </c>
      <c r="I192" s="7">
        <f t="shared" si="5"/>
        <v>1737589.839</v>
      </c>
      <c r="J192" s="7">
        <f t="shared" si="6"/>
        <v>144920</v>
      </c>
      <c r="K192" s="7">
        <f t="shared" si="8"/>
        <v>2231</v>
      </c>
    </row>
    <row r="193">
      <c r="A193" s="5" t="s">
        <v>546</v>
      </c>
      <c r="B193" s="5" t="s">
        <v>547</v>
      </c>
      <c r="C193" s="5" t="s">
        <v>548</v>
      </c>
      <c r="D193" s="6">
        <v>5153.0</v>
      </c>
      <c r="E193" s="7" t="str">
        <f t="shared" si="1"/>
        <v>F</v>
      </c>
      <c r="F193" s="7" t="str">
        <f t="shared" si="2"/>
        <v>Transformative change</v>
      </c>
      <c r="G193" s="7" t="str">
        <f t="shared" si="3"/>
        <v>Medium</v>
      </c>
      <c r="H193" s="7">
        <f t="shared" si="4"/>
        <v>118805</v>
      </c>
      <c r="I193" s="7">
        <f t="shared" si="5"/>
        <v>83028.95899</v>
      </c>
      <c r="J193" s="7">
        <f t="shared" si="6"/>
        <v>77295</v>
      </c>
      <c r="K193" s="7">
        <f t="shared" si="8"/>
        <v>2231</v>
      </c>
    </row>
    <row r="194">
      <c r="A194" s="5" t="s">
        <v>549</v>
      </c>
      <c r="B194" s="5" t="s">
        <v>550</v>
      </c>
      <c r="C194" s="5" t="s">
        <v>551</v>
      </c>
      <c r="D194" s="6">
        <v>12748.0</v>
      </c>
      <c r="E194" s="7" t="str">
        <f t="shared" si="1"/>
        <v>F</v>
      </c>
      <c r="F194" s="7" t="str">
        <f t="shared" si="2"/>
        <v>Transformative change</v>
      </c>
      <c r="G194" s="7" t="str">
        <f t="shared" si="3"/>
        <v>High</v>
      </c>
      <c r="H194" s="7">
        <f t="shared" si="4"/>
        <v>3905683</v>
      </c>
      <c r="I194" s="7">
        <f t="shared" si="5"/>
        <v>3688562.539</v>
      </c>
      <c r="J194" s="7">
        <f t="shared" si="6"/>
        <v>178472</v>
      </c>
      <c r="K194" s="7">
        <f t="shared" si="8"/>
        <v>61233.39412</v>
      </c>
    </row>
    <row r="195">
      <c r="A195" s="5" t="s">
        <v>552</v>
      </c>
      <c r="B195" s="5" t="s">
        <v>553</v>
      </c>
      <c r="C195" s="5" t="s">
        <v>554</v>
      </c>
      <c r="D195" s="6">
        <v>18401.0</v>
      </c>
      <c r="E195" s="7" t="str">
        <f t="shared" si="1"/>
        <v>C</v>
      </c>
      <c r="F195" s="7" t="str">
        <f t="shared" si="2"/>
        <v>Transformative change</v>
      </c>
      <c r="G195" s="7" t="str">
        <f t="shared" si="3"/>
        <v>Low</v>
      </c>
      <c r="H195" s="7">
        <f t="shared" si="4"/>
        <v>1272526</v>
      </c>
      <c r="I195" s="7">
        <f t="shared" si="5"/>
        <v>728259.5776</v>
      </c>
      <c r="J195" s="7">
        <f t="shared" si="6"/>
        <v>184010</v>
      </c>
      <c r="K195" s="7">
        <f t="shared" si="8"/>
        <v>6.325944989</v>
      </c>
    </row>
    <row r="196">
      <c r="A196" s="5" t="s">
        <v>555</v>
      </c>
      <c r="B196" s="5" t="s">
        <v>556</v>
      </c>
      <c r="C196" s="5" t="s">
        <v>74</v>
      </c>
      <c r="D196" s="6">
        <v>8255.0</v>
      </c>
      <c r="E196" s="7" t="str">
        <f t="shared" si="1"/>
        <v>C</v>
      </c>
      <c r="F196" s="7" t="str">
        <f t="shared" si="2"/>
        <v>Transformative change</v>
      </c>
      <c r="G196" s="7" t="str">
        <f t="shared" si="3"/>
        <v>Medium</v>
      </c>
      <c r="H196" s="7">
        <f t="shared" si="4"/>
        <v>659019</v>
      </c>
      <c r="I196" s="7">
        <f t="shared" si="5"/>
        <v>371073.4406</v>
      </c>
      <c r="J196" s="7">
        <f t="shared" si="6"/>
        <v>107315</v>
      </c>
      <c r="K196" s="7">
        <f t="shared" si="8"/>
        <v>551.2858813</v>
      </c>
    </row>
    <row r="197">
      <c r="A197" s="5" t="s">
        <v>369</v>
      </c>
      <c r="B197" s="5" t="s">
        <v>557</v>
      </c>
      <c r="C197" s="5" t="s">
        <v>558</v>
      </c>
      <c r="D197" s="6">
        <v>234264.0</v>
      </c>
      <c r="E197" s="7" t="str">
        <f t="shared" si="1"/>
        <v>F</v>
      </c>
      <c r="F197" s="7" t="str">
        <f t="shared" si="2"/>
        <v>Transformative change</v>
      </c>
      <c r="G197" s="7" t="str">
        <f t="shared" si="3"/>
        <v>Medium</v>
      </c>
      <c r="H197" s="7">
        <f t="shared" si="4"/>
        <v>2235781</v>
      </c>
      <c r="I197" s="7">
        <f t="shared" si="5"/>
        <v>566945.9547</v>
      </c>
      <c r="J197" s="7">
        <f t="shared" si="6"/>
        <v>3513960</v>
      </c>
      <c r="K197" s="7">
        <f t="shared" si="8"/>
        <v>635189.4951</v>
      </c>
    </row>
    <row r="198">
      <c r="A198" s="5" t="s">
        <v>559</v>
      </c>
      <c r="B198" s="5" t="s">
        <v>560</v>
      </c>
      <c r="C198" s="5" t="s">
        <v>561</v>
      </c>
      <c r="D198" s="6">
        <v>16714.0</v>
      </c>
      <c r="E198" s="7" t="str">
        <f t="shared" si="1"/>
        <v>A</v>
      </c>
      <c r="F198" s="7" t="str">
        <f t="shared" si="2"/>
        <v>High ambition</v>
      </c>
      <c r="G198" s="7" t="str">
        <f t="shared" si="3"/>
        <v>High</v>
      </c>
      <c r="H198" s="7">
        <f t="shared" si="4"/>
        <v>1752771</v>
      </c>
      <c r="I198" s="7">
        <f t="shared" si="5"/>
        <v>1171305.318</v>
      </c>
      <c r="J198" s="7">
        <f t="shared" si="6"/>
        <v>83570</v>
      </c>
      <c r="K198" s="7">
        <f t="shared" si="8"/>
        <v>2231</v>
      </c>
    </row>
    <row r="199">
      <c r="A199" s="5" t="s">
        <v>562</v>
      </c>
      <c r="B199" s="5" t="s">
        <v>563</v>
      </c>
      <c r="C199" s="5" t="s">
        <v>564</v>
      </c>
      <c r="D199" s="6">
        <v>8985.0</v>
      </c>
      <c r="E199" s="7" t="str">
        <f t="shared" si="1"/>
        <v>C</v>
      </c>
      <c r="F199" s="7" t="str">
        <f t="shared" si="2"/>
        <v>Transformative change</v>
      </c>
      <c r="G199" s="7" t="str">
        <f t="shared" si="3"/>
        <v>Low</v>
      </c>
      <c r="H199" s="7">
        <f t="shared" si="4"/>
        <v>3455612</v>
      </c>
      <c r="I199" s="7">
        <f t="shared" si="5"/>
        <v>314829.3173</v>
      </c>
      <c r="J199" s="7">
        <f t="shared" si="6"/>
        <v>62895</v>
      </c>
      <c r="K199" s="7">
        <f t="shared" si="8"/>
        <v>10484.33301</v>
      </c>
    </row>
    <row r="200">
      <c r="A200" s="5" t="s">
        <v>565</v>
      </c>
      <c r="B200" s="5" t="s">
        <v>566</v>
      </c>
      <c r="C200" s="5" t="s">
        <v>74</v>
      </c>
      <c r="D200" s="6">
        <v>7691.0</v>
      </c>
      <c r="E200" s="7" t="str">
        <f t="shared" si="1"/>
        <v>B</v>
      </c>
      <c r="F200" s="7" t="str">
        <f t="shared" si="2"/>
        <v>High ambition</v>
      </c>
      <c r="G200" s="7" t="str">
        <f t="shared" si="3"/>
        <v>Low</v>
      </c>
      <c r="H200" s="7">
        <f t="shared" si="4"/>
        <v>2924566</v>
      </c>
      <c r="I200" s="7">
        <f t="shared" si="5"/>
        <v>1213455.109</v>
      </c>
      <c r="J200" s="7">
        <f t="shared" si="6"/>
        <v>84601</v>
      </c>
      <c r="K200" s="7">
        <f t="shared" si="8"/>
        <v>55294.62674</v>
      </c>
    </row>
    <row r="201">
      <c r="A201" s="5" t="s">
        <v>567</v>
      </c>
      <c r="B201" s="5" t="s">
        <v>568</v>
      </c>
      <c r="C201" s="5" t="s">
        <v>74</v>
      </c>
      <c r="D201" s="6">
        <v>21380.0</v>
      </c>
      <c r="E201" s="7" t="str">
        <f t="shared" si="1"/>
        <v>G</v>
      </c>
      <c r="F201" s="7" t="str">
        <f t="shared" si="2"/>
        <v>Transformative change</v>
      </c>
      <c r="G201" s="7" t="str">
        <f t="shared" si="3"/>
        <v>Low</v>
      </c>
      <c r="H201" s="7">
        <f t="shared" si="4"/>
        <v>1266395</v>
      </c>
      <c r="I201" s="7">
        <f t="shared" si="5"/>
        <v>81817.97857</v>
      </c>
      <c r="J201" s="7">
        <f t="shared" si="6"/>
        <v>213800</v>
      </c>
      <c r="K201" s="7">
        <f t="shared" si="8"/>
        <v>45.36768638</v>
      </c>
    </row>
    <row r="202">
      <c r="A202" s="5" t="s">
        <v>569</v>
      </c>
      <c r="B202" s="5" t="s">
        <v>570</v>
      </c>
      <c r="C202" s="5" t="s">
        <v>571</v>
      </c>
      <c r="D202" s="6">
        <v>6465.0</v>
      </c>
      <c r="E202" s="7" t="str">
        <f t="shared" si="1"/>
        <v>G</v>
      </c>
      <c r="F202" s="7" t="str">
        <f t="shared" si="2"/>
        <v>Transformative change</v>
      </c>
      <c r="G202" s="7" t="str">
        <f t="shared" si="3"/>
        <v>High</v>
      </c>
      <c r="H202" s="7">
        <f t="shared" si="4"/>
        <v>1249282</v>
      </c>
      <c r="I202" s="7">
        <f t="shared" si="5"/>
        <v>225989.1858</v>
      </c>
      <c r="J202" s="7">
        <f t="shared" si="6"/>
        <v>45255</v>
      </c>
      <c r="K202" s="7">
        <f t="shared" si="8"/>
        <v>2231</v>
      </c>
    </row>
    <row r="203">
      <c r="A203" s="5" t="s">
        <v>572</v>
      </c>
      <c r="B203" s="5" t="s">
        <v>573</v>
      </c>
      <c r="C203" s="5" t="s">
        <v>329</v>
      </c>
      <c r="D203" s="6">
        <v>39445.0</v>
      </c>
      <c r="E203" s="7" t="str">
        <f t="shared" si="1"/>
        <v>B</v>
      </c>
      <c r="F203" s="7" t="str">
        <f t="shared" si="2"/>
        <v>Transformative change</v>
      </c>
      <c r="G203" s="7" t="str">
        <f t="shared" si="3"/>
        <v>Low</v>
      </c>
      <c r="H203" s="7">
        <f t="shared" si="4"/>
        <v>2340689</v>
      </c>
      <c r="I203" s="7">
        <f t="shared" si="5"/>
        <v>532604.2071</v>
      </c>
      <c r="J203" s="7">
        <f t="shared" si="6"/>
        <v>197225</v>
      </c>
      <c r="K203" s="7">
        <f t="shared" si="8"/>
        <v>0.0000001657867843</v>
      </c>
    </row>
    <row r="204">
      <c r="A204" s="5" t="s">
        <v>574</v>
      </c>
      <c r="B204" s="5" t="s">
        <v>575</v>
      </c>
      <c r="C204" s="5" t="s">
        <v>576</v>
      </c>
      <c r="D204" s="6">
        <v>774847.0</v>
      </c>
      <c r="E204" s="7" t="str">
        <f t="shared" si="1"/>
        <v>D</v>
      </c>
      <c r="F204" s="7" t="str">
        <f t="shared" si="2"/>
        <v>High ambition</v>
      </c>
      <c r="G204" s="7" t="str">
        <f t="shared" si="3"/>
        <v>Medium</v>
      </c>
      <c r="H204" s="7">
        <f t="shared" si="4"/>
        <v>745927</v>
      </c>
      <c r="I204" s="7">
        <f t="shared" si="5"/>
        <v>143107.7437</v>
      </c>
      <c r="J204" s="7">
        <f t="shared" si="6"/>
        <v>10847858</v>
      </c>
      <c r="K204" s="7">
        <f t="shared" si="8"/>
        <v>2568910.266</v>
      </c>
    </row>
    <row r="205">
      <c r="A205" s="5" t="s">
        <v>577</v>
      </c>
      <c r="B205" s="5" t="s">
        <v>578</v>
      </c>
      <c r="C205" s="5" t="s">
        <v>579</v>
      </c>
      <c r="D205" s="6">
        <v>7949.0</v>
      </c>
      <c r="E205" s="7" t="str">
        <f t="shared" si="1"/>
        <v>G</v>
      </c>
      <c r="F205" s="7" t="str">
        <f t="shared" si="2"/>
        <v>Transformative change</v>
      </c>
      <c r="G205" s="7" t="str">
        <f t="shared" si="3"/>
        <v>Low</v>
      </c>
      <c r="H205" s="7">
        <f t="shared" si="4"/>
        <v>1972746</v>
      </c>
      <c r="I205" s="7">
        <f t="shared" si="5"/>
        <v>515430.3651</v>
      </c>
      <c r="J205" s="7">
        <f t="shared" si="6"/>
        <v>95388</v>
      </c>
      <c r="K205" s="7">
        <f t="shared" si="8"/>
        <v>32918.95542</v>
      </c>
    </row>
    <row r="206">
      <c r="A206" s="5" t="s">
        <v>580</v>
      </c>
      <c r="B206" s="5" t="s">
        <v>581</v>
      </c>
      <c r="C206" s="5" t="s">
        <v>74</v>
      </c>
      <c r="D206" s="6">
        <v>10245.0</v>
      </c>
      <c r="E206" s="7" t="str">
        <f t="shared" si="1"/>
        <v>D</v>
      </c>
      <c r="F206" s="7" t="str">
        <f t="shared" si="2"/>
        <v>Transformative change</v>
      </c>
      <c r="G206" s="7" t="str">
        <f t="shared" si="3"/>
        <v>High</v>
      </c>
      <c r="H206" s="7">
        <f t="shared" si="4"/>
        <v>2679130</v>
      </c>
      <c r="I206" s="7">
        <f t="shared" si="5"/>
        <v>2517217.009</v>
      </c>
      <c r="J206" s="7">
        <f t="shared" si="6"/>
        <v>51225</v>
      </c>
      <c r="K206" s="7">
        <f t="shared" si="8"/>
        <v>1363.85562</v>
      </c>
    </row>
    <row r="207">
      <c r="A207" s="5" t="s">
        <v>582</v>
      </c>
      <c r="B207" s="5" t="s">
        <v>583</v>
      </c>
      <c r="C207" s="5" t="s">
        <v>584</v>
      </c>
      <c r="D207" s="6">
        <v>297192.0</v>
      </c>
      <c r="E207" s="7" t="str">
        <f t="shared" si="1"/>
        <v>A</v>
      </c>
      <c r="F207" s="7" t="str">
        <f t="shared" si="2"/>
        <v>Transformative change</v>
      </c>
      <c r="G207" s="7" t="str">
        <f t="shared" si="3"/>
        <v>High</v>
      </c>
      <c r="H207" s="7">
        <f t="shared" si="4"/>
        <v>1815481</v>
      </c>
      <c r="I207" s="7">
        <f t="shared" si="5"/>
        <v>743964.3421</v>
      </c>
      <c r="J207" s="7">
        <f t="shared" si="6"/>
        <v>3566304</v>
      </c>
      <c r="K207" s="7">
        <f t="shared" si="8"/>
        <v>4.386083479</v>
      </c>
    </row>
    <row r="208">
      <c r="A208" s="5" t="s">
        <v>585</v>
      </c>
      <c r="B208" s="5" t="s">
        <v>586</v>
      </c>
      <c r="C208" s="5" t="s">
        <v>587</v>
      </c>
      <c r="D208" s="6">
        <v>93489.0</v>
      </c>
      <c r="E208" s="7" t="str">
        <f t="shared" si="1"/>
        <v>C</v>
      </c>
      <c r="F208" s="7" t="str">
        <f t="shared" si="2"/>
        <v>Transformative change</v>
      </c>
      <c r="G208" s="7" t="str">
        <f t="shared" si="3"/>
        <v>High</v>
      </c>
      <c r="H208" s="7">
        <f t="shared" si="4"/>
        <v>699335</v>
      </c>
      <c r="I208" s="7">
        <f t="shared" si="5"/>
        <v>656169.2401</v>
      </c>
      <c r="J208" s="7">
        <f t="shared" si="6"/>
        <v>934890</v>
      </c>
      <c r="K208" s="7">
        <f t="shared" si="8"/>
        <v>712431.4797</v>
      </c>
    </row>
    <row r="209">
      <c r="A209" s="5" t="s">
        <v>412</v>
      </c>
      <c r="B209" s="5" t="s">
        <v>588</v>
      </c>
      <c r="C209" s="5" t="s">
        <v>589</v>
      </c>
      <c r="D209" s="6">
        <v>8744.0</v>
      </c>
      <c r="E209" s="7" t="str">
        <f t="shared" si="1"/>
        <v>C</v>
      </c>
      <c r="F209" s="7" t="str">
        <f t="shared" si="2"/>
        <v>Transformative change</v>
      </c>
      <c r="G209" s="7" t="str">
        <f t="shared" si="3"/>
        <v>Low</v>
      </c>
      <c r="H209" s="7">
        <f t="shared" si="4"/>
        <v>2254786</v>
      </c>
      <c r="I209" s="7">
        <f t="shared" si="5"/>
        <v>1933811.44</v>
      </c>
      <c r="J209" s="7">
        <f t="shared" si="6"/>
        <v>131160</v>
      </c>
      <c r="K209" s="7">
        <f t="shared" si="8"/>
        <v>22540.64506</v>
      </c>
    </row>
    <row r="210">
      <c r="A210" s="5" t="s">
        <v>590</v>
      </c>
      <c r="B210" s="5" t="s">
        <v>591</v>
      </c>
      <c r="C210" s="5" t="s">
        <v>592</v>
      </c>
      <c r="D210" s="6">
        <v>732994.0</v>
      </c>
      <c r="E210" s="7" t="str">
        <f t="shared" si="1"/>
        <v>B</v>
      </c>
      <c r="F210" s="7" t="str">
        <f t="shared" si="2"/>
        <v>High ambition</v>
      </c>
      <c r="G210" s="7" t="str">
        <f t="shared" si="3"/>
        <v>High</v>
      </c>
      <c r="H210" s="7">
        <f t="shared" si="4"/>
        <v>2036942</v>
      </c>
      <c r="I210" s="7">
        <f t="shared" si="5"/>
        <v>543984.5725</v>
      </c>
      <c r="J210" s="7">
        <f t="shared" si="6"/>
        <v>4397964</v>
      </c>
      <c r="K210" s="7">
        <f t="shared" si="8"/>
        <v>2231</v>
      </c>
    </row>
    <row r="211">
      <c r="A211" s="5" t="s">
        <v>593</v>
      </c>
      <c r="B211" s="5" t="s">
        <v>594</v>
      </c>
      <c r="C211" s="5" t="s">
        <v>595</v>
      </c>
      <c r="D211" s="6">
        <v>23160.0</v>
      </c>
      <c r="E211" s="7" t="str">
        <f t="shared" si="1"/>
        <v>E</v>
      </c>
      <c r="F211" s="7" t="str">
        <f t="shared" si="2"/>
        <v>Transformative change</v>
      </c>
      <c r="G211" s="7" t="str">
        <f t="shared" si="3"/>
        <v>High</v>
      </c>
      <c r="H211" s="7">
        <f t="shared" si="4"/>
        <v>654396</v>
      </c>
      <c r="I211" s="7">
        <f t="shared" si="5"/>
        <v>573667.5567</v>
      </c>
      <c r="J211" s="7">
        <f t="shared" si="6"/>
        <v>277920</v>
      </c>
      <c r="K211" s="7">
        <f t="shared" si="8"/>
        <v>1.521695484</v>
      </c>
    </row>
    <row r="212">
      <c r="A212" s="5" t="s">
        <v>596</v>
      </c>
      <c r="B212" s="5" t="s">
        <v>597</v>
      </c>
      <c r="C212" s="5" t="s">
        <v>598</v>
      </c>
      <c r="D212" s="6">
        <v>19494.0</v>
      </c>
      <c r="E212" s="7" t="str">
        <f t="shared" si="1"/>
        <v>A</v>
      </c>
      <c r="F212" s="7" t="str">
        <f t="shared" si="2"/>
        <v>Transformative change</v>
      </c>
      <c r="G212" s="7" t="str">
        <f t="shared" si="3"/>
        <v>Low</v>
      </c>
      <c r="H212" s="7">
        <f t="shared" si="4"/>
        <v>2863132</v>
      </c>
      <c r="I212" s="7">
        <f t="shared" si="5"/>
        <v>624855.9411</v>
      </c>
      <c r="J212" s="7">
        <f t="shared" si="6"/>
        <v>136458</v>
      </c>
      <c r="K212" s="7">
        <f t="shared" si="8"/>
        <v>2231</v>
      </c>
    </row>
    <row r="213">
      <c r="A213" s="5" t="s">
        <v>599</v>
      </c>
      <c r="B213" s="5" t="s">
        <v>600</v>
      </c>
      <c r="C213" s="5" t="s">
        <v>601</v>
      </c>
      <c r="D213" s="6">
        <v>7939.0</v>
      </c>
      <c r="E213" s="7" t="str">
        <f t="shared" si="1"/>
        <v>A</v>
      </c>
      <c r="F213" s="7" t="str">
        <f t="shared" si="2"/>
        <v>Transformative change</v>
      </c>
      <c r="G213" s="7" t="str">
        <f t="shared" si="3"/>
        <v>Medium</v>
      </c>
      <c r="H213" s="7">
        <f t="shared" si="4"/>
        <v>2840133</v>
      </c>
      <c r="I213" s="7">
        <f t="shared" si="5"/>
        <v>2266200.394</v>
      </c>
      <c r="J213" s="7">
        <f t="shared" si="6"/>
        <v>79390</v>
      </c>
      <c r="K213" s="7">
        <f t="shared" si="8"/>
        <v>13981.7023</v>
      </c>
    </row>
    <row r="214">
      <c r="A214" s="5" t="s">
        <v>602</v>
      </c>
      <c r="B214" s="5" t="s">
        <v>603</v>
      </c>
      <c r="C214" s="5" t="s">
        <v>604</v>
      </c>
      <c r="D214" s="6">
        <v>353591.0</v>
      </c>
      <c r="E214" s="7" t="str">
        <f t="shared" si="1"/>
        <v>A</v>
      </c>
      <c r="F214" s="7" t="str">
        <f t="shared" si="2"/>
        <v>Transformative change</v>
      </c>
      <c r="G214" s="7" t="str">
        <f t="shared" si="3"/>
        <v>Medium</v>
      </c>
      <c r="H214" s="7">
        <f t="shared" si="4"/>
        <v>3173832</v>
      </c>
      <c r="I214" s="7">
        <f t="shared" si="5"/>
        <v>675182.6348</v>
      </c>
      <c r="J214" s="7">
        <f t="shared" si="6"/>
        <v>3889501</v>
      </c>
      <c r="K214" s="7">
        <f t="shared" si="8"/>
        <v>365680.623</v>
      </c>
    </row>
    <row r="215">
      <c r="A215" s="5" t="s">
        <v>605</v>
      </c>
      <c r="B215" s="5" t="s">
        <v>606</v>
      </c>
      <c r="C215" s="5" t="s">
        <v>607</v>
      </c>
      <c r="D215" s="6">
        <v>6870.0</v>
      </c>
      <c r="E215" s="7" t="str">
        <f t="shared" si="1"/>
        <v>E</v>
      </c>
      <c r="F215" s="7" t="str">
        <f t="shared" si="2"/>
        <v>High ambition</v>
      </c>
      <c r="G215" s="7" t="str">
        <f t="shared" si="3"/>
        <v>Low</v>
      </c>
      <c r="H215" s="7">
        <f t="shared" si="4"/>
        <v>2494144</v>
      </c>
      <c r="I215" s="7">
        <f t="shared" si="5"/>
        <v>166525.1132</v>
      </c>
      <c r="J215" s="7">
        <f t="shared" si="6"/>
        <v>27480</v>
      </c>
      <c r="K215" s="7">
        <f t="shared" si="8"/>
        <v>820.3624515</v>
      </c>
    </row>
    <row r="216">
      <c r="A216" s="5" t="s">
        <v>608</v>
      </c>
      <c r="B216" s="5" t="s">
        <v>609</v>
      </c>
      <c r="C216" s="5" t="s">
        <v>74</v>
      </c>
      <c r="D216" s="6">
        <v>13809.0</v>
      </c>
      <c r="E216" s="7" t="str">
        <f t="shared" si="1"/>
        <v>F</v>
      </c>
      <c r="F216" s="7" t="str">
        <f t="shared" si="2"/>
        <v>Transformative change</v>
      </c>
      <c r="G216" s="7" t="str">
        <f t="shared" si="3"/>
        <v>High</v>
      </c>
      <c r="H216" s="7">
        <f t="shared" si="4"/>
        <v>3703198</v>
      </c>
      <c r="I216" s="7">
        <f t="shared" si="5"/>
        <v>3528039.767</v>
      </c>
      <c r="J216" s="7">
        <f t="shared" si="6"/>
        <v>151899</v>
      </c>
      <c r="K216" s="7">
        <f t="shared" si="8"/>
        <v>2231</v>
      </c>
    </row>
    <row r="217">
      <c r="A217" s="5" t="s">
        <v>610</v>
      </c>
      <c r="B217" s="5" t="s">
        <v>611</v>
      </c>
      <c r="C217" s="5" t="s">
        <v>612</v>
      </c>
      <c r="D217" s="6">
        <v>53678.0</v>
      </c>
      <c r="E217" s="7" t="str">
        <f t="shared" si="1"/>
        <v>E</v>
      </c>
      <c r="F217" s="7" t="str">
        <f t="shared" si="2"/>
        <v>Transformative change</v>
      </c>
      <c r="G217" s="7" t="str">
        <f t="shared" si="3"/>
        <v>Low</v>
      </c>
      <c r="H217" s="7">
        <f t="shared" si="4"/>
        <v>3557881</v>
      </c>
      <c r="I217" s="7">
        <f t="shared" si="5"/>
        <v>1088133.643</v>
      </c>
      <c r="J217" s="7">
        <f t="shared" si="6"/>
        <v>268390</v>
      </c>
      <c r="K217" s="7">
        <f t="shared" si="8"/>
        <v>76.71431865</v>
      </c>
    </row>
    <row r="218">
      <c r="A218" s="5" t="s">
        <v>613</v>
      </c>
      <c r="B218" s="5" t="s">
        <v>614</v>
      </c>
      <c r="C218" s="5" t="s">
        <v>615</v>
      </c>
      <c r="D218" s="6">
        <v>18907.0</v>
      </c>
      <c r="E218" s="7" t="str">
        <f t="shared" si="1"/>
        <v>D</v>
      </c>
      <c r="F218" s="7" t="str">
        <f t="shared" si="2"/>
        <v>Transformative change</v>
      </c>
      <c r="G218" s="7" t="str">
        <f t="shared" si="3"/>
        <v>Medium</v>
      </c>
      <c r="H218" s="7">
        <f t="shared" si="4"/>
        <v>3189250</v>
      </c>
      <c r="I218" s="7">
        <f t="shared" si="5"/>
        <v>1787006.64</v>
      </c>
      <c r="J218" s="7">
        <f t="shared" si="6"/>
        <v>245791</v>
      </c>
      <c r="K218" s="7">
        <f t="shared" si="8"/>
        <v>6.435328114</v>
      </c>
    </row>
    <row r="219">
      <c r="A219" s="5" t="s">
        <v>616</v>
      </c>
      <c r="B219" s="5" t="s">
        <v>617</v>
      </c>
      <c r="C219" s="5" t="s">
        <v>74</v>
      </c>
      <c r="D219" s="6">
        <v>5756.0</v>
      </c>
      <c r="E219" s="7" t="str">
        <f t="shared" si="1"/>
        <v>B</v>
      </c>
      <c r="F219" s="7" t="str">
        <f t="shared" si="2"/>
        <v>Transformative change</v>
      </c>
      <c r="G219" s="7" t="str">
        <f t="shared" si="3"/>
        <v>High</v>
      </c>
      <c r="H219" s="7">
        <f t="shared" si="4"/>
        <v>2856871</v>
      </c>
      <c r="I219" s="7">
        <f t="shared" si="5"/>
        <v>1287703.698</v>
      </c>
      <c r="J219" s="7">
        <f t="shared" si="6"/>
        <v>46048</v>
      </c>
      <c r="K219" s="7">
        <f t="shared" si="8"/>
        <v>2231</v>
      </c>
    </row>
    <row r="220">
      <c r="A220" s="5" t="s">
        <v>618</v>
      </c>
      <c r="B220" s="5" t="s">
        <v>619</v>
      </c>
      <c r="C220" s="5" t="s">
        <v>620</v>
      </c>
      <c r="D220" s="6">
        <v>14167.0</v>
      </c>
      <c r="E220" s="7" t="str">
        <f t="shared" si="1"/>
        <v>B</v>
      </c>
      <c r="F220" s="7" t="str">
        <f t="shared" si="2"/>
        <v>Transformative change</v>
      </c>
      <c r="G220" s="7" t="str">
        <f t="shared" si="3"/>
        <v>High</v>
      </c>
      <c r="H220" s="7">
        <f t="shared" si="4"/>
        <v>3876725</v>
      </c>
      <c r="I220" s="7">
        <f t="shared" si="5"/>
        <v>769375.7108</v>
      </c>
      <c r="J220" s="7">
        <f t="shared" si="6"/>
        <v>184171</v>
      </c>
      <c r="K220" s="7">
        <f t="shared" si="8"/>
        <v>33.42543858</v>
      </c>
    </row>
    <row r="221">
      <c r="A221" s="5" t="s">
        <v>621</v>
      </c>
      <c r="B221" s="5" t="s">
        <v>622</v>
      </c>
      <c r="C221" s="5" t="s">
        <v>623</v>
      </c>
      <c r="D221" s="6">
        <v>16039.0</v>
      </c>
      <c r="E221" s="7" t="str">
        <f t="shared" si="1"/>
        <v>G</v>
      </c>
      <c r="F221" s="7" t="str">
        <f t="shared" si="2"/>
        <v>Transformative change</v>
      </c>
      <c r="G221" s="7" t="str">
        <f t="shared" si="3"/>
        <v>Medium</v>
      </c>
      <c r="H221" s="7">
        <f t="shared" si="4"/>
        <v>40938</v>
      </c>
      <c r="I221" s="7">
        <f t="shared" si="5"/>
        <v>25707.26435</v>
      </c>
      <c r="J221" s="7">
        <f t="shared" si="6"/>
        <v>80195</v>
      </c>
      <c r="K221" s="7">
        <f t="shared" si="8"/>
        <v>31938.31701</v>
      </c>
    </row>
    <row r="222">
      <c r="A222" s="5" t="s">
        <v>624</v>
      </c>
      <c r="B222" s="5" t="s">
        <v>625</v>
      </c>
      <c r="C222" s="5" t="s">
        <v>626</v>
      </c>
      <c r="D222" s="6">
        <v>9575.0</v>
      </c>
      <c r="E222" s="7" t="str">
        <f t="shared" si="1"/>
        <v>F</v>
      </c>
      <c r="F222" s="7" t="str">
        <f t="shared" si="2"/>
        <v>Transformative change</v>
      </c>
      <c r="G222" s="7" t="str">
        <f t="shared" si="3"/>
        <v>Low</v>
      </c>
      <c r="H222" s="7">
        <f t="shared" si="4"/>
        <v>3770930</v>
      </c>
      <c r="I222" s="7">
        <f t="shared" si="5"/>
        <v>1451342.459</v>
      </c>
      <c r="J222" s="7">
        <f t="shared" si="6"/>
        <v>105325</v>
      </c>
      <c r="K222" s="7">
        <f t="shared" si="8"/>
        <v>2231</v>
      </c>
    </row>
    <row r="223">
      <c r="A223" s="5" t="s">
        <v>412</v>
      </c>
      <c r="B223" s="5" t="s">
        <v>627</v>
      </c>
      <c r="C223" s="5" t="s">
        <v>628</v>
      </c>
      <c r="D223" s="6">
        <v>91575.0</v>
      </c>
      <c r="E223" s="7" t="str">
        <f t="shared" si="1"/>
        <v>D</v>
      </c>
      <c r="F223" s="7" t="str">
        <f t="shared" si="2"/>
        <v>Transformative change</v>
      </c>
      <c r="G223" s="7" t="str">
        <f t="shared" si="3"/>
        <v>High</v>
      </c>
      <c r="H223" s="7">
        <f t="shared" si="4"/>
        <v>1220345</v>
      </c>
      <c r="I223" s="7">
        <f t="shared" si="5"/>
        <v>635203.0505</v>
      </c>
      <c r="J223" s="7">
        <f t="shared" si="6"/>
        <v>457875</v>
      </c>
      <c r="K223" s="7">
        <f t="shared" si="8"/>
        <v>422173.1855</v>
      </c>
    </row>
    <row r="224">
      <c r="A224" s="5" t="s">
        <v>629</v>
      </c>
      <c r="B224" s="5" t="s">
        <v>630</v>
      </c>
      <c r="C224" s="5" t="s">
        <v>631</v>
      </c>
      <c r="D224" s="6">
        <v>16471.0</v>
      </c>
      <c r="E224" s="7" t="str">
        <f t="shared" si="1"/>
        <v>C</v>
      </c>
      <c r="F224" s="7" t="str">
        <f t="shared" si="2"/>
        <v>Transformative change</v>
      </c>
      <c r="G224" s="7" t="str">
        <f t="shared" si="3"/>
        <v>High</v>
      </c>
      <c r="H224" s="7">
        <f t="shared" si="4"/>
        <v>891353</v>
      </c>
      <c r="I224" s="7">
        <f t="shared" si="5"/>
        <v>798831.9625</v>
      </c>
      <c r="J224" s="7">
        <f t="shared" si="6"/>
        <v>98826</v>
      </c>
      <c r="K224" s="7">
        <f t="shared" si="8"/>
        <v>257.8410361</v>
      </c>
    </row>
    <row r="225">
      <c r="A225" s="5" t="s">
        <v>632</v>
      </c>
      <c r="B225" s="5" t="s">
        <v>633</v>
      </c>
      <c r="C225" s="5" t="s">
        <v>634</v>
      </c>
      <c r="D225" s="6">
        <v>11656.0</v>
      </c>
      <c r="E225" s="7" t="str">
        <f t="shared" si="1"/>
        <v>B</v>
      </c>
      <c r="F225" s="7" t="str">
        <f t="shared" si="2"/>
        <v>Transformative change</v>
      </c>
      <c r="G225" s="7" t="str">
        <f t="shared" si="3"/>
        <v>High</v>
      </c>
      <c r="H225" s="7">
        <f t="shared" si="4"/>
        <v>3611442</v>
      </c>
      <c r="I225" s="7">
        <f t="shared" si="5"/>
        <v>1844080.298</v>
      </c>
      <c r="J225" s="7">
        <f t="shared" si="6"/>
        <v>104904</v>
      </c>
      <c r="K225" s="7">
        <f t="shared" si="8"/>
        <v>2231</v>
      </c>
    </row>
    <row r="226">
      <c r="A226" s="5" t="s">
        <v>635</v>
      </c>
      <c r="B226" s="5" t="s">
        <v>636</v>
      </c>
      <c r="C226" s="5" t="s">
        <v>637</v>
      </c>
      <c r="D226" s="6">
        <v>5537.0</v>
      </c>
      <c r="E226" s="7" t="str">
        <f t="shared" si="1"/>
        <v>F</v>
      </c>
      <c r="F226" s="7" t="str">
        <f t="shared" si="2"/>
        <v>Transformative change</v>
      </c>
      <c r="G226" s="7" t="str">
        <f t="shared" si="3"/>
        <v>High</v>
      </c>
      <c r="H226" s="7">
        <f t="shared" si="4"/>
        <v>3174975</v>
      </c>
      <c r="I226" s="7">
        <f t="shared" si="5"/>
        <v>2575525.123</v>
      </c>
      <c r="J226" s="7">
        <f t="shared" si="6"/>
        <v>83055</v>
      </c>
      <c r="K226" s="7">
        <f t="shared" si="8"/>
        <v>0.01443216975</v>
      </c>
    </row>
    <row r="227">
      <c r="A227" s="5" t="s">
        <v>638</v>
      </c>
      <c r="B227" s="5" t="s">
        <v>639</v>
      </c>
      <c r="C227" s="5" t="s">
        <v>640</v>
      </c>
      <c r="D227" s="6">
        <v>396662.0</v>
      </c>
      <c r="E227" s="7" t="str">
        <f t="shared" si="1"/>
        <v>G</v>
      </c>
      <c r="F227" s="7" t="str">
        <f t="shared" si="2"/>
        <v>Transformative change</v>
      </c>
      <c r="G227" s="7" t="str">
        <f t="shared" si="3"/>
        <v>High</v>
      </c>
      <c r="H227" s="7">
        <f t="shared" si="4"/>
        <v>3964718</v>
      </c>
      <c r="I227" s="7">
        <f t="shared" si="5"/>
        <v>3573499.215</v>
      </c>
      <c r="J227" s="7">
        <f t="shared" si="6"/>
        <v>4759944</v>
      </c>
      <c r="K227" s="7">
        <f t="shared" si="8"/>
        <v>2394389.065</v>
      </c>
    </row>
    <row r="228">
      <c r="A228" s="5" t="s">
        <v>641</v>
      </c>
      <c r="B228" s="5" t="s">
        <v>642</v>
      </c>
      <c r="C228" s="5" t="s">
        <v>576</v>
      </c>
      <c r="D228" s="6">
        <v>5524.0</v>
      </c>
      <c r="E228" s="7" t="str">
        <f t="shared" si="1"/>
        <v>E</v>
      </c>
      <c r="F228" s="7" t="str">
        <f t="shared" si="2"/>
        <v>Transformative change</v>
      </c>
      <c r="G228" s="7" t="str">
        <f t="shared" si="3"/>
        <v>Medium</v>
      </c>
      <c r="H228" s="7">
        <f t="shared" si="4"/>
        <v>2986710</v>
      </c>
      <c r="I228" s="7">
        <f t="shared" si="5"/>
        <v>2583186.405</v>
      </c>
      <c r="J228" s="7">
        <f t="shared" si="6"/>
        <v>22096</v>
      </c>
      <c r="K228" s="7">
        <f t="shared" si="8"/>
        <v>2231</v>
      </c>
    </row>
    <row r="229">
      <c r="A229" s="5" t="s">
        <v>643</v>
      </c>
      <c r="B229" s="5" t="s">
        <v>644</v>
      </c>
      <c r="C229" s="5" t="s">
        <v>645</v>
      </c>
      <c r="D229" s="6">
        <v>8152.0</v>
      </c>
      <c r="E229" s="7" t="str">
        <f t="shared" si="1"/>
        <v>F</v>
      </c>
      <c r="F229" s="7" t="str">
        <f t="shared" si="2"/>
        <v>Transformative change</v>
      </c>
      <c r="G229" s="7" t="str">
        <f t="shared" si="3"/>
        <v>High</v>
      </c>
      <c r="H229" s="7">
        <f t="shared" si="4"/>
        <v>1173753</v>
      </c>
      <c r="I229" s="7">
        <f t="shared" si="5"/>
        <v>574.0563485</v>
      </c>
      <c r="J229" s="7">
        <f t="shared" si="6"/>
        <v>40760</v>
      </c>
      <c r="K229" s="7">
        <f t="shared" si="8"/>
        <v>2231</v>
      </c>
    </row>
    <row r="230">
      <c r="A230" s="5" t="s">
        <v>646</v>
      </c>
      <c r="B230" s="5" t="s">
        <v>647</v>
      </c>
      <c r="C230" s="5" t="s">
        <v>74</v>
      </c>
      <c r="D230" s="6">
        <v>14394.0</v>
      </c>
      <c r="E230" s="7" t="str">
        <f t="shared" si="1"/>
        <v>A</v>
      </c>
      <c r="F230" s="7" t="str">
        <f t="shared" si="2"/>
        <v>Transformative change</v>
      </c>
      <c r="G230" s="7" t="str">
        <f t="shared" si="3"/>
        <v>High</v>
      </c>
      <c r="H230" s="7">
        <f t="shared" si="4"/>
        <v>3728104</v>
      </c>
      <c r="I230" s="7">
        <f t="shared" si="5"/>
        <v>3266050.091</v>
      </c>
      <c r="J230" s="7">
        <f t="shared" si="6"/>
        <v>115152</v>
      </c>
      <c r="K230" s="7">
        <f t="shared" si="8"/>
        <v>2231</v>
      </c>
    </row>
    <row r="231">
      <c r="A231" s="5" t="s">
        <v>648</v>
      </c>
      <c r="B231" s="5" t="s">
        <v>649</v>
      </c>
      <c r="C231" s="5" t="s">
        <v>650</v>
      </c>
      <c r="D231" s="6">
        <v>15903.0</v>
      </c>
      <c r="E231" s="7" t="str">
        <f t="shared" si="1"/>
        <v>C</v>
      </c>
      <c r="F231" s="7" t="str">
        <f t="shared" si="2"/>
        <v>Transformative change</v>
      </c>
      <c r="G231" s="7" t="str">
        <f t="shared" si="3"/>
        <v>Low</v>
      </c>
      <c r="H231" s="7">
        <f t="shared" si="4"/>
        <v>855396</v>
      </c>
      <c r="I231" s="7">
        <f t="shared" si="5"/>
        <v>685019.739</v>
      </c>
      <c r="J231" s="7">
        <f t="shared" si="6"/>
        <v>111321</v>
      </c>
      <c r="K231" s="7">
        <f t="shared" si="8"/>
        <v>1793.361986</v>
      </c>
    </row>
    <row r="232">
      <c r="A232" s="5" t="s">
        <v>651</v>
      </c>
      <c r="B232" s="5" t="s">
        <v>652</v>
      </c>
      <c r="C232" s="5" t="s">
        <v>653</v>
      </c>
      <c r="D232" s="6">
        <v>319013.0</v>
      </c>
      <c r="E232" s="7" t="str">
        <f t="shared" si="1"/>
        <v>F</v>
      </c>
      <c r="F232" s="7" t="str">
        <f t="shared" si="2"/>
        <v>Transformative change</v>
      </c>
      <c r="G232" s="7" t="str">
        <f t="shared" si="3"/>
        <v>High</v>
      </c>
      <c r="H232" s="7">
        <f t="shared" si="4"/>
        <v>2595374</v>
      </c>
      <c r="I232" s="7">
        <f t="shared" si="5"/>
        <v>1479232.401</v>
      </c>
      <c r="J232" s="7">
        <f t="shared" si="6"/>
        <v>2233091</v>
      </c>
      <c r="K232" s="7">
        <f t="shared" si="8"/>
        <v>1075020.03</v>
      </c>
    </row>
    <row r="233">
      <c r="A233" s="5" t="s">
        <v>654</v>
      </c>
      <c r="B233" s="5" t="s">
        <v>655</v>
      </c>
      <c r="C233" s="5" t="s">
        <v>656</v>
      </c>
      <c r="D233" s="6">
        <v>50560.0</v>
      </c>
      <c r="E233" s="7" t="str">
        <f t="shared" si="1"/>
        <v>D</v>
      </c>
      <c r="F233" s="7" t="str">
        <f t="shared" si="2"/>
        <v>High ambition</v>
      </c>
      <c r="G233" s="7" t="str">
        <f t="shared" si="3"/>
        <v>Medium</v>
      </c>
      <c r="H233" s="7">
        <f t="shared" si="4"/>
        <v>2609587</v>
      </c>
      <c r="I233" s="7">
        <f t="shared" si="5"/>
        <v>1065845.261</v>
      </c>
      <c r="J233" s="7">
        <f t="shared" si="6"/>
        <v>202240</v>
      </c>
      <c r="K233" s="7">
        <f t="shared" si="8"/>
        <v>605.1747533</v>
      </c>
    </row>
    <row r="234">
      <c r="A234" s="5" t="s">
        <v>657</v>
      </c>
      <c r="B234" s="5" t="s">
        <v>658</v>
      </c>
      <c r="C234" s="5" t="s">
        <v>659</v>
      </c>
      <c r="D234" s="6">
        <v>9979.0</v>
      </c>
      <c r="E234" s="7" t="str">
        <f t="shared" si="1"/>
        <v>E</v>
      </c>
      <c r="F234" s="7" t="str">
        <f t="shared" si="2"/>
        <v>High ambition</v>
      </c>
      <c r="G234" s="7" t="str">
        <f t="shared" si="3"/>
        <v>High</v>
      </c>
      <c r="H234" s="7">
        <f t="shared" si="4"/>
        <v>3404099</v>
      </c>
      <c r="I234" s="7">
        <f t="shared" si="5"/>
        <v>2201270.554</v>
      </c>
      <c r="J234" s="7">
        <f t="shared" si="6"/>
        <v>79832</v>
      </c>
      <c r="K234" s="7">
        <f t="shared" si="8"/>
        <v>2231</v>
      </c>
    </row>
    <row r="235">
      <c r="A235" s="5" t="s">
        <v>660</v>
      </c>
      <c r="B235" s="5" t="s">
        <v>661</v>
      </c>
      <c r="C235" s="5" t="s">
        <v>662</v>
      </c>
      <c r="D235" s="6">
        <v>5061.0</v>
      </c>
      <c r="E235" s="7" t="str">
        <f t="shared" si="1"/>
        <v>D</v>
      </c>
      <c r="F235" s="7" t="str">
        <f t="shared" si="2"/>
        <v>Transformative change</v>
      </c>
      <c r="G235" s="7" t="str">
        <f t="shared" si="3"/>
        <v>High</v>
      </c>
      <c r="H235" s="7">
        <f t="shared" si="4"/>
        <v>1671562</v>
      </c>
      <c r="I235" s="7">
        <f t="shared" si="5"/>
        <v>434964.2634</v>
      </c>
      <c r="J235" s="7">
        <f t="shared" si="6"/>
        <v>20244</v>
      </c>
      <c r="K235" s="7">
        <f t="shared" si="8"/>
        <v>2231</v>
      </c>
    </row>
    <row r="236">
      <c r="A236" s="5" t="s">
        <v>663</v>
      </c>
      <c r="B236" s="5" t="s">
        <v>664</v>
      </c>
      <c r="C236" s="5" t="s">
        <v>74</v>
      </c>
      <c r="D236" s="6">
        <v>10676.0</v>
      </c>
      <c r="E236" s="7" t="str">
        <f t="shared" si="1"/>
        <v>D</v>
      </c>
      <c r="F236" s="7" t="str">
        <f t="shared" si="2"/>
        <v>High ambition</v>
      </c>
      <c r="G236" s="7" t="str">
        <f t="shared" si="3"/>
        <v>Medium</v>
      </c>
      <c r="H236" s="7">
        <f t="shared" si="4"/>
        <v>3170312</v>
      </c>
      <c r="I236" s="7">
        <f t="shared" si="5"/>
        <v>1402770.445</v>
      </c>
      <c r="J236" s="7">
        <f t="shared" si="6"/>
        <v>138788</v>
      </c>
      <c r="K236" s="7">
        <f t="shared" si="8"/>
        <v>2231</v>
      </c>
    </row>
    <row r="237">
      <c r="A237" s="5" t="s">
        <v>665</v>
      </c>
      <c r="B237" s="5" t="s">
        <v>666</v>
      </c>
      <c r="C237" s="5" t="s">
        <v>667</v>
      </c>
      <c r="D237" s="6">
        <v>7791.0</v>
      </c>
      <c r="E237" s="7" t="str">
        <f t="shared" si="1"/>
        <v>B</v>
      </c>
      <c r="F237" s="7" t="str">
        <f t="shared" si="2"/>
        <v>Transformative change</v>
      </c>
      <c r="G237" s="7" t="str">
        <f t="shared" si="3"/>
        <v>High</v>
      </c>
      <c r="H237" s="7">
        <f t="shared" si="4"/>
        <v>3399800</v>
      </c>
      <c r="I237" s="7">
        <f t="shared" si="5"/>
        <v>1790680.488</v>
      </c>
      <c r="J237" s="7">
        <f t="shared" si="6"/>
        <v>93492</v>
      </c>
      <c r="K237" s="7">
        <f t="shared" si="8"/>
        <v>2231</v>
      </c>
    </row>
    <row r="238">
      <c r="A238" s="5" t="s">
        <v>668</v>
      </c>
      <c r="B238" s="5" t="s">
        <v>669</v>
      </c>
      <c r="C238" s="5" t="s">
        <v>670</v>
      </c>
      <c r="D238" s="6">
        <v>18951.0</v>
      </c>
      <c r="E238" s="7" t="str">
        <f t="shared" si="1"/>
        <v>B</v>
      </c>
      <c r="F238" s="7" t="str">
        <f t="shared" si="2"/>
        <v>Transformative change</v>
      </c>
      <c r="G238" s="7" t="str">
        <f t="shared" si="3"/>
        <v>High</v>
      </c>
      <c r="H238" s="7">
        <f t="shared" si="4"/>
        <v>416480</v>
      </c>
      <c r="I238" s="7">
        <f t="shared" si="5"/>
        <v>415419.5957</v>
      </c>
      <c r="J238" s="7">
        <f t="shared" si="6"/>
        <v>151608</v>
      </c>
      <c r="K238" s="7">
        <f t="shared" si="8"/>
        <v>2231</v>
      </c>
    </row>
    <row r="239">
      <c r="A239" s="5" t="s">
        <v>671</v>
      </c>
      <c r="B239" s="5" t="s">
        <v>672</v>
      </c>
      <c r="C239" s="5" t="s">
        <v>673</v>
      </c>
      <c r="D239" s="6">
        <v>11694.0</v>
      </c>
      <c r="E239" s="7" t="str">
        <f t="shared" si="1"/>
        <v>D</v>
      </c>
      <c r="F239" s="7" t="str">
        <f t="shared" si="2"/>
        <v>Transformative change</v>
      </c>
      <c r="G239" s="7" t="str">
        <f t="shared" si="3"/>
        <v>Medium</v>
      </c>
      <c r="H239" s="7">
        <f t="shared" si="4"/>
        <v>2779857</v>
      </c>
      <c r="I239" s="7">
        <f t="shared" si="5"/>
        <v>2564050.37</v>
      </c>
      <c r="J239" s="7">
        <f t="shared" si="6"/>
        <v>128634</v>
      </c>
      <c r="K239" s="7">
        <f t="shared" si="8"/>
        <v>237.2834486</v>
      </c>
    </row>
    <row r="240">
      <c r="A240" s="5" t="s">
        <v>151</v>
      </c>
      <c r="B240" s="5" t="s">
        <v>674</v>
      </c>
      <c r="C240" s="5" t="s">
        <v>675</v>
      </c>
      <c r="D240" s="6">
        <v>12505.0</v>
      </c>
      <c r="E240" s="7" t="str">
        <f t="shared" si="1"/>
        <v>D</v>
      </c>
      <c r="F240" s="7" t="str">
        <f t="shared" si="2"/>
        <v>Transformative change</v>
      </c>
      <c r="G240" s="7" t="str">
        <f t="shared" si="3"/>
        <v>Low</v>
      </c>
      <c r="H240" s="7">
        <f t="shared" si="4"/>
        <v>115799</v>
      </c>
      <c r="I240" s="7">
        <f t="shared" si="5"/>
        <v>89966.54625</v>
      </c>
      <c r="J240" s="7">
        <f t="shared" si="6"/>
        <v>150060</v>
      </c>
      <c r="K240" s="7">
        <f t="shared" si="8"/>
        <v>2231</v>
      </c>
    </row>
    <row r="241">
      <c r="A241" s="5" t="s">
        <v>676</v>
      </c>
      <c r="B241" s="5" t="s">
        <v>677</v>
      </c>
      <c r="C241" s="5" t="s">
        <v>678</v>
      </c>
      <c r="D241" s="6">
        <v>25098.0</v>
      </c>
      <c r="E241" s="7" t="str">
        <f t="shared" si="1"/>
        <v>F</v>
      </c>
      <c r="F241" s="7" t="str">
        <f t="shared" si="2"/>
        <v>Transformative change</v>
      </c>
      <c r="G241" s="7" t="str">
        <f t="shared" si="3"/>
        <v>High</v>
      </c>
      <c r="H241" s="7">
        <f t="shared" si="4"/>
        <v>67364</v>
      </c>
      <c r="I241" s="7">
        <f t="shared" si="5"/>
        <v>29581.44219</v>
      </c>
      <c r="J241" s="7">
        <f t="shared" si="6"/>
        <v>175686</v>
      </c>
      <c r="K241" s="7">
        <f t="shared" si="8"/>
        <v>36515.66722</v>
      </c>
    </row>
    <row r="242">
      <c r="A242" s="5" t="s">
        <v>679</v>
      </c>
      <c r="B242" s="5" t="s">
        <v>680</v>
      </c>
      <c r="C242" s="5" t="s">
        <v>681</v>
      </c>
      <c r="D242" s="6">
        <v>16234.0</v>
      </c>
      <c r="E242" s="7" t="str">
        <f t="shared" si="1"/>
        <v>G</v>
      </c>
      <c r="F242" s="7" t="str">
        <f t="shared" si="2"/>
        <v>Transformative change</v>
      </c>
      <c r="G242" s="7" t="str">
        <f t="shared" si="3"/>
        <v>Low</v>
      </c>
      <c r="H242" s="7">
        <f t="shared" si="4"/>
        <v>1159441</v>
      </c>
      <c r="I242" s="7">
        <f t="shared" si="5"/>
        <v>809321.0703</v>
      </c>
      <c r="J242" s="7">
        <f t="shared" si="6"/>
        <v>129872</v>
      </c>
      <c r="K242" s="7">
        <f t="shared" si="8"/>
        <v>11423.07295</v>
      </c>
    </row>
    <row r="243">
      <c r="A243" s="5" t="s">
        <v>682</v>
      </c>
      <c r="B243" s="5" t="s">
        <v>683</v>
      </c>
      <c r="C243" s="5" t="s">
        <v>684</v>
      </c>
      <c r="D243" s="6">
        <v>13532.0</v>
      </c>
      <c r="E243" s="7" t="str">
        <f t="shared" si="1"/>
        <v>D</v>
      </c>
      <c r="F243" s="7" t="str">
        <f t="shared" si="2"/>
        <v>Transformative change</v>
      </c>
      <c r="G243" s="7" t="str">
        <f t="shared" si="3"/>
        <v>Medium</v>
      </c>
      <c r="H243" s="7">
        <f t="shared" si="4"/>
        <v>3922781</v>
      </c>
      <c r="I243" s="7">
        <f t="shared" si="5"/>
        <v>1104777.736</v>
      </c>
      <c r="J243" s="7">
        <f t="shared" si="6"/>
        <v>94724</v>
      </c>
      <c r="K243" s="7">
        <f t="shared" si="8"/>
        <v>2231</v>
      </c>
    </row>
    <row r="244">
      <c r="A244" s="5" t="s">
        <v>685</v>
      </c>
      <c r="B244" s="5" t="s">
        <v>686</v>
      </c>
      <c r="C244" s="5" t="s">
        <v>687</v>
      </c>
      <c r="D244" s="6">
        <v>15731.0</v>
      </c>
      <c r="E244" s="7" t="str">
        <f t="shared" si="1"/>
        <v>E</v>
      </c>
      <c r="F244" s="7" t="str">
        <f t="shared" si="2"/>
        <v>Transformative change</v>
      </c>
      <c r="G244" s="7" t="str">
        <f t="shared" si="3"/>
        <v>Low</v>
      </c>
      <c r="H244" s="7">
        <f t="shared" si="4"/>
        <v>3668875</v>
      </c>
      <c r="I244" s="7">
        <f t="shared" si="5"/>
        <v>1777822.323</v>
      </c>
      <c r="J244" s="7">
        <f t="shared" si="6"/>
        <v>220234</v>
      </c>
      <c r="K244" s="7">
        <f t="shared" si="8"/>
        <v>0.03529446803</v>
      </c>
    </row>
    <row r="245">
      <c r="A245" s="5" t="s">
        <v>688</v>
      </c>
      <c r="B245" s="5" t="s">
        <v>689</v>
      </c>
      <c r="C245" s="5" t="s">
        <v>690</v>
      </c>
      <c r="D245" s="6">
        <v>15013.0</v>
      </c>
      <c r="E245" s="7" t="str">
        <f t="shared" si="1"/>
        <v>G</v>
      </c>
      <c r="F245" s="7" t="str">
        <f t="shared" si="2"/>
        <v>Transformative change</v>
      </c>
      <c r="G245" s="7" t="str">
        <f t="shared" si="3"/>
        <v>Low</v>
      </c>
      <c r="H245" s="7">
        <f t="shared" si="4"/>
        <v>2986065</v>
      </c>
      <c r="I245" s="7">
        <f t="shared" si="5"/>
        <v>1535712.921</v>
      </c>
      <c r="J245" s="7">
        <f t="shared" si="6"/>
        <v>165143</v>
      </c>
      <c r="K245" s="7">
        <f t="shared" si="8"/>
        <v>67134.66396</v>
      </c>
    </row>
    <row r="246">
      <c r="A246" s="5" t="s">
        <v>691</v>
      </c>
      <c r="B246" s="5" t="s">
        <v>692</v>
      </c>
      <c r="C246" s="5" t="s">
        <v>74</v>
      </c>
      <c r="D246" s="6">
        <v>5535.0</v>
      </c>
      <c r="E246" s="7" t="str">
        <f t="shared" si="1"/>
        <v>B</v>
      </c>
      <c r="F246" s="7" t="str">
        <f t="shared" si="2"/>
        <v>Transformative change</v>
      </c>
      <c r="G246" s="7" t="str">
        <f t="shared" si="3"/>
        <v>Medium</v>
      </c>
      <c r="H246" s="7">
        <f t="shared" si="4"/>
        <v>3019066</v>
      </c>
      <c r="I246" s="7">
        <f t="shared" si="5"/>
        <v>2155534.779</v>
      </c>
      <c r="J246" s="7">
        <f t="shared" si="6"/>
        <v>83025</v>
      </c>
      <c r="K246" s="7">
        <f t="shared" si="8"/>
        <v>62655.51299</v>
      </c>
    </row>
    <row r="247">
      <c r="A247" s="5" t="s">
        <v>693</v>
      </c>
      <c r="B247" s="5" t="s">
        <v>694</v>
      </c>
      <c r="C247" s="5" t="s">
        <v>74</v>
      </c>
      <c r="D247" s="6">
        <v>9769.0</v>
      </c>
      <c r="E247" s="7" t="str">
        <f t="shared" si="1"/>
        <v>B</v>
      </c>
      <c r="F247" s="7" t="str">
        <f t="shared" si="2"/>
        <v>Transformative change</v>
      </c>
      <c r="G247" s="7" t="str">
        <f t="shared" si="3"/>
        <v>High</v>
      </c>
      <c r="H247" s="7">
        <f t="shared" si="4"/>
        <v>2441316</v>
      </c>
      <c r="I247" s="7">
        <f t="shared" si="5"/>
        <v>1538671.456</v>
      </c>
      <c r="J247" s="7">
        <f t="shared" si="6"/>
        <v>107459</v>
      </c>
      <c r="K247" s="7">
        <f t="shared" si="8"/>
        <v>14575.56138</v>
      </c>
    </row>
    <row r="248">
      <c r="A248" s="5" t="s">
        <v>695</v>
      </c>
      <c r="B248" s="5" t="s">
        <v>696</v>
      </c>
      <c r="C248" s="5" t="s">
        <v>697</v>
      </c>
      <c r="D248" s="6">
        <v>13041.0</v>
      </c>
      <c r="E248" s="7" t="str">
        <f t="shared" si="1"/>
        <v>G</v>
      </c>
      <c r="F248" s="7" t="str">
        <f t="shared" si="2"/>
        <v>Transformative change</v>
      </c>
      <c r="G248" s="7" t="str">
        <f t="shared" si="3"/>
        <v>Medium</v>
      </c>
      <c r="H248" s="7">
        <f t="shared" si="4"/>
        <v>2488339</v>
      </c>
      <c r="I248" s="7">
        <f t="shared" si="5"/>
        <v>572476.3292</v>
      </c>
      <c r="J248" s="7">
        <f t="shared" si="6"/>
        <v>78246</v>
      </c>
      <c r="K248" s="7">
        <f t="shared" si="8"/>
        <v>0.2244238519</v>
      </c>
    </row>
    <row r="249">
      <c r="A249" s="5" t="s">
        <v>698</v>
      </c>
      <c r="B249" s="5" t="s">
        <v>699</v>
      </c>
      <c r="C249" s="5" t="s">
        <v>74</v>
      </c>
      <c r="D249" s="6">
        <v>9418.0</v>
      </c>
      <c r="E249" s="7" t="str">
        <f t="shared" si="1"/>
        <v>E</v>
      </c>
      <c r="F249" s="7" t="str">
        <f t="shared" si="2"/>
        <v>Transformative change</v>
      </c>
      <c r="G249" s="7" t="str">
        <f t="shared" si="3"/>
        <v>Medium</v>
      </c>
      <c r="H249" s="7">
        <f t="shared" si="4"/>
        <v>3969442</v>
      </c>
      <c r="I249" s="7">
        <f t="shared" si="5"/>
        <v>1672843.754</v>
      </c>
      <c r="J249" s="7">
        <f t="shared" si="6"/>
        <v>94180</v>
      </c>
      <c r="K249" s="7">
        <f t="shared" si="8"/>
        <v>0.000002577039016</v>
      </c>
    </row>
    <row r="250">
      <c r="A250" s="5" t="s">
        <v>700</v>
      </c>
      <c r="B250" s="5" t="s">
        <v>701</v>
      </c>
      <c r="C250" s="5" t="s">
        <v>702</v>
      </c>
      <c r="D250" s="6">
        <v>11128.0</v>
      </c>
      <c r="E250" s="7" t="str">
        <f t="shared" si="1"/>
        <v>C</v>
      </c>
      <c r="F250" s="7" t="str">
        <f t="shared" si="2"/>
        <v>Transformative change</v>
      </c>
      <c r="G250" s="7" t="str">
        <f t="shared" si="3"/>
        <v>Low</v>
      </c>
      <c r="H250" s="7">
        <f t="shared" si="4"/>
        <v>3766883</v>
      </c>
      <c r="I250" s="7">
        <f t="shared" si="5"/>
        <v>3290146.042</v>
      </c>
      <c r="J250" s="7">
        <f t="shared" si="6"/>
        <v>122408</v>
      </c>
      <c r="K250" s="7">
        <f t="shared" si="8"/>
        <v>724.8909456</v>
      </c>
    </row>
    <row r="251">
      <c r="A251" s="5" t="s">
        <v>703</v>
      </c>
      <c r="B251" s="5" t="s">
        <v>704</v>
      </c>
      <c r="C251" s="5" t="s">
        <v>74</v>
      </c>
      <c r="D251" s="6">
        <v>12667.0</v>
      </c>
      <c r="E251" s="7" t="str">
        <f t="shared" si="1"/>
        <v>D</v>
      </c>
      <c r="F251" s="7" t="str">
        <f t="shared" si="2"/>
        <v>Transformative change</v>
      </c>
      <c r="G251" s="7" t="str">
        <f t="shared" si="3"/>
        <v>Low</v>
      </c>
      <c r="H251" s="7">
        <f t="shared" si="4"/>
        <v>61329</v>
      </c>
      <c r="I251" s="7">
        <f t="shared" si="5"/>
        <v>10198.663</v>
      </c>
      <c r="J251" s="7">
        <f t="shared" si="6"/>
        <v>164671</v>
      </c>
      <c r="K251" s="7">
        <f t="shared" si="8"/>
        <v>70325.49619</v>
      </c>
    </row>
    <row r="252">
      <c r="A252" s="5" t="s">
        <v>705</v>
      </c>
      <c r="B252" s="5" t="s">
        <v>706</v>
      </c>
      <c r="C252" s="5" t="s">
        <v>74</v>
      </c>
      <c r="D252" s="6">
        <v>145699.0</v>
      </c>
      <c r="E252" s="7" t="str">
        <f t="shared" si="1"/>
        <v>E</v>
      </c>
      <c r="F252" s="7" t="str">
        <f t="shared" si="2"/>
        <v>High ambition</v>
      </c>
      <c r="G252" s="7" t="str">
        <f t="shared" si="3"/>
        <v>Low</v>
      </c>
      <c r="H252" s="7">
        <f t="shared" si="4"/>
        <v>1338357</v>
      </c>
      <c r="I252" s="7">
        <f t="shared" si="5"/>
        <v>974928.1893</v>
      </c>
      <c r="J252" s="7">
        <f t="shared" si="6"/>
        <v>1019893</v>
      </c>
      <c r="K252" s="7">
        <f t="shared" si="8"/>
        <v>749.7617652</v>
      </c>
    </row>
    <row r="253">
      <c r="A253" s="5" t="s">
        <v>707</v>
      </c>
      <c r="B253" s="5" t="s">
        <v>708</v>
      </c>
      <c r="C253" s="5" t="s">
        <v>709</v>
      </c>
      <c r="D253" s="6">
        <v>12684.0</v>
      </c>
      <c r="E253" s="7" t="str">
        <f t="shared" si="1"/>
        <v>B</v>
      </c>
      <c r="F253" s="7" t="str">
        <f t="shared" si="2"/>
        <v>Transformative change</v>
      </c>
      <c r="G253" s="7" t="str">
        <f t="shared" si="3"/>
        <v>High</v>
      </c>
      <c r="H253" s="7">
        <f t="shared" si="4"/>
        <v>3564523</v>
      </c>
      <c r="I253" s="7">
        <f t="shared" si="5"/>
        <v>923045.5295</v>
      </c>
      <c r="J253" s="7">
        <f t="shared" si="6"/>
        <v>88788</v>
      </c>
      <c r="K253" s="7">
        <f t="shared" si="8"/>
        <v>723.289516</v>
      </c>
    </row>
    <row r="254">
      <c r="A254" s="5" t="s">
        <v>710</v>
      </c>
      <c r="B254" s="5" t="s">
        <v>711</v>
      </c>
      <c r="C254" s="5" t="s">
        <v>712</v>
      </c>
      <c r="D254" s="6">
        <v>11734.0</v>
      </c>
      <c r="E254" s="7" t="str">
        <f t="shared" si="1"/>
        <v>A</v>
      </c>
      <c r="F254" s="7" t="str">
        <f t="shared" si="2"/>
        <v>Transformative change</v>
      </c>
      <c r="G254" s="7" t="str">
        <f t="shared" si="3"/>
        <v>Medium</v>
      </c>
      <c r="H254" s="7">
        <f t="shared" si="4"/>
        <v>3117758</v>
      </c>
      <c r="I254" s="7">
        <f t="shared" si="5"/>
        <v>939999.1637</v>
      </c>
      <c r="J254" s="7">
        <f t="shared" si="6"/>
        <v>117340</v>
      </c>
      <c r="K254" s="7">
        <f t="shared" si="8"/>
        <v>57.30820226</v>
      </c>
    </row>
    <row r="255">
      <c r="A255" s="5" t="s">
        <v>713</v>
      </c>
      <c r="B255" s="5" t="s">
        <v>714</v>
      </c>
      <c r="C255" s="5" t="s">
        <v>715</v>
      </c>
      <c r="D255" s="6">
        <v>18553.0</v>
      </c>
      <c r="E255" s="7" t="str">
        <f t="shared" si="1"/>
        <v>G</v>
      </c>
      <c r="F255" s="7" t="str">
        <f t="shared" si="2"/>
        <v>Transformative change</v>
      </c>
      <c r="G255" s="7" t="str">
        <f t="shared" si="3"/>
        <v>Low</v>
      </c>
      <c r="H255" s="7">
        <f t="shared" si="4"/>
        <v>2923265</v>
      </c>
      <c r="I255" s="7">
        <f t="shared" si="5"/>
        <v>2857998.782</v>
      </c>
      <c r="J255" s="7">
        <f t="shared" si="6"/>
        <v>129871</v>
      </c>
      <c r="K255" s="7">
        <f t="shared" si="8"/>
        <v>2231</v>
      </c>
    </row>
    <row r="256">
      <c r="A256" s="5" t="s">
        <v>716</v>
      </c>
      <c r="B256" s="5" t="s">
        <v>717</v>
      </c>
      <c r="C256" s="5" t="s">
        <v>718</v>
      </c>
      <c r="D256" s="6">
        <v>13627.0</v>
      </c>
      <c r="E256" s="7" t="str">
        <f t="shared" si="1"/>
        <v>B</v>
      </c>
      <c r="F256" s="7" t="str">
        <f t="shared" si="2"/>
        <v>Transformative change</v>
      </c>
      <c r="G256" s="7" t="str">
        <f t="shared" si="3"/>
        <v>Medium</v>
      </c>
      <c r="H256" s="7">
        <f t="shared" si="4"/>
        <v>1923662</v>
      </c>
      <c r="I256" s="7">
        <f t="shared" si="5"/>
        <v>442465.7667</v>
      </c>
      <c r="J256" s="7">
        <f t="shared" si="6"/>
        <v>68135</v>
      </c>
      <c r="K256" s="7">
        <f t="shared" si="8"/>
        <v>41772.26688</v>
      </c>
    </row>
    <row r="257">
      <c r="A257" s="5" t="s">
        <v>719</v>
      </c>
      <c r="B257" s="5" t="s">
        <v>720</v>
      </c>
      <c r="C257" s="5" t="s">
        <v>74</v>
      </c>
      <c r="D257" s="6">
        <v>976075.0</v>
      </c>
      <c r="E257" s="7" t="str">
        <f t="shared" si="1"/>
        <v>E</v>
      </c>
      <c r="F257" s="7" t="str">
        <f t="shared" si="2"/>
        <v>Transformative change</v>
      </c>
      <c r="G257" s="7" t="str">
        <f t="shared" si="3"/>
        <v>Medium</v>
      </c>
      <c r="H257" s="7">
        <f t="shared" si="4"/>
        <v>2004866</v>
      </c>
      <c r="I257" s="7">
        <f t="shared" si="5"/>
        <v>271523.1251</v>
      </c>
      <c r="J257" s="7">
        <f t="shared" si="6"/>
        <v>14641125</v>
      </c>
      <c r="K257" s="7">
        <f t="shared" si="8"/>
        <v>2718804.541</v>
      </c>
    </row>
    <row r="258">
      <c r="A258" s="5" t="s">
        <v>721</v>
      </c>
      <c r="B258" s="5" t="s">
        <v>722</v>
      </c>
      <c r="C258" s="5" t="s">
        <v>723</v>
      </c>
      <c r="D258" s="6">
        <v>17107.0</v>
      </c>
      <c r="E258" s="7" t="str">
        <f t="shared" si="1"/>
        <v>F</v>
      </c>
      <c r="F258" s="7" t="str">
        <f t="shared" si="2"/>
        <v>Transformative change</v>
      </c>
      <c r="G258" s="7" t="str">
        <f t="shared" si="3"/>
        <v>Medium</v>
      </c>
      <c r="H258" s="7">
        <f t="shared" si="4"/>
        <v>2624181</v>
      </c>
      <c r="I258" s="7">
        <f t="shared" si="5"/>
        <v>721035.2327</v>
      </c>
      <c r="J258" s="7">
        <f t="shared" si="6"/>
        <v>205284</v>
      </c>
      <c r="K258" s="7">
        <f t="shared" si="8"/>
        <v>2231</v>
      </c>
    </row>
    <row r="259">
      <c r="A259" s="5" t="s">
        <v>724</v>
      </c>
      <c r="B259" s="5" t="s">
        <v>725</v>
      </c>
      <c r="C259" s="5" t="s">
        <v>726</v>
      </c>
      <c r="D259" s="6">
        <v>72609.0</v>
      </c>
      <c r="E259" s="7" t="str">
        <f t="shared" si="1"/>
        <v>E</v>
      </c>
      <c r="F259" s="7" t="str">
        <f t="shared" si="2"/>
        <v>High ambition</v>
      </c>
      <c r="G259" s="7" t="str">
        <f t="shared" si="3"/>
        <v>High</v>
      </c>
      <c r="H259" s="7">
        <f t="shared" si="4"/>
        <v>484665</v>
      </c>
      <c r="I259" s="7">
        <f t="shared" si="5"/>
        <v>420465.3073</v>
      </c>
      <c r="J259" s="7">
        <f t="shared" si="6"/>
        <v>435654</v>
      </c>
      <c r="K259" s="7">
        <f t="shared" si="8"/>
        <v>2231</v>
      </c>
    </row>
    <row r="260">
      <c r="A260" s="5" t="s">
        <v>727</v>
      </c>
      <c r="B260" s="5" t="s">
        <v>728</v>
      </c>
      <c r="C260" s="5" t="s">
        <v>74</v>
      </c>
      <c r="D260" s="6">
        <v>8075.0</v>
      </c>
      <c r="E260" s="7" t="str">
        <f t="shared" si="1"/>
        <v>A</v>
      </c>
      <c r="F260" s="7" t="str">
        <f t="shared" si="2"/>
        <v>Transformative change</v>
      </c>
      <c r="G260" s="7" t="str">
        <f t="shared" si="3"/>
        <v>Medium</v>
      </c>
      <c r="H260" s="7">
        <f t="shared" si="4"/>
        <v>2843422</v>
      </c>
      <c r="I260" s="7">
        <f t="shared" si="5"/>
        <v>1337087.992</v>
      </c>
      <c r="J260" s="7">
        <f t="shared" si="6"/>
        <v>48450</v>
      </c>
      <c r="K260" s="7">
        <f t="shared" si="8"/>
        <v>11234.98377</v>
      </c>
    </row>
    <row r="261">
      <c r="A261" s="5" t="s">
        <v>488</v>
      </c>
      <c r="B261" s="5" t="s">
        <v>729</v>
      </c>
      <c r="C261" s="5" t="s">
        <v>730</v>
      </c>
      <c r="D261" s="6">
        <v>11759.0</v>
      </c>
      <c r="E261" s="7" t="str">
        <f t="shared" si="1"/>
        <v>D</v>
      </c>
      <c r="F261" s="7" t="str">
        <f t="shared" si="2"/>
        <v>Transformative change</v>
      </c>
      <c r="G261" s="7" t="str">
        <f t="shared" si="3"/>
        <v>Medium</v>
      </c>
      <c r="H261" s="7">
        <f t="shared" si="4"/>
        <v>1327451</v>
      </c>
      <c r="I261" s="7">
        <f t="shared" si="5"/>
        <v>1052492.889</v>
      </c>
      <c r="J261" s="7">
        <f t="shared" si="6"/>
        <v>82313</v>
      </c>
      <c r="K261" s="7">
        <f t="shared" si="8"/>
        <v>76935.20485</v>
      </c>
    </row>
    <row r="262">
      <c r="A262" s="5" t="s">
        <v>731</v>
      </c>
      <c r="B262" s="5" t="s">
        <v>732</v>
      </c>
      <c r="C262" s="5" t="s">
        <v>733</v>
      </c>
      <c r="D262" s="6">
        <v>11928.0</v>
      </c>
      <c r="E262" s="7" t="str">
        <f t="shared" si="1"/>
        <v>F</v>
      </c>
      <c r="F262" s="7" t="str">
        <f t="shared" si="2"/>
        <v>High ambition</v>
      </c>
      <c r="G262" s="7" t="str">
        <f t="shared" si="3"/>
        <v>Medium</v>
      </c>
      <c r="H262" s="7">
        <f t="shared" si="4"/>
        <v>3148960</v>
      </c>
      <c r="I262" s="7">
        <f t="shared" si="5"/>
        <v>1255127.389</v>
      </c>
      <c r="J262" s="7">
        <f t="shared" si="6"/>
        <v>143136</v>
      </c>
      <c r="K262" s="7">
        <f t="shared" si="8"/>
        <v>2231</v>
      </c>
    </row>
    <row r="263">
      <c r="A263" s="5" t="s">
        <v>734</v>
      </c>
      <c r="B263" s="5" t="s">
        <v>735</v>
      </c>
      <c r="C263" s="5" t="s">
        <v>736</v>
      </c>
      <c r="D263" s="6">
        <v>19877.0</v>
      </c>
      <c r="E263" s="7" t="str">
        <f t="shared" si="1"/>
        <v>D</v>
      </c>
      <c r="F263" s="7" t="str">
        <f t="shared" si="2"/>
        <v>Transformative change</v>
      </c>
      <c r="G263" s="7" t="str">
        <f t="shared" si="3"/>
        <v>Medium</v>
      </c>
      <c r="H263" s="7">
        <f t="shared" si="4"/>
        <v>995063</v>
      </c>
      <c r="I263" s="7">
        <f t="shared" si="5"/>
        <v>234290.8817</v>
      </c>
      <c r="J263" s="7">
        <f t="shared" si="6"/>
        <v>79508</v>
      </c>
      <c r="K263" s="7">
        <f t="shared" si="8"/>
        <v>44430.06768</v>
      </c>
    </row>
    <row r="264">
      <c r="A264" s="5" t="s">
        <v>737</v>
      </c>
      <c r="B264" s="5" t="s">
        <v>738</v>
      </c>
      <c r="C264" s="5" t="s">
        <v>739</v>
      </c>
      <c r="D264" s="6">
        <v>14485.0</v>
      </c>
      <c r="E264" s="7" t="str">
        <f t="shared" si="1"/>
        <v>E</v>
      </c>
      <c r="F264" s="7" t="str">
        <f t="shared" si="2"/>
        <v>Transformative change</v>
      </c>
      <c r="G264" s="7" t="str">
        <f t="shared" si="3"/>
        <v>Medium</v>
      </c>
      <c r="H264" s="7">
        <f t="shared" si="4"/>
        <v>580780</v>
      </c>
      <c r="I264" s="7">
        <f t="shared" si="5"/>
        <v>355618.6315</v>
      </c>
      <c r="J264" s="7">
        <f t="shared" si="6"/>
        <v>202790</v>
      </c>
      <c r="K264" s="7">
        <f t="shared" si="8"/>
        <v>2231</v>
      </c>
    </row>
    <row r="265">
      <c r="A265" s="5" t="s">
        <v>740</v>
      </c>
      <c r="B265" s="5" t="s">
        <v>741</v>
      </c>
      <c r="C265" s="5" t="s">
        <v>742</v>
      </c>
      <c r="D265" s="6">
        <v>27341.0</v>
      </c>
      <c r="E265" s="7" t="str">
        <f t="shared" si="1"/>
        <v>D</v>
      </c>
      <c r="F265" s="7" t="str">
        <f t="shared" si="2"/>
        <v>Transformative change</v>
      </c>
      <c r="G265" s="7" t="str">
        <f t="shared" si="3"/>
        <v>High</v>
      </c>
      <c r="H265" s="7">
        <f t="shared" si="4"/>
        <v>3787941</v>
      </c>
      <c r="I265" s="7">
        <f t="shared" si="5"/>
        <v>424660.9884</v>
      </c>
      <c r="J265" s="7">
        <f t="shared" si="6"/>
        <v>109364</v>
      </c>
      <c r="K265" s="7">
        <f t="shared" si="8"/>
        <v>0.2530354142</v>
      </c>
    </row>
    <row r="266">
      <c r="A266" s="5" t="s">
        <v>743</v>
      </c>
      <c r="B266" s="5" t="s">
        <v>744</v>
      </c>
      <c r="C266" s="5" t="s">
        <v>745</v>
      </c>
      <c r="D266" s="6">
        <v>8393.0</v>
      </c>
      <c r="E266" s="7" t="str">
        <f t="shared" si="1"/>
        <v>B</v>
      </c>
      <c r="F266" s="7" t="str">
        <f t="shared" si="2"/>
        <v>High ambition</v>
      </c>
      <c r="G266" s="7" t="str">
        <f t="shared" si="3"/>
        <v>Low</v>
      </c>
      <c r="H266" s="7">
        <f t="shared" si="4"/>
        <v>148373</v>
      </c>
      <c r="I266" s="7">
        <f t="shared" si="5"/>
        <v>38446.86721</v>
      </c>
      <c r="J266" s="7">
        <f t="shared" si="6"/>
        <v>125895</v>
      </c>
      <c r="K266" s="7">
        <f t="shared" si="8"/>
        <v>21144.28399</v>
      </c>
    </row>
    <row r="267">
      <c r="A267" s="5" t="s">
        <v>746</v>
      </c>
      <c r="B267" s="5" t="s">
        <v>747</v>
      </c>
      <c r="C267" s="5" t="s">
        <v>748</v>
      </c>
      <c r="D267" s="6">
        <v>65528.0</v>
      </c>
      <c r="E267" s="7" t="str">
        <f t="shared" si="1"/>
        <v>E</v>
      </c>
      <c r="F267" s="7" t="str">
        <f t="shared" si="2"/>
        <v>Transformative change</v>
      </c>
      <c r="G267" s="7" t="str">
        <f t="shared" si="3"/>
        <v>Medium</v>
      </c>
      <c r="H267" s="7">
        <f t="shared" si="4"/>
        <v>272755</v>
      </c>
      <c r="I267" s="7">
        <f t="shared" si="5"/>
        <v>130776.8051</v>
      </c>
      <c r="J267" s="7">
        <f t="shared" si="6"/>
        <v>851864</v>
      </c>
      <c r="K267" s="7">
        <f t="shared" si="8"/>
        <v>478022.5178</v>
      </c>
    </row>
    <row r="268">
      <c r="A268" s="5" t="s">
        <v>749</v>
      </c>
      <c r="B268" s="5" t="s">
        <v>750</v>
      </c>
      <c r="C268" s="5" t="s">
        <v>751</v>
      </c>
      <c r="D268" s="6">
        <v>6183.0</v>
      </c>
      <c r="E268" s="7" t="str">
        <f t="shared" si="1"/>
        <v>C</v>
      </c>
      <c r="F268" s="7" t="str">
        <f t="shared" si="2"/>
        <v>Transformative change</v>
      </c>
      <c r="G268" s="7" t="str">
        <f t="shared" si="3"/>
        <v>Medium</v>
      </c>
      <c r="H268" s="7">
        <f t="shared" si="4"/>
        <v>2155115</v>
      </c>
      <c r="I268" s="7">
        <f t="shared" si="5"/>
        <v>2067635.408</v>
      </c>
      <c r="J268" s="7">
        <f t="shared" si="6"/>
        <v>86562</v>
      </c>
      <c r="K268" s="7">
        <f t="shared" si="8"/>
        <v>29753.76577</v>
      </c>
    </row>
    <row r="269">
      <c r="A269" s="5" t="s">
        <v>752</v>
      </c>
      <c r="B269" s="5" t="s">
        <v>753</v>
      </c>
      <c r="C269" s="5" t="s">
        <v>754</v>
      </c>
      <c r="D269" s="6">
        <v>10830.0</v>
      </c>
      <c r="E269" s="7" t="str">
        <f t="shared" si="1"/>
        <v>G</v>
      </c>
      <c r="F269" s="7" t="str">
        <f t="shared" si="2"/>
        <v>Transformative change</v>
      </c>
      <c r="G269" s="7" t="str">
        <f t="shared" si="3"/>
        <v>Low</v>
      </c>
      <c r="H269" s="7">
        <f t="shared" si="4"/>
        <v>618851</v>
      </c>
      <c r="I269" s="7">
        <f t="shared" si="5"/>
        <v>365278.0034</v>
      </c>
      <c r="J269" s="7">
        <f t="shared" si="6"/>
        <v>140790</v>
      </c>
      <c r="K269" s="7">
        <f t="shared" si="8"/>
        <v>2231</v>
      </c>
    </row>
    <row r="270">
      <c r="A270" s="5" t="s">
        <v>21</v>
      </c>
      <c r="B270" s="5" t="s">
        <v>755</v>
      </c>
      <c r="C270" s="5" t="s">
        <v>756</v>
      </c>
      <c r="D270" s="6">
        <v>15751.0</v>
      </c>
      <c r="E270" s="7" t="str">
        <f t="shared" si="1"/>
        <v>F</v>
      </c>
      <c r="F270" s="7" t="str">
        <f t="shared" si="2"/>
        <v>Transformative change</v>
      </c>
      <c r="G270" s="7" t="str">
        <f t="shared" si="3"/>
        <v>Medium</v>
      </c>
      <c r="H270" s="7">
        <f t="shared" si="4"/>
        <v>1747786</v>
      </c>
      <c r="I270" s="7">
        <f t="shared" si="5"/>
        <v>1665169.482</v>
      </c>
      <c r="J270" s="7">
        <f t="shared" si="6"/>
        <v>204763</v>
      </c>
      <c r="K270" s="7">
        <f t="shared" si="8"/>
        <v>3028.798073</v>
      </c>
    </row>
    <row r="271">
      <c r="A271" s="5" t="s">
        <v>757</v>
      </c>
      <c r="B271" s="5" t="s">
        <v>758</v>
      </c>
      <c r="C271" s="5" t="s">
        <v>759</v>
      </c>
      <c r="D271" s="6">
        <v>58382.0</v>
      </c>
      <c r="E271" s="7" t="str">
        <f t="shared" si="1"/>
        <v>A</v>
      </c>
      <c r="F271" s="7" t="str">
        <f t="shared" si="2"/>
        <v>Transformative change</v>
      </c>
      <c r="G271" s="7" t="str">
        <f t="shared" si="3"/>
        <v>Medium</v>
      </c>
      <c r="H271" s="7">
        <f t="shared" si="4"/>
        <v>3063004</v>
      </c>
      <c r="I271" s="7">
        <f t="shared" si="5"/>
        <v>1941375.821</v>
      </c>
      <c r="J271" s="7">
        <f t="shared" si="6"/>
        <v>642202</v>
      </c>
      <c r="K271" s="7">
        <f t="shared" si="8"/>
        <v>63860.14867</v>
      </c>
    </row>
    <row r="272">
      <c r="A272" s="5" t="s">
        <v>760</v>
      </c>
      <c r="B272" s="5" t="s">
        <v>761</v>
      </c>
      <c r="C272" s="5" t="s">
        <v>74</v>
      </c>
      <c r="D272" s="6">
        <v>7716.0</v>
      </c>
      <c r="E272" s="7" t="str">
        <f t="shared" si="1"/>
        <v>B</v>
      </c>
      <c r="F272" s="7" t="str">
        <f t="shared" si="2"/>
        <v>Transformative change</v>
      </c>
      <c r="G272" s="7" t="str">
        <f t="shared" si="3"/>
        <v>Low</v>
      </c>
      <c r="H272" s="7">
        <f t="shared" si="4"/>
        <v>1654032</v>
      </c>
      <c r="I272" s="7">
        <f t="shared" si="5"/>
        <v>767787.5449</v>
      </c>
      <c r="J272" s="7">
        <f t="shared" si="6"/>
        <v>30864</v>
      </c>
      <c r="K272" s="7">
        <f t="shared" si="8"/>
        <v>2231</v>
      </c>
    </row>
    <row r="273">
      <c r="A273" s="5" t="s">
        <v>762</v>
      </c>
      <c r="B273" s="5" t="s">
        <v>763</v>
      </c>
      <c r="C273" s="5" t="s">
        <v>764</v>
      </c>
      <c r="D273" s="6">
        <v>18591.0</v>
      </c>
      <c r="E273" s="7" t="str">
        <f t="shared" si="1"/>
        <v>C</v>
      </c>
      <c r="F273" s="7" t="str">
        <f t="shared" si="2"/>
        <v>Transformative change</v>
      </c>
      <c r="G273" s="7" t="str">
        <f t="shared" si="3"/>
        <v>Medium</v>
      </c>
      <c r="H273" s="7">
        <f t="shared" si="4"/>
        <v>1605174</v>
      </c>
      <c r="I273" s="7">
        <f t="shared" si="5"/>
        <v>208466.512</v>
      </c>
      <c r="J273" s="7">
        <f t="shared" si="6"/>
        <v>167319</v>
      </c>
      <c r="K273" s="7">
        <f t="shared" si="8"/>
        <v>2231</v>
      </c>
    </row>
    <row r="274">
      <c r="A274" s="5" t="s">
        <v>765</v>
      </c>
      <c r="B274" s="5" t="s">
        <v>766</v>
      </c>
      <c r="C274" s="5" t="s">
        <v>767</v>
      </c>
      <c r="D274" s="6">
        <v>11990.0</v>
      </c>
      <c r="E274" s="7" t="str">
        <f t="shared" si="1"/>
        <v>B</v>
      </c>
      <c r="F274" s="7" t="str">
        <f t="shared" si="2"/>
        <v>High ambition</v>
      </c>
      <c r="G274" s="7" t="str">
        <f t="shared" si="3"/>
        <v>Medium</v>
      </c>
      <c r="H274" s="7">
        <f t="shared" si="4"/>
        <v>541787</v>
      </c>
      <c r="I274" s="7">
        <f t="shared" si="5"/>
        <v>78504.30582</v>
      </c>
      <c r="J274" s="7">
        <f t="shared" si="6"/>
        <v>143880</v>
      </c>
      <c r="K274" s="7">
        <f t="shared" si="8"/>
        <v>16281.29736</v>
      </c>
    </row>
    <row r="275">
      <c r="A275" s="5" t="s">
        <v>768</v>
      </c>
      <c r="B275" s="5" t="s">
        <v>769</v>
      </c>
      <c r="C275" s="5" t="s">
        <v>770</v>
      </c>
      <c r="D275" s="6">
        <v>16921.0</v>
      </c>
      <c r="E275" s="7" t="str">
        <f t="shared" si="1"/>
        <v>F</v>
      </c>
      <c r="F275" s="7" t="str">
        <f t="shared" si="2"/>
        <v>High ambition</v>
      </c>
      <c r="G275" s="7" t="str">
        <f t="shared" si="3"/>
        <v>High</v>
      </c>
      <c r="H275" s="7">
        <f t="shared" si="4"/>
        <v>3407192</v>
      </c>
      <c r="I275" s="7">
        <f t="shared" si="5"/>
        <v>705753.0423</v>
      </c>
      <c r="J275" s="7">
        <f t="shared" si="6"/>
        <v>236894</v>
      </c>
      <c r="K275" s="7">
        <f t="shared" si="8"/>
        <v>18517.65208</v>
      </c>
    </row>
    <row r="276">
      <c r="A276" s="5" t="s">
        <v>771</v>
      </c>
      <c r="B276" s="5" t="s">
        <v>772</v>
      </c>
      <c r="C276" s="5" t="s">
        <v>773</v>
      </c>
      <c r="D276" s="6">
        <v>15639.0</v>
      </c>
      <c r="E276" s="7" t="str">
        <f t="shared" si="1"/>
        <v>B</v>
      </c>
      <c r="F276" s="7" t="str">
        <f t="shared" si="2"/>
        <v>Transformative change</v>
      </c>
      <c r="G276" s="7" t="str">
        <f t="shared" si="3"/>
        <v>Low</v>
      </c>
      <c r="H276" s="7">
        <f t="shared" si="4"/>
        <v>572144</v>
      </c>
      <c r="I276" s="7">
        <f t="shared" si="5"/>
        <v>178981.3349</v>
      </c>
      <c r="J276" s="7">
        <f t="shared" si="6"/>
        <v>172029</v>
      </c>
      <c r="K276" s="7">
        <f t="shared" si="8"/>
        <v>2231</v>
      </c>
    </row>
    <row r="277">
      <c r="A277" s="5" t="s">
        <v>774</v>
      </c>
      <c r="B277" s="5" t="s">
        <v>775</v>
      </c>
      <c r="C277" s="5" t="s">
        <v>74</v>
      </c>
      <c r="D277" s="6">
        <v>16162.0</v>
      </c>
      <c r="E277" s="7" t="str">
        <f t="shared" si="1"/>
        <v>B</v>
      </c>
      <c r="F277" s="7" t="str">
        <f t="shared" si="2"/>
        <v>Transformative change</v>
      </c>
      <c r="G277" s="7" t="str">
        <f t="shared" si="3"/>
        <v>Medium</v>
      </c>
      <c r="H277" s="7">
        <f t="shared" si="4"/>
        <v>2501946</v>
      </c>
      <c r="I277" s="7">
        <f t="shared" si="5"/>
        <v>1826223.093</v>
      </c>
      <c r="J277" s="7">
        <f t="shared" si="6"/>
        <v>177782</v>
      </c>
      <c r="K277" s="7">
        <f t="shared" si="8"/>
        <v>2231</v>
      </c>
    </row>
    <row r="278">
      <c r="A278" s="5" t="s">
        <v>776</v>
      </c>
      <c r="B278" s="5" t="s">
        <v>777</v>
      </c>
      <c r="C278" s="5" t="s">
        <v>778</v>
      </c>
      <c r="D278" s="6">
        <v>18228.0</v>
      </c>
      <c r="E278" s="7" t="str">
        <f t="shared" si="1"/>
        <v>E</v>
      </c>
      <c r="F278" s="7" t="str">
        <f t="shared" si="2"/>
        <v>Transformative change</v>
      </c>
      <c r="G278" s="7" t="str">
        <f t="shared" si="3"/>
        <v>Medium</v>
      </c>
      <c r="H278" s="7">
        <f t="shared" si="4"/>
        <v>1320859</v>
      </c>
      <c r="I278" s="7">
        <f t="shared" si="5"/>
        <v>741218.9156</v>
      </c>
      <c r="J278" s="7">
        <f t="shared" si="6"/>
        <v>109368</v>
      </c>
      <c r="K278" s="7">
        <f t="shared" si="8"/>
        <v>60676.29557</v>
      </c>
    </row>
    <row r="279">
      <c r="A279" s="5" t="s">
        <v>779</v>
      </c>
      <c r="B279" s="5" t="s">
        <v>780</v>
      </c>
      <c r="C279" s="5" t="s">
        <v>781</v>
      </c>
      <c r="D279" s="6">
        <v>19517.0</v>
      </c>
      <c r="E279" s="7" t="str">
        <f t="shared" si="1"/>
        <v>D</v>
      </c>
      <c r="F279" s="7" t="str">
        <f t="shared" si="2"/>
        <v>Transformative change</v>
      </c>
      <c r="G279" s="7" t="str">
        <f t="shared" si="3"/>
        <v>Medium</v>
      </c>
      <c r="H279" s="7">
        <f t="shared" si="4"/>
        <v>1722462</v>
      </c>
      <c r="I279" s="7">
        <f t="shared" si="5"/>
        <v>751038.0687</v>
      </c>
      <c r="J279" s="7">
        <f t="shared" si="6"/>
        <v>156136</v>
      </c>
      <c r="K279" s="7">
        <f t="shared" si="8"/>
        <v>4.275791041</v>
      </c>
    </row>
    <row r="280">
      <c r="A280" s="5" t="s">
        <v>782</v>
      </c>
      <c r="B280" s="5" t="s">
        <v>783</v>
      </c>
      <c r="C280" s="5" t="s">
        <v>784</v>
      </c>
      <c r="D280" s="6">
        <v>11738.0</v>
      </c>
      <c r="E280" s="7" t="str">
        <f t="shared" si="1"/>
        <v>B</v>
      </c>
      <c r="F280" s="7" t="str">
        <f t="shared" si="2"/>
        <v>Transformative change</v>
      </c>
      <c r="G280" s="7" t="str">
        <f t="shared" si="3"/>
        <v>Low</v>
      </c>
      <c r="H280" s="7">
        <f t="shared" si="4"/>
        <v>2393648</v>
      </c>
      <c r="I280" s="7">
        <f t="shared" si="5"/>
        <v>265353.9738</v>
      </c>
      <c r="J280" s="7">
        <f t="shared" si="6"/>
        <v>164332</v>
      </c>
      <c r="K280" s="7">
        <f t="shared" si="8"/>
        <v>170.1993284</v>
      </c>
    </row>
    <row r="281">
      <c r="A281" s="5" t="s">
        <v>785</v>
      </c>
      <c r="B281" s="5" t="s">
        <v>786</v>
      </c>
      <c r="C281" s="5" t="s">
        <v>238</v>
      </c>
      <c r="D281" s="6">
        <v>11866.0</v>
      </c>
      <c r="E281" s="7" t="str">
        <f t="shared" si="1"/>
        <v>F</v>
      </c>
      <c r="F281" s="7" t="str">
        <f t="shared" si="2"/>
        <v>Transformative change</v>
      </c>
      <c r="G281" s="7" t="str">
        <f t="shared" si="3"/>
        <v>Medium</v>
      </c>
      <c r="H281" s="7">
        <f t="shared" si="4"/>
        <v>2148341</v>
      </c>
      <c r="I281" s="7">
        <f t="shared" si="5"/>
        <v>1972501.034</v>
      </c>
      <c r="J281" s="7">
        <f t="shared" si="6"/>
        <v>142392</v>
      </c>
      <c r="K281" s="7">
        <f t="shared" si="8"/>
        <v>44621.57824</v>
      </c>
    </row>
    <row r="282">
      <c r="A282" s="5" t="s">
        <v>787</v>
      </c>
      <c r="B282" s="5" t="s">
        <v>788</v>
      </c>
      <c r="C282" s="5" t="s">
        <v>789</v>
      </c>
      <c r="D282" s="6">
        <v>8573.0</v>
      </c>
      <c r="E282" s="7" t="str">
        <f t="shared" si="1"/>
        <v>D</v>
      </c>
      <c r="F282" s="7" t="str">
        <f t="shared" si="2"/>
        <v>High ambition</v>
      </c>
      <c r="G282" s="7" t="str">
        <f t="shared" si="3"/>
        <v>High</v>
      </c>
      <c r="H282" s="7">
        <f t="shared" si="4"/>
        <v>1996629</v>
      </c>
      <c r="I282" s="7">
        <f t="shared" si="5"/>
        <v>124398.6675</v>
      </c>
      <c r="J282" s="7">
        <f t="shared" si="6"/>
        <v>85730</v>
      </c>
      <c r="K282" s="7">
        <f t="shared" si="8"/>
        <v>4350.89574</v>
      </c>
    </row>
    <row r="283">
      <c r="A283" s="5" t="s">
        <v>790</v>
      </c>
      <c r="B283" s="5" t="s">
        <v>791</v>
      </c>
      <c r="C283" s="5" t="s">
        <v>792</v>
      </c>
      <c r="D283" s="6">
        <v>16760.0</v>
      </c>
      <c r="E283" s="7" t="str">
        <f t="shared" si="1"/>
        <v>D</v>
      </c>
      <c r="F283" s="7" t="str">
        <f t="shared" si="2"/>
        <v>Transformative change</v>
      </c>
      <c r="G283" s="7" t="str">
        <f t="shared" si="3"/>
        <v>Medium</v>
      </c>
      <c r="H283" s="7">
        <f t="shared" si="4"/>
        <v>2641383</v>
      </c>
      <c r="I283" s="7">
        <f t="shared" si="5"/>
        <v>1106144.526</v>
      </c>
      <c r="J283" s="7">
        <f t="shared" si="6"/>
        <v>117320</v>
      </c>
      <c r="K283" s="7">
        <f t="shared" si="8"/>
        <v>0.01066105266</v>
      </c>
    </row>
    <row r="284">
      <c r="A284" s="5" t="s">
        <v>793</v>
      </c>
      <c r="B284" s="5" t="s">
        <v>794</v>
      </c>
      <c r="C284" s="5" t="s">
        <v>795</v>
      </c>
      <c r="D284" s="6">
        <v>252534.0</v>
      </c>
      <c r="E284" s="7" t="str">
        <f t="shared" si="1"/>
        <v>E</v>
      </c>
      <c r="F284" s="7" t="str">
        <f t="shared" si="2"/>
        <v>High ambition</v>
      </c>
      <c r="G284" s="7" t="str">
        <f t="shared" si="3"/>
        <v>High</v>
      </c>
      <c r="H284" s="7">
        <f t="shared" si="4"/>
        <v>3925746</v>
      </c>
      <c r="I284" s="7">
        <f t="shared" si="5"/>
        <v>1759947.467</v>
      </c>
      <c r="J284" s="7">
        <f t="shared" si="6"/>
        <v>3282942</v>
      </c>
      <c r="K284" s="7">
        <f t="shared" si="8"/>
        <v>23958.28048</v>
      </c>
    </row>
    <row r="285">
      <c r="A285" s="5" t="s">
        <v>796</v>
      </c>
      <c r="B285" s="5" t="s">
        <v>797</v>
      </c>
      <c r="C285" s="5" t="s">
        <v>798</v>
      </c>
      <c r="D285" s="6">
        <v>322262.0</v>
      </c>
      <c r="E285" s="7" t="str">
        <f t="shared" si="1"/>
        <v>G</v>
      </c>
      <c r="F285" s="7" t="str">
        <f t="shared" si="2"/>
        <v>Transformative change</v>
      </c>
      <c r="G285" s="7" t="str">
        <f t="shared" si="3"/>
        <v>Low</v>
      </c>
      <c r="H285" s="7">
        <f t="shared" si="4"/>
        <v>3922783</v>
      </c>
      <c r="I285" s="7">
        <f t="shared" si="5"/>
        <v>58395.38959</v>
      </c>
      <c r="J285" s="7">
        <f t="shared" si="6"/>
        <v>1611310</v>
      </c>
      <c r="K285" s="7">
        <f t="shared" si="8"/>
        <v>3511.977135</v>
      </c>
    </row>
    <row r="286">
      <c r="A286" s="5" t="s">
        <v>799</v>
      </c>
      <c r="B286" s="5" t="s">
        <v>800</v>
      </c>
      <c r="C286" s="5" t="s">
        <v>801</v>
      </c>
      <c r="D286" s="6">
        <v>9680.0</v>
      </c>
      <c r="E286" s="7" t="str">
        <f t="shared" si="1"/>
        <v>E</v>
      </c>
      <c r="F286" s="7" t="str">
        <f t="shared" si="2"/>
        <v>Transformative change</v>
      </c>
      <c r="G286" s="7" t="str">
        <f t="shared" si="3"/>
        <v>Low</v>
      </c>
      <c r="H286" s="7">
        <f t="shared" si="4"/>
        <v>227706</v>
      </c>
      <c r="I286" s="7">
        <f t="shared" si="5"/>
        <v>160797.8177</v>
      </c>
      <c r="J286" s="7">
        <f t="shared" si="6"/>
        <v>87120</v>
      </c>
      <c r="K286" s="7">
        <f t="shared" si="8"/>
        <v>24101.5452</v>
      </c>
    </row>
    <row r="287">
      <c r="A287" s="5" t="s">
        <v>802</v>
      </c>
      <c r="B287" s="5" t="s">
        <v>803</v>
      </c>
      <c r="C287" s="5" t="s">
        <v>804</v>
      </c>
      <c r="D287" s="6">
        <v>15052.0</v>
      </c>
      <c r="E287" s="7" t="str">
        <f t="shared" si="1"/>
        <v>G</v>
      </c>
      <c r="F287" s="7" t="str">
        <f t="shared" si="2"/>
        <v>Transformative change</v>
      </c>
      <c r="G287" s="7" t="str">
        <f t="shared" si="3"/>
        <v>Low</v>
      </c>
      <c r="H287" s="7">
        <f t="shared" si="4"/>
        <v>2011146</v>
      </c>
      <c r="I287" s="7">
        <f t="shared" si="5"/>
        <v>1697700.905</v>
      </c>
      <c r="J287" s="7">
        <f t="shared" si="6"/>
        <v>60208</v>
      </c>
      <c r="K287" s="7">
        <f t="shared" si="8"/>
        <v>2.383044856</v>
      </c>
    </row>
    <row r="288">
      <c r="A288" s="5" t="s">
        <v>805</v>
      </c>
      <c r="B288" s="5" t="s">
        <v>806</v>
      </c>
      <c r="C288" s="5" t="s">
        <v>807</v>
      </c>
      <c r="D288" s="6">
        <v>10573.0</v>
      </c>
      <c r="E288" s="7" t="str">
        <f t="shared" si="1"/>
        <v>C</v>
      </c>
      <c r="F288" s="7" t="str">
        <f t="shared" si="2"/>
        <v>Transformative change</v>
      </c>
      <c r="G288" s="7" t="str">
        <f t="shared" si="3"/>
        <v>Low</v>
      </c>
      <c r="H288" s="7">
        <f t="shared" si="4"/>
        <v>2919924</v>
      </c>
      <c r="I288" s="7">
        <f t="shared" si="5"/>
        <v>2544204.715</v>
      </c>
      <c r="J288" s="7">
        <f t="shared" si="6"/>
        <v>126876</v>
      </c>
      <c r="K288" s="7">
        <f t="shared" si="8"/>
        <v>2231</v>
      </c>
    </row>
    <row r="289">
      <c r="A289" s="5" t="s">
        <v>808</v>
      </c>
      <c r="B289" s="5" t="s">
        <v>809</v>
      </c>
      <c r="C289" s="5" t="s">
        <v>74</v>
      </c>
      <c r="D289" s="6">
        <v>58999.0</v>
      </c>
      <c r="E289" s="7" t="str">
        <f t="shared" si="1"/>
        <v>E</v>
      </c>
      <c r="F289" s="7" t="str">
        <f t="shared" si="2"/>
        <v>Transformative change</v>
      </c>
      <c r="G289" s="7" t="str">
        <f t="shared" si="3"/>
        <v>Medium</v>
      </c>
      <c r="H289" s="7">
        <f t="shared" si="4"/>
        <v>533625</v>
      </c>
      <c r="I289" s="7">
        <f t="shared" si="5"/>
        <v>303103.6901</v>
      </c>
      <c r="J289" s="7">
        <f t="shared" si="6"/>
        <v>589990</v>
      </c>
      <c r="K289" s="7">
        <f t="shared" si="8"/>
        <v>2231</v>
      </c>
    </row>
    <row r="290">
      <c r="A290" s="5" t="s">
        <v>540</v>
      </c>
      <c r="B290" s="5" t="s">
        <v>810</v>
      </c>
      <c r="C290" s="5" t="s">
        <v>74</v>
      </c>
      <c r="D290" s="6">
        <v>42796.0</v>
      </c>
      <c r="E290" s="7" t="str">
        <f t="shared" si="1"/>
        <v>E</v>
      </c>
      <c r="F290" s="7" t="str">
        <f t="shared" si="2"/>
        <v>Transformative change</v>
      </c>
      <c r="G290" s="7" t="str">
        <f t="shared" si="3"/>
        <v>Medium</v>
      </c>
      <c r="H290" s="7">
        <f t="shared" si="4"/>
        <v>238176</v>
      </c>
      <c r="I290" s="7">
        <f t="shared" si="5"/>
        <v>106812.7779</v>
      </c>
      <c r="J290" s="7">
        <f t="shared" si="6"/>
        <v>385164</v>
      </c>
      <c r="K290" s="7">
        <f t="shared" si="8"/>
        <v>13902.93782</v>
      </c>
    </row>
    <row r="291">
      <c r="A291" s="5" t="s">
        <v>811</v>
      </c>
      <c r="B291" s="5" t="s">
        <v>812</v>
      </c>
      <c r="C291" s="5" t="s">
        <v>74</v>
      </c>
      <c r="D291" s="6">
        <v>10548.0</v>
      </c>
      <c r="E291" s="7" t="str">
        <f t="shared" si="1"/>
        <v>C</v>
      </c>
      <c r="F291" s="7" t="str">
        <f t="shared" si="2"/>
        <v>Transformative change</v>
      </c>
      <c r="G291" s="7" t="str">
        <f t="shared" si="3"/>
        <v>Low</v>
      </c>
      <c r="H291" s="7">
        <f t="shared" si="4"/>
        <v>161859</v>
      </c>
      <c r="I291" s="7">
        <f t="shared" si="5"/>
        <v>45324.43178</v>
      </c>
      <c r="J291" s="7">
        <f t="shared" si="6"/>
        <v>94932</v>
      </c>
      <c r="K291" s="7">
        <f t="shared" si="8"/>
        <v>2231</v>
      </c>
    </row>
    <row r="292">
      <c r="A292" s="5" t="s">
        <v>813</v>
      </c>
      <c r="B292" s="5" t="s">
        <v>814</v>
      </c>
      <c r="C292" s="5" t="s">
        <v>815</v>
      </c>
      <c r="D292" s="6">
        <v>12565.0</v>
      </c>
      <c r="E292" s="7" t="str">
        <f t="shared" si="1"/>
        <v>E</v>
      </c>
      <c r="F292" s="7" t="str">
        <f t="shared" si="2"/>
        <v>Transformative change</v>
      </c>
      <c r="G292" s="7" t="str">
        <f t="shared" si="3"/>
        <v>High</v>
      </c>
      <c r="H292" s="7">
        <f t="shared" si="4"/>
        <v>2908149</v>
      </c>
      <c r="I292" s="7">
        <f t="shared" si="5"/>
        <v>1563780.073</v>
      </c>
      <c r="J292" s="7">
        <f t="shared" si="6"/>
        <v>100520</v>
      </c>
      <c r="K292" s="7">
        <f t="shared" si="8"/>
        <v>2231</v>
      </c>
    </row>
    <row r="293">
      <c r="A293" s="5" t="s">
        <v>816</v>
      </c>
      <c r="B293" s="5" t="s">
        <v>817</v>
      </c>
      <c r="C293" s="5" t="s">
        <v>818</v>
      </c>
      <c r="D293" s="6">
        <v>16137.0</v>
      </c>
      <c r="E293" s="7" t="str">
        <f t="shared" si="1"/>
        <v>A</v>
      </c>
      <c r="F293" s="7" t="str">
        <f t="shared" si="2"/>
        <v>Transformative change</v>
      </c>
      <c r="G293" s="7" t="str">
        <f t="shared" si="3"/>
        <v>Medium</v>
      </c>
      <c r="H293" s="7">
        <f t="shared" si="4"/>
        <v>1529929</v>
      </c>
      <c r="I293" s="7">
        <f t="shared" si="5"/>
        <v>839907.995</v>
      </c>
      <c r="J293" s="7">
        <f t="shared" si="6"/>
        <v>242055</v>
      </c>
      <c r="K293" s="7">
        <f t="shared" si="8"/>
        <v>140815.2899</v>
      </c>
    </row>
    <row r="294">
      <c r="A294" s="5" t="s">
        <v>819</v>
      </c>
      <c r="B294" s="5" t="s">
        <v>820</v>
      </c>
      <c r="C294" s="5" t="s">
        <v>821</v>
      </c>
      <c r="D294" s="6">
        <v>149925.0</v>
      </c>
      <c r="E294" s="7" t="str">
        <f t="shared" si="1"/>
        <v>C</v>
      </c>
      <c r="F294" s="7" t="str">
        <f t="shared" si="2"/>
        <v>Transformative change</v>
      </c>
      <c r="G294" s="7" t="str">
        <f t="shared" si="3"/>
        <v>Low</v>
      </c>
      <c r="H294" s="7">
        <f t="shared" si="4"/>
        <v>3230741</v>
      </c>
      <c r="I294" s="7">
        <f t="shared" si="5"/>
        <v>1243552.49</v>
      </c>
      <c r="J294" s="7">
        <f t="shared" si="6"/>
        <v>1949025</v>
      </c>
      <c r="K294" s="7">
        <f t="shared" si="8"/>
        <v>99254.07366</v>
      </c>
    </row>
    <row r="295">
      <c r="A295" s="5" t="s">
        <v>822</v>
      </c>
      <c r="B295" s="5" t="s">
        <v>823</v>
      </c>
      <c r="C295" s="5" t="s">
        <v>824</v>
      </c>
      <c r="D295" s="6">
        <v>16405.0</v>
      </c>
      <c r="E295" s="7" t="str">
        <f t="shared" si="1"/>
        <v>F</v>
      </c>
      <c r="F295" s="7" t="str">
        <f t="shared" si="2"/>
        <v>Transformative change</v>
      </c>
      <c r="G295" s="7" t="str">
        <f t="shared" si="3"/>
        <v>Low</v>
      </c>
      <c r="H295" s="7">
        <f t="shared" si="4"/>
        <v>343440</v>
      </c>
      <c r="I295" s="7">
        <f t="shared" si="5"/>
        <v>81321.00788</v>
      </c>
      <c r="J295" s="7">
        <f t="shared" si="6"/>
        <v>98430</v>
      </c>
      <c r="K295" s="7">
        <f t="shared" si="8"/>
        <v>1241.792945</v>
      </c>
    </row>
    <row r="296">
      <c r="A296" s="5" t="s">
        <v>825</v>
      </c>
      <c r="B296" s="5" t="s">
        <v>826</v>
      </c>
      <c r="C296" s="5" t="s">
        <v>827</v>
      </c>
      <c r="D296" s="6">
        <v>5506.0</v>
      </c>
      <c r="E296" s="7" t="str">
        <f t="shared" si="1"/>
        <v>G</v>
      </c>
      <c r="F296" s="7" t="str">
        <f t="shared" si="2"/>
        <v>High ambition</v>
      </c>
      <c r="G296" s="7" t="str">
        <f t="shared" si="3"/>
        <v>High</v>
      </c>
      <c r="H296" s="7">
        <f t="shared" si="4"/>
        <v>1130976</v>
      </c>
      <c r="I296" s="7">
        <f t="shared" si="5"/>
        <v>94752.30852</v>
      </c>
      <c r="J296" s="7">
        <f t="shared" si="6"/>
        <v>55060</v>
      </c>
      <c r="K296" s="7">
        <f t="shared" si="8"/>
        <v>2231</v>
      </c>
    </row>
    <row r="297">
      <c r="A297" s="5" t="s">
        <v>828</v>
      </c>
      <c r="B297" s="5" t="s">
        <v>829</v>
      </c>
      <c r="C297" s="5" t="s">
        <v>74</v>
      </c>
      <c r="D297" s="6">
        <v>19985.0</v>
      </c>
      <c r="E297" s="7" t="str">
        <f t="shared" si="1"/>
        <v>A</v>
      </c>
      <c r="F297" s="7" t="str">
        <f t="shared" si="2"/>
        <v>Transformative change</v>
      </c>
      <c r="G297" s="7" t="str">
        <f t="shared" si="3"/>
        <v>Low</v>
      </c>
      <c r="H297" s="7">
        <f t="shared" si="4"/>
        <v>1546862</v>
      </c>
      <c r="I297" s="7">
        <f t="shared" si="5"/>
        <v>231698.0525</v>
      </c>
      <c r="J297" s="7">
        <f t="shared" si="6"/>
        <v>279790</v>
      </c>
      <c r="K297" s="7">
        <f t="shared" si="8"/>
        <v>2326.658992</v>
      </c>
    </row>
    <row r="298">
      <c r="A298" s="5" t="s">
        <v>830</v>
      </c>
      <c r="B298" s="5" t="s">
        <v>831</v>
      </c>
      <c r="C298" s="5" t="s">
        <v>832</v>
      </c>
      <c r="D298" s="6">
        <v>52856.0</v>
      </c>
      <c r="E298" s="7" t="str">
        <f t="shared" si="1"/>
        <v>F</v>
      </c>
      <c r="F298" s="7" t="str">
        <f t="shared" si="2"/>
        <v>High ambition</v>
      </c>
      <c r="G298" s="7" t="str">
        <f t="shared" si="3"/>
        <v>High</v>
      </c>
      <c r="H298" s="7">
        <f t="shared" si="4"/>
        <v>1426564</v>
      </c>
      <c r="I298" s="7">
        <f t="shared" si="5"/>
        <v>980079.5664</v>
      </c>
      <c r="J298" s="7">
        <f t="shared" si="6"/>
        <v>475704</v>
      </c>
      <c r="K298" s="7">
        <f t="shared" si="8"/>
        <v>2231</v>
      </c>
    </row>
    <row r="299">
      <c r="A299" s="5" t="s">
        <v>833</v>
      </c>
      <c r="B299" s="5" t="s">
        <v>834</v>
      </c>
      <c r="C299" s="5" t="s">
        <v>238</v>
      </c>
      <c r="D299" s="6">
        <v>5433.0</v>
      </c>
      <c r="E299" s="7" t="str">
        <f t="shared" si="1"/>
        <v>G</v>
      </c>
      <c r="F299" s="7" t="str">
        <f t="shared" si="2"/>
        <v>Transformative change</v>
      </c>
      <c r="G299" s="7" t="str">
        <f t="shared" si="3"/>
        <v>High</v>
      </c>
      <c r="H299" s="7">
        <f t="shared" si="4"/>
        <v>3700657</v>
      </c>
      <c r="I299" s="7">
        <f t="shared" si="5"/>
        <v>1740126.932</v>
      </c>
      <c r="J299" s="7">
        <f t="shared" si="6"/>
        <v>38031</v>
      </c>
      <c r="K299" s="7">
        <f t="shared" si="8"/>
        <v>4630.035282</v>
      </c>
    </row>
    <row r="300">
      <c r="A300" s="5" t="s">
        <v>835</v>
      </c>
      <c r="B300" s="5" t="s">
        <v>836</v>
      </c>
      <c r="C300" s="5" t="s">
        <v>837</v>
      </c>
      <c r="D300" s="6">
        <v>7539.0</v>
      </c>
      <c r="E300" s="7" t="str">
        <f t="shared" si="1"/>
        <v>E</v>
      </c>
      <c r="F300" s="7" t="str">
        <f t="shared" si="2"/>
        <v>Transformative change</v>
      </c>
      <c r="G300" s="7" t="str">
        <f t="shared" si="3"/>
        <v>High</v>
      </c>
      <c r="H300" s="7">
        <f t="shared" si="4"/>
        <v>1864634</v>
      </c>
      <c r="I300" s="7">
        <f t="shared" si="5"/>
        <v>894290.1944</v>
      </c>
      <c r="J300" s="7">
        <f t="shared" si="6"/>
        <v>52773</v>
      </c>
      <c r="K300" s="7">
        <f t="shared" si="8"/>
        <v>2231</v>
      </c>
    </row>
    <row r="301">
      <c r="A301" s="5" t="s">
        <v>838</v>
      </c>
      <c r="B301" s="5" t="s">
        <v>839</v>
      </c>
      <c r="C301" s="5" t="s">
        <v>840</v>
      </c>
      <c r="D301" s="6">
        <v>335638.0</v>
      </c>
      <c r="E301" s="7" t="str">
        <f t="shared" si="1"/>
        <v>E</v>
      </c>
      <c r="F301" s="7" t="str">
        <f t="shared" si="2"/>
        <v>Transformative change</v>
      </c>
      <c r="G301" s="7" t="str">
        <f t="shared" si="3"/>
        <v>Medium</v>
      </c>
      <c r="H301" s="7">
        <f t="shared" si="4"/>
        <v>2130258</v>
      </c>
      <c r="I301" s="7">
        <f t="shared" si="5"/>
        <v>576324.3556</v>
      </c>
      <c r="J301" s="7">
        <f t="shared" si="6"/>
        <v>4698932</v>
      </c>
      <c r="K301" s="7">
        <f t="shared" si="8"/>
        <v>28783.8952</v>
      </c>
    </row>
    <row r="302">
      <c r="A302" s="5" t="s">
        <v>841</v>
      </c>
      <c r="B302" s="5" t="s">
        <v>842</v>
      </c>
      <c r="C302" s="5" t="s">
        <v>843</v>
      </c>
      <c r="D302" s="6">
        <v>8074.0</v>
      </c>
      <c r="E302" s="7" t="str">
        <f t="shared" si="1"/>
        <v>B</v>
      </c>
      <c r="F302" s="7" t="str">
        <f t="shared" si="2"/>
        <v>Transformative change</v>
      </c>
      <c r="G302" s="7" t="str">
        <f t="shared" si="3"/>
        <v>Medium</v>
      </c>
      <c r="H302" s="7">
        <f t="shared" si="4"/>
        <v>713847</v>
      </c>
      <c r="I302" s="7">
        <f t="shared" si="5"/>
        <v>452492.0409</v>
      </c>
      <c r="J302" s="7">
        <f t="shared" si="6"/>
        <v>88814</v>
      </c>
      <c r="K302" s="7">
        <f t="shared" si="8"/>
        <v>2498.361813</v>
      </c>
    </row>
    <row r="303">
      <c r="A303" s="5" t="s">
        <v>844</v>
      </c>
      <c r="B303" s="5" t="s">
        <v>845</v>
      </c>
      <c r="C303" s="5" t="s">
        <v>74</v>
      </c>
      <c r="D303" s="6">
        <v>11487.0</v>
      </c>
      <c r="E303" s="7" t="str">
        <f t="shared" si="1"/>
        <v>D</v>
      </c>
      <c r="F303" s="7" t="str">
        <f t="shared" si="2"/>
        <v>Transformative change</v>
      </c>
      <c r="G303" s="7" t="str">
        <f t="shared" si="3"/>
        <v>Medium</v>
      </c>
      <c r="H303" s="7">
        <f t="shared" si="4"/>
        <v>1265839</v>
      </c>
      <c r="I303" s="7">
        <f t="shared" si="5"/>
        <v>302399.9908</v>
      </c>
      <c r="J303" s="7">
        <f t="shared" si="6"/>
        <v>126357</v>
      </c>
      <c r="K303" s="7">
        <f t="shared" si="8"/>
        <v>2231</v>
      </c>
    </row>
    <row r="304">
      <c r="A304" s="5" t="s">
        <v>846</v>
      </c>
      <c r="B304" s="5" t="s">
        <v>847</v>
      </c>
      <c r="C304" s="5" t="s">
        <v>848</v>
      </c>
      <c r="D304" s="6">
        <v>16900.0</v>
      </c>
      <c r="E304" s="7" t="str">
        <f t="shared" si="1"/>
        <v>D</v>
      </c>
      <c r="F304" s="7" t="str">
        <f t="shared" si="2"/>
        <v>Transformative change</v>
      </c>
      <c r="G304" s="7" t="str">
        <f t="shared" si="3"/>
        <v>Medium</v>
      </c>
      <c r="H304" s="7">
        <f t="shared" si="4"/>
        <v>3404096</v>
      </c>
      <c r="I304" s="7">
        <f t="shared" si="5"/>
        <v>3065256.475</v>
      </c>
      <c r="J304" s="7">
        <f t="shared" si="6"/>
        <v>101400</v>
      </c>
      <c r="K304" s="7">
        <f t="shared" si="8"/>
        <v>22723.91712</v>
      </c>
    </row>
    <row r="305">
      <c r="A305" s="5" t="s">
        <v>849</v>
      </c>
      <c r="B305" s="5" t="s">
        <v>850</v>
      </c>
      <c r="C305" s="5" t="s">
        <v>851</v>
      </c>
      <c r="D305" s="6">
        <v>15728.0</v>
      </c>
      <c r="E305" s="7" t="str">
        <f t="shared" si="1"/>
        <v>B</v>
      </c>
      <c r="F305" s="7" t="str">
        <f t="shared" si="2"/>
        <v>Transformative change</v>
      </c>
      <c r="G305" s="7" t="str">
        <f t="shared" si="3"/>
        <v>Low</v>
      </c>
      <c r="H305" s="7">
        <f t="shared" si="4"/>
        <v>2974868</v>
      </c>
      <c r="I305" s="7">
        <f t="shared" si="5"/>
        <v>112380.8596</v>
      </c>
      <c r="J305" s="7">
        <f t="shared" si="6"/>
        <v>141552</v>
      </c>
      <c r="K305" s="7">
        <f t="shared" si="8"/>
        <v>2231</v>
      </c>
    </row>
    <row r="306">
      <c r="A306" s="5" t="s">
        <v>852</v>
      </c>
      <c r="B306" s="5" t="s">
        <v>853</v>
      </c>
      <c r="C306" s="5" t="s">
        <v>854</v>
      </c>
      <c r="D306" s="6">
        <v>5691.0</v>
      </c>
      <c r="E306" s="7" t="str">
        <f t="shared" si="1"/>
        <v>D</v>
      </c>
      <c r="F306" s="7" t="str">
        <f t="shared" si="2"/>
        <v>High ambition</v>
      </c>
      <c r="G306" s="7" t="str">
        <f t="shared" si="3"/>
        <v>Medium</v>
      </c>
      <c r="H306" s="7">
        <f t="shared" si="4"/>
        <v>2837158</v>
      </c>
      <c r="I306" s="7">
        <f t="shared" si="5"/>
        <v>1113049.638</v>
      </c>
      <c r="J306" s="7">
        <f t="shared" si="6"/>
        <v>62601</v>
      </c>
      <c r="K306" s="7">
        <f t="shared" si="8"/>
        <v>2231</v>
      </c>
    </row>
    <row r="307">
      <c r="A307" s="5" t="s">
        <v>855</v>
      </c>
      <c r="B307" s="5" t="s">
        <v>856</v>
      </c>
      <c r="C307" s="5" t="s">
        <v>857</v>
      </c>
      <c r="D307" s="6">
        <v>10794.0</v>
      </c>
      <c r="E307" s="7" t="str">
        <f t="shared" si="1"/>
        <v>B</v>
      </c>
      <c r="F307" s="7" t="str">
        <f t="shared" si="2"/>
        <v>Transformative change</v>
      </c>
      <c r="G307" s="7" t="str">
        <f t="shared" si="3"/>
        <v>Medium</v>
      </c>
      <c r="H307" s="7">
        <f t="shared" si="4"/>
        <v>78798</v>
      </c>
      <c r="I307" s="7">
        <f t="shared" si="5"/>
        <v>37878.62585</v>
      </c>
      <c r="J307" s="7">
        <f t="shared" si="6"/>
        <v>53970</v>
      </c>
      <c r="K307" s="7">
        <f t="shared" si="8"/>
        <v>2231</v>
      </c>
    </row>
    <row r="308">
      <c r="A308" s="5" t="s">
        <v>858</v>
      </c>
      <c r="B308" s="5" t="s">
        <v>859</v>
      </c>
      <c r="C308" s="5" t="s">
        <v>860</v>
      </c>
      <c r="D308" s="6">
        <v>19393.0</v>
      </c>
      <c r="E308" s="7" t="str">
        <f t="shared" si="1"/>
        <v>B</v>
      </c>
      <c r="F308" s="7" t="str">
        <f t="shared" si="2"/>
        <v>High ambition</v>
      </c>
      <c r="G308" s="7" t="str">
        <f t="shared" si="3"/>
        <v>Low</v>
      </c>
      <c r="H308" s="7">
        <f t="shared" si="4"/>
        <v>2989180</v>
      </c>
      <c r="I308" s="7">
        <f t="shared" si="5"/>
        <v>2664328.339</v>
      </c>
      <c r="J308" s="7">
        <f t="shared" si="6"/>
        <v>232716</v>
      </c>
      <c r="K308" s="7">
        <f t="shared" si="8"/>
        <v>96.5839078</v>
      </c>
    </row>
    <row r="309">
      <c r="A309" s="5" t="s">
        <v>861</v>
      </c>
      <c r="B309" s="5" t="s">
        <v>862</v>
      </c>
      <c r="C309" s="5" t="s">
        <v>863</v>
      </c>
      <c r="D309" s="6">
        <v>8652.0</v>
      </c>
      <c r="E309" s="7" t="str">
        <f t="shared" si="1"/>
        <v>A</v>
      </c>
      <c r="F309" s="7" t="str">
        <f t="shared" si="2"/>
        <v>Transformative change</v>
      </c>
      <c r="G309" s="7" t="str">
        <f t="shared" si="3"/>
        <v>Medium</v>
      </c>
      <c r="H309" s="7">
        <f t="shared" si="4"/>
        <v>2160827</v>
      </c>
      <c r="I309" s="7">
        <f t="shared" si="5"/>
        <v>2037792.976</v>
      </c>
      <c r="J309" s="7">
        <f t="shared" si="6"/>
        <v>103824</v>
      </c>
      <c r="K309" s="7">
        <f t="shared" si="8"/>
        <v>15264.14323</v>
      </c>
    </row>
    <row r="310">
      <c r="A310" s="5" t="s">
        <v>864</v>
      </c>
      <c r="B310" s="5" t="s">
        <v>865</v>
      </c>
      <c r="C310" s="5" t="s">
        <v>866</v>
      </c>
      <c r="D310" s="6">
        <v>14336.0</v>
      </c>
      <c r="E310" s="7" t="str">
        <f t="shared" si="1"/>
        <v>D</v>
      </c>
      <c r="F310" s="7" t="str">
        <f t="shared" si="2"/>
        <v>Transformative change</v>
      </c>
      <c r="G310" s="7" t="str">
        <f t="shared" si="3"/>
        <v>Low</v>
      </c>
      <c r="H310" s="7">
        <f t="shared" si="4"/>
        <v>1809553</v>
      </c>
      <c r="I310" s="7">
        <f t="shared" si="5"/>
        <v>810194.6437</v>
      </c>
      <c r="J310" s="7">
        <f t="shared" si="6"/>
        <v>172032</v>
      </c>
      <c r="K310" s="7">
        <f t="shared" si="8"/>
        <v>146454.83</v>
      </c>
    </row>
    <row r="311">
      <c r="A311" s="5" t="s">
        <v>867</v>
      </c>
      <c r="B311" s="5" t="s">
        <v>868</v>
      </c>
      <c r="C311" s="5" t="s">
        <v>869</v>
      </c>
      <c r="D311" s="6">
        <v>17548.0</v>
      </c>
      <c r="E311" s="7" t="str">
        <f t="shared" si="1"/>
        <v>A</v>
      </c>
      <c r="F311" s="7" t="str">
        <f t="shared" si="2"/>
        <v>Transformative change</v>
      </c>
      <c r="G311" s="7" t="str">
        <f t="shared" si="3"/>
        <v>Low</v>
      </c>
      <c r="H311" s="7">
        <f t="shared" si="4"/>
        <v>2733478</v>
      </c>
      <c r="I311" s="7">
        <f t="shared" si="5"/>
        <v>337850.3928</v>
      </c>
      <c r="J311" s="7">
        <f t="shared" si="6"/>
        <v>263220</v>
      </c>
      <c r="K311" s="7">
        <f t="shared" si="8"/>
        <v>2231</v>
      </c>
    </row>
    <row r="312">
      <c r="A312" s="5" t="s">
        <v>870</v>
      </c>
      <c r="B312" s="5" t="s">
        <v>871</v>
      </c>
      <c r="C312" s="5" t="s">
        <v>872</v>
      </c>
      <c r="D312" s="6">
        <v>8946.0</v>
      </c>
      <c r="E312" s="7" t="str">
        <f t="shared" si="1"/>
        <v>G</v>
      </c>
      <c r="F312" s="7" t="str">
        <f t="shared" si="2"/>
        <v>Transformative change</v>
      </c>
      <c r="G312" s="7" t="str">
        <f t="shared" si="3"/>
        <v>Medium</v>
      </c>
      <c r="H312" s="7">
        <f t="shared" si="4"/>
        <v>1590700</v>
      </c>
      <c r="I312" s="7">
        <f t="shared" si="5"/>
        <v>560080.2176</v>
      </c>
      <c r="J312" s="7">
        <f t="shared" si="6"/>
        <v>53676</v>
      </c>
      <c r="K312" s="7">
        <f t="shared" si="8"/>
        <v>2231</v>
      </c>
    </row>
    <row r="313">
      <c r="A313" s="5" t="s">
        <v>873</v>
      </c>
      <c r="B313" s="5" t="s">
        <v>874</v>
      </c>
      <c r="C313" s="5" t="s">
        <v>875</v>
      </c>
      <c r="D313" s="6">
        <v>48467.0</v>
      </c>
      <c r="E313" s="7" t="str">
        <f t="shared" si="1"/>
        <v>D</v>
      </c>
      <c r="F313" s="7" t="str">
        <f t="shared" si="2"/>
        <v>Transformative change</v>
      </c>
      <c r="G313" s="7" t="str">
        <f t="shared" si="3"/>
        <v>High</v>
      </c>
      <c r="H313" s="7">
        <f t="shared" si="4"/>
        <v>2402874</v>
      </c>
      <c r="I313" s="7">
        <f t="shared" si="5"/>
        <v>1061922.106</v>
      </c>
      <c r="J313" s="7">
        <f t="shared" si="6"/>
        <v>387736</v>
      </c>
      <c r="K313" s="7">
        <f t="shared" si="8"/>
        <v>492.8209254</v>
      </c>
    </row>
    <row r="314">
      <c r="A314" s="5" t="s">
        <v>876</v>
      </c>
      <c r="B314" s="5" t="s">
        <v>877</v>
      </c>
      <c r="C314" s="5" t="s">
        <v>878</v>
      </c>
      <c r="D314" s="6">
        <v>7293.0</v>
      </c>
      <c r="E314" s="7" t="str">
        <f t="shared" si="1"/>
        <v>E</v>
      </c>
      <c r="F314" s="7" t="str">
        <f t="shared" si="2"/>
        <v>Transformative change</v>
      </c>
      <c r="G314" s="7" t="str">
        <f t="shared" si="3"/>
        <v>High</v>
      </c>
      <c r="H314" s="7">
        <f t="shared" si="4"/>
        <v>2699525</v>
      </c>
      <c r="I314" s="7">
        <f t="shared" si="5"/>
        <v>2262254.441</v>
      </c>
      <c r="J314" s="7">
        <f t="shared" si="6"/>
        <v>102102</v>
      </c>
      <c r="K314" s="7">
        <f t="shared" si="8"/>
        <v>4.44771509</v>
      </c>
    </row>
    <row r="315">
      <c r="A315" s="5" t="s">
        <v>879</v>
      </c>
      <c r="B315" s="5" t="s">
        <v>880</v>
      </c>
      <c r="C315" s="5" t="s">
        <v>881</v>
      </c>
      <c r="D315" s="6">
        <v>13356.0</v>
      </c>
      <c r="E315" s="7" t="str">
        <f t="shared" si="1"/>
        <v>B</v>
      </c>
      <c r="F315" s="7" t="str">
        <f t="shared" si="2"/>
        <v>High ambition</v>
      </c>
      <c r="G315" s="7" t="str">
        <f t="shared" si="3"/>
        <v>Low</v>
      </c>
      <c r="H315" s="7">
        <f t="shared" si="4"/>
        <v>3200875</v>
      </c>
      <c r="I315" s="7">
        <f t="shared" si="5"/>
        <v>3185386.103</v>
      </c>
      <c r="J315" s="7">
        <f t="shared" si="6"/>
        <v>120204</v>
      </c>
      <c r="K315" s="7">
        <f t="shared" si="8"/>
        <v>110720.7572</v>
      </c>
    </row>
    <row r="316">
      <c r="A316" s="5" t="s">
        <v>882</v>
      </c>
      <c r="B316" s="5" t="s">
        <v>883</v>
      </c>
      <c r="C316" s="5" t="s">
        <v>884</v>
      </c>
      <c r="D316" s="6">
        <v>9491.0</v>
      </c>
      <c r="E316" s="7" t="str">
        <f t="shared" si="1"/>
        <v>A</v>
      </c>
      <c r="F316" s="7" t="str">
        <f t="shared" si="2"/>
        <v>Transformative change</v>
      </c>
      <c r="G316" s="7" t="str">
        <f t="shared" si="3"/>
        <v>Medium</v>
      </c>
      <c r="H316" s="7">
        <f t="shared" si="4"/>
        <v>3343712</v>
      </c>
      <c r="I316" s="7">
        <f t="shared" si="5"/>
        <v>403791.4754</v>
      </c>
      <c r="J316" s="7">
        <f t="shared" si="6"/>
        <v>56946</v>
      </c>
      <c r="K316" s="7">
        <f t="shared" si="8"/>
        <v>882.2308637</v>
      </c>
    </row>
    <row r="317">
      <c r="A317" s="5" t="s">
        <v>885</v>
      </c>
      <c r="B317" s="5" t="s">
        <v>886</v>
      </c>
      <c r="C317" s="5" t="s">
        <v>74</v>
      </c>
      <c r="D317" s="6">
        <v>800980.0</v>
      </c>
      <c r="E317" s="7" t="str">
        <f t="shared" si="1"/>
        <v>F</v>
      </c>
      <c r="F317" s="7" t="str">
        <f t="shared" si="2"/>
        <v>Transformative change</v>
      </c>
      <c r="G317" s="7" t="str">
        <f t="shared" si="3"/>
        <v>High</v>
      </c>
      <c r="H317" s="7">
        <f t="shared" si="4"/>
        <v>1516857</v>
      </c>
      <c r="I317" s="7">
        <f t="shared" si="5"/>
        <v>156161.0912</v>
      </c>
      <c r="J317" s="7">
        <f t="shared" si="6"/>
        <v>4004900</v>
      </c>
      <c r="K317" s="7">
        <f t="shared" si="8"/>
        <v>1825683.939</v>
      </c>
    </row>
    <row r="318">
      <c r="A318" s="5" t="s">
        <v>887</v>
      </c>
      <c r="B318" s="5" t="s">
        <v>888</v>
      </c>
      <c r="C318" s="5" t="s">
        <v>74</v>
      </c>
      <c r="D318" s="6">
        <v>8680.0</v>
      </c>
      <c r="E318" s="7" t="str">
        <f t="shared" si="1"/>
        <v>C</v>
      </c>
      <c r="F318" s="7" t="str">
        <f t="shared" si="2"/>
        <v>Transformative change</v>
      </c>
      <c r="G318" s="7" t="str">
        <f t="shared" si="3"/>
        <v>High</v>
      </c>
      <c r="H318" s="7">
        <f t="shared" si="4"/>
        <v>654796</v>
      </c>
      <c r="I318" s="7">
        <f t="shared" si="5"/>
        <v>388157.8203</v>
      </c>
      <c r="J318" s="7">
        <f t="shared" si="6"/>
        <v>69440</v>
      </c>
      <c r="K318" s="7">
        <f t="shared" si="8"/>
        <v>3594.294028</v>
      </c>
    </row>
    <row r="319">
      <c r="A319" s="5" t="s">
        <v>889</v>
      </c>
      <c r="B319" s="5" t="s">
        <v>890</v>
      </c>
      <c r="C319" s="5" t="s">
        <v>891</v>
      </c>
      <c r="D319" s="6">
        <v>6998.0</v>
      </c>
      <c r="E319" s="7" t="str">
        <f t="shared" si="1"/>
        <v>B</v>
      </c>
      <c r="F319" s="7" t="str">
        <f t="shared" si="2"/>
        <v>Transformative change</v>
      </c>
      <c r="G319" s="7" t="str">
        <f t="shared" si="3"/>
        <v>High</v>
      </c>
      <c r="H319" s="7">
        <f t="shared" si="4"/>
        <v>3367757</v>
      </c>
      <c r="I319" s="7">
        <f t="shared" si="5"/>
        <v>155072.6741</v>
      </c>
      <c r="J319" s="7">
        <f t="shared" si="6"/>
        <v>83976</v>
      </c>
      <c r="K319" s="7">
        <f t="shared" si="8"/>
        <v>2231</v>
      </c>
    </row>
    <row r="320">
      <c r="A320" s="5" t="s">
        <v>892</v>
      </c>
      <c r="B320" s="5" t="s">
        <v>893</v>
      </c>
      <c r="C320" s="5" t="s">
        <v>394</v>
      </c>
      <c r="D320" s="6">
        <v>14338.0</v>
      </c>
      <c r="E320" s="7" t="str">
        <f t="shared" si="1"/>
        <v>B</v>
      </c>
      <c r="F320" s="7" t="str">
        <f t="shared" si="2"/>
        <v>High ambition</v>
      </c>
      <c r="G320" s="7" t="str">
        <f t="shared" si="3"/>
        <v>Medium</v>
      </c>
      <c r="H320" s="7">
        <f t="shared" si="4"/>
        <v>1444869</v>
      </c>
      <c r="I320" s="7">
        <f t="shared" si="5"/>
        <v>262744.5543</v>
      </c>
      <c r="J320" s="7">
        <f t="shared" si="6"/>
        <v>86028</v>
      </c>
      <c r="K320" s="7">
        <f t="shared" si="8"/>
        <v>760.8668459</v>
      </c>
    </row>
    <row r="321">
      <c r="A321" s="5" t="s">
        <v>894</v>
      </c>
      <c r="B321" s="5" t="s">
        <v>895</v>
      </c>
      <c r="C321" s="5" t="s">
        <v>74</v>
      </c>
      <c r="D321" s="6">
        <v>19596.0</v>
      </c>
      <c r="E321" s="7" t="str">
        <f t="shared" si="1"/>
        <v>A</v>
      </c>
      <c r="F321" s="7" t="str">
        <f t="shared" si="2"/>
        <v>Transformative change</v>
      </c>
      <c r="G321" s="7" t="str">
        <f t="shared" si="3"/>
        <v>High</v>
      </c>
      <c r="H321" s="7">
        <f t="shared" si="4"/>
        <v>1738047</v>
      </c>
      <c r="I321" s="7">
        <f t="shared" si="5"/>
        <v>1123870.723</v>
      </c>
      <c r="J321" s="7">
        <f t="shared" si="6"/>
        <v>176364</v>
      </c>
      <c r="K321" s="7">
        <f t="shared" si="8"/>
        <v>0.00001445735149</v>
      </c>
    </row>
    <row r="322">
      <c r="A322" s="5" t="s">
        <v>896</v>
      </c>
      <c r="B322" s="5" t="s">
        <v>897</v>
      </c>
      <c r="C322" s="5" t="s">
        <v>898</v>
      </c>
      <c r="D322" s="6">
        <v>19349.0</v>
      </c>
      <c r="E322" s="7" t="str">
        <f t="shared" si="1"/>
        <v>G</v>
      </c>
      <c r="F322" s="7" t="str">
        <f t="shared" si="2"/>
        <v>Transformative change</v>
      </c>
      <c r="G322" s="7" t="str">
        <f t="shared" si="3"/>
        <v>Medium</v>
      </c>
      <c r="H322" s="7">
        <f t="shared" si="4"/>
        <v>1575002</v>
      </c>
      <c r="I322" s="7">
        <f t="shared" si="5"/>
        <v>47882.67201</v>
      </c>
      <c r="J322" s="7">
        <f t="shared" si="6"/>
        <v>290235</v>
      </c>
      <c r="K322" s="7">
        <f t="shared" si="8"/>
        <v>275415.8132</v>
      </c>
    </row>
    <row r="323">
      <c r="A323" s="5" t="s">
        <v>899</v>
      </c>
      <c r="B323" s="5" t="s">
        <v>900</v>
      </c>
      <c r="C323" s="5" t="s">
        <v>901</v>
      </c>
      <c r="D323" s="6">
        <v>215865.0</v>
      </c>
      <c r="E323" s="7" t="str">
        <f t="shared" si="1"/>
        <v>D</v>
      </c>
      <c r="F323" s="7" t="str">
        <f t="shared" si="2"/>
        <v>Transformative change</v>
      </c>
      <c r="G323" s="7" t="str">
        <f t="shared" si="3"/>
        <v>Medium</v>
      </c>
      <c r="H323" s="7">
        <f t="shared" si="4"/>
        <v>280710</v>
      </c>
      <c r="I323" s="7">
        <f t="shared" si="5"/>
        <v>239161.4574</v>
      </c>
      <c r="J323" s="7">
        <f t="shared" si="6"/>
        <v>2158650</v>
      </c>
      <c r="K323" s="7">
        <f t="shared" si="8"/>
        <v>2231</v>
      </c>
    </row>
    <row r="324">
      <c r="A324" s="5" t="s">
        <v>902</v>
      </c>
      <c r="B324" s="5" t="s">
        <v>903</v>
      </c>
      <c r="C324" s="5" t="s">
        <v>904</v>
      </c>
      <c r="D324" s="6">
        <v>7756.0</v>
      </c>
      <c r="E324" s="7" t="str">
        <f t="shared" si="1"/>
        <v>C</v>
      </c>
      <c r="F324" s="7" t="str">
        <f t="shared" si="2"/>
        <v>High ambition</v>
      </c>
      <c r="G324" s="7" t="str">
        <f t="shared" si="3"/>
        <v>High</v>
      </c>
      <c r="H324" s="7">
        <f t="shared" si="4"/>
        <v>2720937</v>
      </c>
      <c r="I324" s="7">
        <f t="shared" si="5"/>
        <v>2115636.255</v>
      </c>
      <c r="J324" s="7">
        <f t="shared" si="6"/>
        <v>54292</v>
      </c>
      <c r="K324" s="7">
        <f t="shared" si="8"/>
        <v>2231</v>
      </c>
    </row>
    <row r="325">
      <c r="A325" s="5" t="s">
        <v>905</v>
      </c>
      <c r="B325" s="5" t="s">
        <v>906</v>
      </c>
      <c r="C325" s="5" t="s">
        <v>653</v>
      </c>
      <c r="D325" s="6">
        <v>11168.0</v>
      </c>
      <c r="E325" s="7" t="str">
        <f t="shared" si="1"/>
        <v>C</v>
      </c>
      <c r="F325" s="7" t="str">
        <f t="shared" si="2"/>
        <v>Transformative change</v>
      </c>
      <c r="G325" s="7" t="str">
        <f t="shared" si="3"/>
        <v>Low</v>
      </c>
      <c r="H325" s="7">
        <f t="shared" si="4"/>
        <v>2235800</v>
      </c>
      <c r="I325" s="7">
        <f t="shared" si="5"/>
        <v>1038021.01</v>
      </c>
      <c r="J325" s="7">
        <f t="shared" si="6"/>
        <v>44672</v>
      </c>
      <c r="K325" s="7">
        <f t="shared" si="8"/>
        <v>6471.956299</v>
      </c>
    </row>
    <row r="326">
      <c r="A326" s="5" t="s">
        <v>907</v>
      </c>
      <c r="B326" s="5" t="s">
        <v>908</v>
      </c>
      <c r="C326" s="5" t="s">
        <v>909</v>
      </c>
      <c r="D326" s="6">
        <v>17413.0</v>
      </c>
      <c r="E326" s="7" t="str">
        <f t="shared" si="1"/>
        <v>E</v>
      </c>
      <c r="F326" s="7" t="str">
        <f t="shared" si="2"/>
        <v>Transformative change</v>
      </c>
      <c r="G326" s="7" t="str">
        <f t="shared" si="3"/>
        <v>Low</v>
      </c>
      <c r="H326" s="7">
        <f t="shared" si="4"/>
        <v>515288</v>
      </c>
      <c r="I326" s="7">
        <f t="shared" si="5"/>
        <v>419960.5693</v>
      </c>
      <c r="J326" s="7">
        <f t="shared" si="6"/>
        <v>139304</v>
      </c>
      <c r="K326" s="7">
        <f t="shared" si="8"/>
        <v>2231</v>
      </c>
    </row>
    <row r="327">
      <c r="A327" s="5" t="s">
        <v>910</v>
      </c>
      <c r="B327" s="5" t="s">
        <v>911</v>
      </c>
      <c r="C327" s="5" t="s">
        <v>912</v>
      </c>
      <c r="D327" s="6">
        <v>15262.0</v>
      </c>
      <c r="E327" s="7" t="str">
        <f t="shared" si="1"/>
        <v>D</v>
      </c>
      <c r="F327" s="7" t="str">
        <f t="shared" si="2"/>
        <v>Transformative change</v>
      </c>
      <c r="G327" s="7" t="str">
        <f t="shared" si="3"/>
        <v>High</v>
      </c>
      <c r="H327" s="7">
        <f t="shared" si="4"/>
        <v>1995053</v>
      </c>
      <c r="I327" s="7">
        <f t="shared" si="5"/>
        <v>1215591.813</v>
      </c>
      <c r="J327" s="7">
        <f t="shared" si="6"/>
        <v>228930</v>
      </c>
      <c r="K327" s="7">
        <f t="shared" si="8"/>
        <v>2231</v>
      </c>
    </row>
    <row r="328">
      <c r="A328" s="5" t="s">
        <v>913</v>
      </c>
      <c r="B328" s="5" t="s">
        <v>914</v>
      </c>
      <c r="C328" s="5" t="s">
        <v>915</v>
      </c>
      <c r="D328" s="6">
        <v>12591.0</v>
      </c>
      <c r="E328" s="7" t="str">
        <f t="shared" si="1"/>
        <v>F</v>
      </c>
      <c r="F328" s="7" t="str">
        <f t="shared" si="2"/>
        <v>Transformative change</v>
      </c>
      <c r="G328" s="7" t="str">
        <f t="shared" si="3"/>
        <v>Medium</v>
      </c>
      <c r="H328" s="7">
        <f t="shared" si="4"/>
        <v>1505482</v>
      </c>
      <c r="I328" s="7">
        <f t="shared" si="5"/>
        <v>1428390.923</v>
      </c>
      <c r="J328" s="7">
        <f t="shared" si="6"/>
        <v>163683</v>
      </c>
      <c r="K328" s="7">
        <f t="shared" si="8"/>
        <v>15999.94753</v>
      </c>
    </row>
    <row r="329">
      <c r="A329" s="5" t="s">
        <v>916</v>
      </c>
      <c r="B329" s="5" t="s">
        <v>917</v>
      </c>
      <c r="C329" s="5" t="s">
        <v>918</v>
      </c>
      <c r="D329" s="6">
        <v>18699.0</v>
      </c>
      <c r="E329" s="7" t="str">
        <f t="shared" si="1"/>
        <v>F</v>
      </c>
      <c r="F329" s="7" t="str">
        <f t="shared" si="2"/>
        <v>Transformative change</v>
      </c>
      <c r="G329" s="7" t="str">
        <f t="shared" si="3"/>
        <v>Low</v>
      </c>
      <c r="H329" s="7">
        <f t="shared" si="4"/>
        <v>3519100</v>
      </c>
      <c r="I329" s="7">
        <f t="shared" si="5"/>
        <v>1606035.256</v>
      </c>
      <c r="J329" s="7">
        <f t="shared" si="6"/>
        <v>149592</v>
      </c>
      <c r="K329" s="7">
        <f t="shared" si="8"/>
        <v>2121.945135</v>
      </c>
    </row>
    <row r="330">
      <c r="A330" s="5" t="s">
        <v>919</v>
      </c>
      <c r="B330" s="5" t="s">
        <v>920</v>
      </c>
      <c r="C330" s="5" t="s">
        <v>921</v>
      </c>
      <c r="D330" s="6">
        <v>15184.0</v>
      </c>
      <c r="E330" s="7" t="str">
        <f t="shared" si="1"/>
        <v>G</v>
      </c>
      <c r="F330" s="7" t="str">
        <f t="shared" si="2"/>
        <v>Transformative change</v>
      </c>
      <c r="G330" s="7" t="str">
        <f t="shared" si="3"/>
        <v>High</v>
      </c>
      <c r="H330" s="7">
        <f t="shared" si="4"/>
        <v>1212852</v>
      </c>
      <c r="I330" s="7">
        <f t="shared" si="5"/>
        <v>1123134.517</v>
      </c>
      <c r="J330" s="7">
        <f t="shared" si="6"/>
        <v>167024</v>
      </c>
      <c r="K330" s="7">
        <f t="shared" si="8"/>
        <v>2231</v>
      </c>
    </row>
    <row r="331">
      <c r="A331" s="5" t="s">
        <v>922</v>
      </c>
      <c r="B331" s="5" t="s">
        <v>923</v>
      </c>
      <c r="C331" s="5" t="s">
        <v>924</v>
      </c>
      <c r="D331" s="6">
        <v>14547.0</v>
      </c>
      <c r="E331" s="7" t="str">
        <f t="shared" si="1"/>
        <v>B</v>
      </c>
      <c r="F331" s="7" t="str">
        <f t="shared" si="2"/>
        <v>Transformative change</v>
      </c>
      <c r="G331" s="7" t="str">
        <f t="shared" si="3"/>
        <v>High</v>
      </c>
      <c r="H331" s="7">
        <f t="shared" si="4"/>
        <v>238130</v>
      </c>
      <c r="I331" s="7">
        <f t="shared" si="5"/>
        <v>21123.02867</v>
      </c>
      <c r="J331" s="7">
        <f t="shared" si="6"/>
        <v>189111</v>
      </c>
      <c r="K331" s="7">
        <f t="shared" si="8"/>
        <v>2231</v>
      </c>
    </row>
    <row r="332">
      <c r="A332" s="5" t="s">
        <v>925</v>
      </c>
      <c r="B332" s="5" t="s">
        <v>926</v>
      </c>
      <c r="C332" s="5" t="s">
        <v>927</v>
      </c>
      <c r="D332" s="6">
        <v>14353.0</v>
      </c>
      <c r="E332" s="7" t="str">
        <f t="shared" si="1"/>
        <v>G</v>
      </c>
      <c r="F332" s="7" t="str">
        <f t="shared" si="2"/>
        <v>Transformative change</v>
      </c>
      <c r="G332" s="7" t="str">
        <f t="shared" si="3"/>
        <v>Low</v>
      </c>
      <c r="H332" s="7">
        <f t="shared" si="4"/>
        <v>570778</v>
      </c>
      <c r="I332" s="7">
        <f t="shared" si="5"/>
        <v>161968.4657</v>
      </c>
      <c r="J332" s="7">
        <f t="shared" si="6"/>
        <v>100471</v>
      </c>
      <c r="K332" s="7">
        <f t="shared" si="8"/>
        <v>2231</v>
      </c>
    </row>
    <row r="333">
      <c r="A333" s="5" t="s">
        <v>928</v>
      </c>
      <c r="B333" s="5" t="s">
        <v>929</v>
      </c>
      <c r="C333" s="5" t="s">
        <v>930</v>
      </c>
      <c r="D333" s="6">
        <v>15291.0</v>
      </c>
      <c r="E333" s="7" t="str">
        <f t="shared" si="1"/>
        <v>G</v>
      </c>
      <c r="F333" s="7" t="str">
        <f t="shared" si="2"/>
        <v>Transformative change</v>
      </c>
      <c r="G333" s="7" t="str">
        <f t="shared" si="3"/>
        <v>High</v>
      </c>
      <c r="H333" s="7">
        <f t="shared" si="4"/>
        <v>1937498</v>
      </c>
      <c r="I333" s="7">
        <f t="shared" si="5"/>
        <v>543537.8745</v>
      </c>
      <c r="J333" s="7">
        <f t="shared" si="6"/>
        <v>107037</v>
      </c>
      <c r="K333" s="7">
        <f t="shared" si="8"/>
        <v>2231</v>
      </c>
    </row>
    <row r="334">
      <c r="A334" s="5" t="s">
        <v>439</v>
      </c>
      <c r="B334" s="5" t="s">
        <v>931</v>
      </c>
      <c r="C334" s="5" t="s">
        <v>932</v>
      </c>
      <c r="D334" s="6">
        <v>19407.0</v>
      </c>
      <c r="E334" s="7" t="str">
        <f t="shared" si="1"/>
        <v>C</v>
      </c>
      <c r="F334" s="7" t="str">
        <f t="shared" si="2"/>
        <v>Transformative change</v>
      </c>
      <c r="G334" s="7" t="str">
        <f t="shared" si="3"/>
        <v>Low</v>
      </c>
      <c r="H334" s="7">
        <f t="shared" si="4"/>
        <v>2718469</v>
      </c>
      <c r="I334" s="7">
        <f t="shared" si="5"/>
        <v>2561987.851</v>
      </c>
      <c r="J334" s="7">
        <f t="shared" si="6"/>
        <v>252291</v>
      </c>
      <c r="K334" s="7">
        <f t="shared" si="8"/>
        <v>41926.88718</v>
      </c>
    </row>
    <row r="335">
      <c r="A335" s="5" t="s">
        <v>933</v>
      </c>
      <c r="B335" s="5" t="s">
        <v>934</v>
      </c>
      <c r="C335" s="5" t="s">
        <v>935</v>
      </c>
      <c r="D335" s="6">
        <v>16676.0</v>
      </c>
      <c r="E335" s="7" t="str">
        <f t="shared" si="1"/>
        <v>D</v>
      </c>
      <c r="F335" s="7" t="str">
        <f t="shared" si="2"/>
        <v>High ambition</v>
      </c>
      <c r="G335" s="7" t="str">
        <f t="shared" si="3"/>
        <v>Low</v>
      </c>
      <c r="H335" s="7">
        <f t="shared" si="4"/>
        <v>3326541</v>
      </c>
      <c r="I335" s="7">
        <f t="shared" si="5"/>
        <v>872427.209</v>
      </c>
      <c r="J335" s="7">
        <f t="shared" si="6"/>
        <v>66704</v>
      </c>
      <c r="K335" s="7">
        <f t="shared" si="8"/>
        <v>2231</v>
      </c>
    </row>
    <row r="336">
      <c r="A336" s="5" t="s">
        <v>936</v>
      </c>
      <c r="B336" s="5" t="s">
        <v>937</v>
      </c>
      <c r="C336" s="5" t="s">
        <v>938</v>
      </c>
      <c r="D336" s="6">
        <v>11589.0</v>
      </c>
      <c r="E336" s="7" t="str">
        <f t="shared" si="1"/>
        <v>B</v>
      </c>
      <c r="F336" s="7" t="str">
        <f t="shared" si="2"/>
        <v>Transformative change</v>
      </c>
      <c r="G336" s="7" t="str">
        <f t="shared" si="3"/>
        <v>Low</v>
      </c>
      <c r="H336" s="7">
        <f t="shared" si="4"/>
        <v>3611949</v>
      </c>
      <c r="I336" s="7">
        <f t="shared" si="5"/>
        <v>3254205.646</v>
      </c>
      <c r="J336" s="7">
        <f t="shared" si="6"/>
        <v>57945</v>
      </c>
      <c r="K336" s="7">
        <f t="shared" si="8"/>
        <v>2231</v>
      </c>
    </row>
    <row r="337">
      <c r="A337" s="5" t="s">
        <v>939</v>
      </c>
      <c r="B337" s="5" t="s">
        <v>940</v>
      </c>
      <c r="C337" s="5" t="s">
        <v>726</v>
      </c>
      <c r="D337" s="6">
        <v>80199.0</v>
      </c>
      <c r="E337" s="7" t="str">
        <f t="shared" si="1"/>
        <v>D</v>
      </c>
      <c r="F337" s="7" t="str">
        <f t="shared" si="2"/>
        <v>Transformative change</v>
      </c>
      <c r="G337" s="7" t="str">
        <f t="shared" si="3"/>
        <v>Medium</v>
      </c>
      <c r="H337" s="7">
        <f t="shared" si="4"/>
        <v>992006</v>
      </c>
      <c r="I337" s="7">
        <f t="shared" si="5"/>
        <v>345897.8513</v>
      </c>
      <c r="J337" s="7">
        <f t="shared" si="6"/>
        <v>962388</v>
      </c>
      <c r="K337" s="7">
        <f t="shared" si="8"/>
        <v>777447.2489</v>
      </c>
    </row>
    <row r="338">
      <c r="A338" s="5" t="s">
        <v>941</v>
      </c>
      <c r="B338" s="5" t="s">
        <v>942</v>
      </c>
      <c r="C338" s="5" t="s">
        <v>943</v>
      </c>
      <c r="D338" s="6">
        <v>13199.0</v>
      </c>
      <c r="E338" s="7" t="str">
        <f t="shared" si="1"/>
        <v>A</v>
      </c>
      <c r="F338" s="7" t="str">
        <f t="shared" si="2"/>
        <v>High ambition</v>
      </c>
      <c r="G338" s="7" t="str">
        <f t="shared" si="3"/>
        <v>Low</v>
      </c>
      <c r="H338" s="7">
        <f t="shared" si="4"/>
        <v>2865016</v>
      </c>
      <c r="I338" s="7">
        <f t="shared" si="5"/>
        <v>842469.5816</v>
      </c>
      <c r="J338" s="7">
        <f t="shared" si="6"/>
        <v>158388</v>
      </c>
      <c r="K338" s="7">
        <f t="shared" si="8"/>
        <v>2231</v>
      </c>
    </row>
    <row r="339">
      <c r="A339" s="5" t="s">
        <v>230</v>
      </c>
      <c r="B339" s="5" t="s">
        <v>944</v>
      </c>
      <c r="C339" s="5" t="s">
        <v>945</v>
      </c>
      <c r="D339" s="6">
        <v>11555.0</v>
      </c>
      <c r="E339" s="7" t="str">
        <f t="shared" si="1"/>
        <v>B</v>
      </c>
      <c r="F339" s="7" t="str">
        <f t="shared" si="2"/>
        <v>Transformative change</v>
      </c>
      <c r="G339" s="7" t="str">
        <f t="shared" si="3"/>
        <v>Low</v>
      </c>
      <c r="H339" s="7">
        <f t="shared" si="4"/>
        <v>126815</v>
      </c>
      <c r="I339" s="7">
        <f t="shared" si="5"/>
        <v>72079.2454</v>
      </c>
      <c r="J339" s="7">
        <f t="shared" si="6"/>
        <v>92440</v>
      </c>
      <c r="K339" s="7">
        <f t="shared" si="8"/>
        <v>2231</v>
      </c>
    </row>
    <row r="340">
      <c r="A340" s="5" t="s">
        <v>946</v>
      </c>
      <c r="B340" s="5" t="s">
        <v>947</v>
      </c>
      <c r="C340" s="5" t="s">
        <v>948</v>
      </c>
      <c r="D340" s="6">
        <v>16092.0</v>
      </c>
      <c r="E340" s="7" t="str">
        <f t="shared" si="1"/>
        <v>A</v>
      </c>
      <c r="F340" s="7" t="str">
        <f t="shared" si="2"/>
        <v>High ambition</v>
      </c>
      <c r="G340" s="7" t="str">
        <f t="shared" si="3"/>
        <v>Medium</v>
      </c>
      <c r="H340" s="7">
        <f t="shared" si="4"/>
        <v>3770398</v>
      </c>
      <c r="I340" s="7">
        <f t="shared" si="5"/>
        <v>3560482.826</v>
      </c>
      <c r="J340" s="7">
        <f t="shared" si="6"/>
        <v>160920</v>
      </c>
      <c r="K340" s="7">
        <f t="shared" si="8"/>
        <v>0.1413644614</v>
      </c>
    </row>
    <row r="341">
      <c r="A341" s="5" t="s">
        <v>949</v>
      </c>
      <c r="B341" s="5" t="s">
        <v>950</v>
      </c>
      <c r="C341" s="5" t="s">
        <v>74</v>
      </c>
      <c r="D341" s="6">
        <v>346771.0</v>
      </c>
      <c r="E341" s="7" t="str">
        <f t="shared" si="1"/>
        <v>C</v>
      </c>
      <c r="F341" s="7" t="str">
        <f t="shared" si="2"/>
        <v>Transformative change</v>
      </c>
      <c r="G341" s="7" t="str">
        <f t="shared" si="3"/>
        <v>Medium</v>
      </c>
      <c r="H341" s="7">
        <f t="shared" si="4"/>
        <v>3800445</v>
      </c>
      <c r="I341" s="7">
        <f t="shared" si="5"/>
        <v>621403.09</v>
      </c>
      <c r="J341" s="7">
        <f t="shared" si="6"/>
        <v>1733855</v>
      </c>
      <c r="K341" s="7">
        <f t="shared" si="8"/>
        <v>2231</v>
      </c>
    </row>
    <row r="342">
      <c r="A342" s="5" t="s">
        <v>951</v>
      </c>
      <c r="B342" s="5" t="s">
        <v>952</v>
      </c>
      <c r="C342" s="5" t="s">
        <v>953</v>
      </c>
      <c r="D342" s="6">
        <v>9210.0</v>
      </c>
      <c r="E342" s="7" t="str">
        <f t="shared" si="1"/>
        <v>G</v>
      </c>
      <c r="F342" s="7" t="str">
        <f t="shared" si="2"/>
        <v>Transformative change</v>
      </c>
      <c r="G342" s="7" t="str">
        <f t="shared" si="3"/>
        <v>Medium</v>
      </c>
      <c r="H342" s="7">
        <f t="shared" si="4"/>
        <v>1975053</v>
      </c>
      <c r="I342" s="7">
        <f t="shared" si="5"/>
        <v>755162.4394</v>
      </c>
      <c r="J342" s="7">
        <f t="shared" si="6"/>
        <v>119730</v>
      </c>
      <c r="K342" s="7">
        <f t="shared" si="8"/>
        <v>2.997099748</v>
      </c>
    </row>
    <row r="343">
      <c r="A343" s="5" t="s">
        <v>954</v>
      </c>
      <c r="B343" s="5" t="s">
        <v>955</v>
      </c>
      <c r="C343" s="5" t="s">
        <v>956</v>
      </c>
      <c r="D343" s="6">
        <v>13783.0</v>
      </c>
      <c r="E343" s="7" t="str">
        <f t="shared" si="1"/>
        <v>A</v>
      </c>
      <c r="F343" s="7" t="str">
        <f t="shared" si="2"/>
        <v>Transformative change</v>
      </c>
      <c r="G343" s="7" t="str">
        <f t="shared" si="3"/>
        <v>Medium</v>
      </c>
      <c r="H343" s="7">
        <f t="shared" si="4"/>
        <v>79085</v>
      </c>
      <c r="I343" s="7">
        <f t="shared" si="5"/>
        <v>2341.084563</v>
      </c>
      <c r="J343" s="7">
        <f t="shared" si="6"/>
        <v>137830</v>
      </c>
      <c r="K343" s="7">
        <f t="shared" si="8"/>
        <v>94154.44025</v>
      </c>
    </row>
    <row r="344">
      <c r="A344" s="5" t="s">
        <v>957</v>
      </c>
      <c r="B344" s="5" t="s">
        <v>958</v>
      </c>
      <c r="C344" s="5" t="s">
        <v>959</v>
      </c>
      <c r="D344" s="6">
        <v>11900.0</v>
      </c>
      <c r="E344" s="7" t="str">
        <f t="shared" si="1"/>
        <v>F</v>
      </c>
      <c r="F344" s="7" t="str">
        <f t="shared" si="2"/>
        <v>High ambition</v>
      </c>
      <c r="G344" s="7" t="str">
        <f t="shared" si="3"/>
        <v>Low</v>
      </c>
      <c r="H344" s="7">
        <f t="shared" si="4"/>
        <v>1593528</v>
      </c>
      <c r="I344" s="7">
        <f t="shared" si="5"/>
        <v>187779.2451</v>
      </c>
      <c r="J344" s="7">
        <f t="shared" si="6"/>
        <v>142800</v>
      </c>
      <c r="K344" s="7">
        <f t="shared" si="8"/>
        <v>2231</v>
      </c>
    </row>
    <row r="345">
      <c r="A345" s="5" t="s">
        <v>960</v>
      </c>
      <c r="B345" s="5" t="s">
        <v>961</v>
      </c>
      <c r="C345" s="5" t="s">
        <v>670</v>
      </c>
      <c r="D345" s="6">
        <v>27144.0</v>
      </c>
      <c r="E345" s="7" t="str">
        <f t="shared" si="1"/>
        <v>C</v>
      </c>
      <c r="F345" s="7" t="str">
        <f t="shared" si="2"/>
        <v>Transformative change</v>
      </c>
      <c r="G345" s="7" t="str">
        <f t="shared" si="3"/>
        <v>Medium</v>
      </c>
      <c r="H345" s="7">
        <f t="shared" si="4"/>
        <v>3531804</v>
      </c>
      <c r="I345" s="7">
        <f t="shared" si="5"/>
        <v>2945037.405</v>
      </c>
      <c r="J345" s="7">
        <f t="shared" si="6"/>
        <v>135720</v>
      </c>
      <c r="K345" s="7">
        <f t="shared" si="8"/>
        <v>22015.05679</v>
      </c>
    </row>
    <row r="346">
      <c r="A346" s="5" t="s">
        <v>962</v>
      </c>
      <c r="B346" s="5" t="s">
        <v>963</v>
      </c>
      <c r="C346" s="5" t="s">
        <v>726</v>
      </c>
      <c r="D346" s="6">
        <v>13039.0</v>
      </c>
      <c r="E346" s="7" t="str">
        <f t="shared" si="1"/>
        <v>C</v>
      </c>
      <c r="F346" s="7" t="str">
        <f t="shared" si="2"/>
        <v>Transformative change</v>
      </c>
      <c r="G346" s="7" t="str">
        <f t="shared" si="3"/>
        <v>Low</v>
      </c>
      <c r="H346" s="7">
        <f t="shared" si="4"/>
        <v>3079459</v>
      </c>
      <c r="I346" s="7">
        <f t="shared" si="5"/>
        <v>2226540.625</v>
      </c>
      <c r="J346" s="7">
        <f t="shared" si="6"/>
        <v>65195</v>
      </c>
      <c r="K346" s="7">
        <f t="shared" si="8"/>
        <v>2231</v>
      </c>
    </row>
    <row r="347">
      <c r="A347" s="5" t="s">
        <v>964</v>
      </c>
      <c r="B347" s="5" t="s">
        <v>965</v>
      </c>
      <c r="C347" s="5" t="s">
        <v>966</v>
      </c>
      <c r="D347" s="6">
        <v>72325.0</v>
      </c>
      <c r="E347" s="7" t="str">
        <f t="shared" si="1"/>
        <v>C</v>
      </c>
      <c r="F347" s="7" t="str">
        <f t="shared" si="2"/>
        <v>Transformative change</v>
      </c>
      <c r="G347" s="7" t="str">
        <f t="shared" si="3"/>
        <v>High</v>
      </c>
      <c r="H347" s="7">
        <f t="shared" si="4"/>
        <v>2253258</v>
      </c>
      <c r="I347" s="7">
        <f t="shared" si="5"/>
        <v>1550489.343</v>
      </c>
      <c r="J347" s="7">
        <f t="shared" si="6"/>
        <v>1012550</v>
      </c>
      <c r="K347" s="7">
        <f t="shared" si="8"/>
        <v>177324.6208</v>
      </c>
    </row>
    <row r="348">
      <c r="A348" s="5" t="s">
        <v>967</v>
      </c>
      <c r="B348" s="5" t="s">
        <v>968</v>
      </c>
      <c r="C348" s="5" t="s">
        <v>969</v>
      </c>
      <c r="D348" s="6">
        <v>18729.0</v>
      </c>
      <c r="E348" s="7" t="str">
        <f t="shared" si="1"/>
        <v>D</v>
      </c>
      <c r="F348" s="7" t="str">
        <f t="shared" si="2"/>
        <v>Transformative change</v>
      </c>
      <c r="G348" s="7" t="str">
        <f t="shared" si="3"/>
        <v>Low</v>
      </c>
      <c r="H348" s="7">
        <f t="shared" si="4"/>
        <v>3657818</v>
      </c>
      <c r="I348" s="7">
        <f t="shared" si="5"/>
        <v>134148.4663</v>
      </c>
      <c r="J348" s="7">
        <f t="shared" si="6"/>
        <v>280935</v>
      </c>
      <c r="K348" s="7">
        <f t="shared" si="8"/>
        <v>18781.75698</v>
      </c>
    </row>
    <row r="349">
      <c r="A349" s="5" t="s">
        <v>970</v>
      </c>
      <c r="B349" s="5" t="s">
        <v>971</v>
      </c>
      <c r="C349" s="5" t="s">
        <v>972</v>
      </c>
      <c r="D349" s="6">
        <v>16749.0</v>
      </c>
      <c r="E349" s="7" t="str">
        <f t="shared" si="1"/>
        <v>B</v>
      </c>
      <c r="F349" s="7" t="str">
        <f t="shared" si="2"/>
        <v>Transformative change</v>
      </c>
      <c r="G349" s="7" t="str">
        <f t="shared" si="3"/>
        <v>Low</v>
      </c>
      <c r="H349" s="7">
        <f t="shared" si="4"/>
        <v>1494130</v>
      </c>
      <c r="I349" s="7">
        <f t="shared" si="5"/>
        <v>1283555.342</v>
      </c>
      <c r="J349" s="7">
        <f t="shared" si="6"/>
        <v>200988</v>
      </c>
      <c r="K349" s="7">
        <f t="shared" si="8"/>
        <v>8967.582828</v>
      </c>
    </row>
    <row r="350">
      <c r="A350" s="5" t="s">
        <v>973</v>
      </c>
      <c r="B350" s="5" t="s">
        <v>974</v>
      </c>
      <c r="C350" s="5" t="s">
        <v>975</v>
      </c>
      <c r="D350" s="6">
        <v>9477.0</v>
      </c>
      <c r="E350" s="7" t="str">
        <f t="shared" si="1"/>
        <v>F</v>
      </c>
      <c r="F350" s="7" t="str">
        <f t="shared" si="2"/>
        <v>Transformative change</v>
      </c>
      <c r="G350" s="7" t="str">
        <f t="shared" si="3"/>
        <v>Medium</v>
      </c>
      <c r="H350" s="7">
        <f t="shared" si="4"/>
        <v>1949179</v>
      </c>
      <c r="I350" s="7">
        <f t="shared" si="5"/>
        <v>999410.8818</v>
      </c>
      <c r="J350" s="7">
        <f t="shared" si="6"/>
        <v>132678</v>
      </c>
      <c r="K350" s="7">
        <f t="shared" si="8"/>
        <v>94.48127608</v>
      </c>
    </row>
    <row r="351">
      <c r="A351" s="5" t="s">
        <v>976</v>
      </c>
      <c r="B351" s="5" t="s">
        <v>977</v>
      </c>
      <c r="C351" s="5" t="s">
        <v>978</v>
      </c>
      <c r="D351" s="6">
        <v>450093.0</v>
      </c>
      <c r="E351" s="7" t="str">
        <f t="shared" si="1"/>
        <v>G</v>
      </c>
      <c r="F351" s="7" t="str">
        <f t="shared" si="2"/>
        <v>Transformative change</v>
      </c>
      <c r="G351" s="7" t="str">
        <f t="shared" si="3"/>
        <v>Medium</v>
      </c>
      <c r="H351" s="7">
        <f t="shared" si="4"/>
        <v>837249</v>
      </c>
      <c r="I351" s="7">
        <f t="shared" si="5"/>
        <v>61757.24993</v>
      </c>
      <c r="J351" s="7">
        <f t="shared" si="6"/>
        <v>4500930</v>
      </c>
      <c r="K351" s="7">
        <f t="shared" si="8"/>
        <v>1323.122706</v>
      </c>
    </row>
    <row r="352">
      <c r="A352" s="5" t="s">
        <v>979</v>
      </c>
      <c r="B352" s="5" t="s">
        <v>980</v>
      </c>
      <c r="C352" s="5" t="s">
        <v>74</v>
      </c>
      <c r="D352" s="6">
        <v>41950.0</v>
      </c>
      <c r="E352" s="7" t="str">
        <f t="shared" si="1"/>
        <v>E</v>
      </c>
      <c r="F352" s="7" t="str">
        <f t="shared" si="2"/>
        <v>Transformative change</v>
      </c>
      <c r="G352" s="7" t="str">
        <f t="shared" si="3"/>
        <v>Medium</v>
      </c>
      <c r="H352" s="7">
        <f t="shared" si="4"/>
        <v>1592246</v>
      </c>
      <c r="I352" s="7">
        <f t="shared" si="5"/>
        <v>672741.087</v>
      </c>
      <c r="J352" s="7">
        <f t="shared" si="6"/>
        <v>209750</v>
      </c>
      <c r="K352" s="7">
        <f t="shared" si="8"/>
        <v>2231</v>
      </c>
    </row>
    <row r="353">
      <c r="A353" s="5" t="s">
        <v>981</v>
      </c>
      <c r="B353" s="5" t="s">
        <v>982</v>
      </c>
      <c r="C353" s="5" t="s">
        <v>983</v>
      </c>
      <c r="D353" s="6">
        <v>17080.0</v>
      </c>
      <c r="E353" s="7" t="str">
        <f t="shared" si="1"/>
        <v>A</v>
      </c>
      <c r="F353" s="7" t="str">
        <f t="shared" si="2"/>
        <v>Transformative change</v>
      </c>
      <c r="G353" s="7" t="str">
        <f t="shared" si="3"/>
        <v>Medium</v>
      </c>
      <c r="H353" s="7">
        <f t="shared" si="4"/>
        <v>390484</v>
      </c>
      <c r="I353" s="7">
        <f t="shared" si="5"/>
        <v>203787.6872</v>
      </c>
      <c r="J353" s="7">
        <f t="shared" si="6"/>
        <v>119560</v>
      </c>
      <c r="K353" s="7">
        <f t="shared" si="8"/>
        <v>2231</v>
      </c>
    </row>
    <row r="354">
      <c r="A354" s="5" t="s">
        <v>984</v>
      </c>
      <c r="B354" s="5" t="s">
        <v>985</v>
      </c>
      <c r="C354" s="5" t="s">
        <v>986</v>
      </c>
      <c r="D354" s="6">
        <v>11031.0</v>
      </c>
      <c r="E354" s="7" t="str">
        <f t="shared" si="1"/>
        <v>F</v>
      </c>
      <c r="F354" s="7" t="str">
        <f t="shared" si="2"/>
        <v>Transformative change</v>
      </c>
      <c r="G354" s="7" t="str">
        <f t="shared" si="3"/>
        <v>High</v>
      </c>
      <c r="H354" s="7">
        <f t="shared" si="4"/>
        <v>832108</v>
      </c>
      <c r="I354" s="7">
        <f t="shared" si="5"/>
        <v>226527.2581</v>
      </c>
      <c r="J354" s="7">
        <f t="shared" si="6"/>
        <v>44124</v>
      </c>
      <c r="K354" s="7">
        <f t="shared" si="8"/>
        <v>2231</v>
      </c>
    </row>
    <row r="355">
      <c r="A355" s="5" t="s">
        <v>987</v>
      </c>
      <c r="B355" s="5" t="s">
        <v>988</v>
      </c>
      <c r="C355" s="5" t="s">
        <v>989</v>
      </c>
      <c r="D355" s="6">
        <v>13023.0</v>
      </c>
      <c r="E355" s="7" t="str">
        <f t="shared" si="1"/>
        <v>A</v>
      </c>
      <c r="F355" s="7" t="str">
        <f t="shared" si="2"/>
        <v>Transformative change</v>
      </c>
      <c r="G355" s="7" t="str">
        <f t="shared" si="3"/>
        <v>Low</v>
      </c>
      <c r="H355" s="7">
        <f t="shared" si="4"/>
        <v>806799</v>
      </c>
      <c r="I355" s="7">
        <f t="shared" si="5"/>
        <v>540149.155</v>
      </c>
      <c r="J355" s="7">
        <f t="shared" si="6"/>
        <v>182322</v>
      </c>
      <c r="K355" s="7">
        <f t="shared" si="8"/>
        <v>2231</v>
      </c>
    </row>
    <row r="356">
      <c r="A356" s="5" t="s">
        <v>990</v>
      </c>
      <c r="B356" s="5" t="s">
        <v>991</v>
      </c>
      <c r="C356" s="5" t="s">
        <v>74</v>
      </c>
      <c r="D356" s="6">
        <v>16501.0</v>
      </c>
      <c r="E356" s="7" t="str">
        <f t="shared" si="1"/>
        <v>A</v>
      </c>
      <c r="F356" s="7" t="str">
        <f t="shared" si="2"/>
        <v>High ambition</v>
      </c>
      <c r="G356" s="7" t="str">
        <f t="shared" si="3"/>
        <v>High</v>
      </c>
      <c r="H356" s="7">
        <f t="shared" si="4"/>
        <v>3509135</v>
      </c>
      <c r="I356" s="7">
        <f t="shared" si="5"/>
        <v>1474554.573</v>
      </c>
      <c r="J356" s="7">
        <f t="shared" si="6"/>
        <v>198012</v>
      </c>
      <c r="K356" s="7">
        <f t="shared" si="8"/>
        <v>17544.5279</v>
      </c>
    </row>
    <row r="357">
      <c r="A357" s="5" t="s">
        <v>992</v>
      </c>
      <c r="B357" s="5" t="s">
        <v>993</v>
      </c>
      <c r="C357" s="5" t="s">
        <v>994</v>
      </c>
      <c r="D357" s="6">
        <v>32388.0</v>
      </c>
      <c r="E357" s="7" t="str">
        <f t="shared" si="1"/>
        <v>D</v>
      </c>
      <c r="F357" s="7" t="str">
        <f t="shared" si="2"/>
        <v>High ambition</v>
      </c>
      <c r="G357" s="7" t="str">
        <f t="shared" si="3"/>
        <v>Low</v>
      </c>
      <c r="H357" s="7">
        <f t="shared" si="4"/>
        <v>447486</v>
      </c>
      <c r="I357" s="7">
        <f t="shared" si="5"/>
        <v>214826.0412</v>
      </c>
      <c r="J357" s="7">
        <f t="shared" si="6"/>
        <v>323880</v>
      </c>
      <c r="K357" s="7">
        <f t="shared" si="8"/>
        <v>2231</v>
      </c>
    </row>
    <row r="358">
      <c r="A358" s="5" t="s">
        <v>995</v>
      </c>
      <c r="B358" s="5" t="s">
        <v>996</v>
      </c>
      <c r="C358" s="5" t="s">
        <v>997</v>
      </c>
      <c r="D358" s="6">
        <v>16108.0</v>
      </c>
      <c r="E358" s="7" t="str">
        <f t="shared" si="1"/>
        <v>D</v>
      </c>
      <c r="F358" s="7" t="str">
        <f t="shared" si="2"/>
        <v>Transformative change</v>
      </c>
      <c r="G358" s="7" t="str">
        <f t="shared" si="3"/>
        <v>Low</v>
      </c>
      <c r="H358" s="7">
        <f t="shared" si="4"/>
        <v>1577138</v>
      </c>
      <c r="I358" s="7">
        <f t="shared" si="5"/>
        <v>738779.3546</v>
      </c>
      <c r="J358" s="7">
        <f t="shared" si="6"/>
        <v>112756</v>
      </c>
      <c r="K358" s="7">
        <f t="shared" si="8"/>
        <v>2231</v>
      </c>
    </row>
    <row r="359">
      <c r="A359" s="5" t="s">
        <v>998</v>
      </c>
      <c r="B359" s="5" t="s">
        <v>999</v>
      </c>
      <c r="C359" s="5" t="s">
        <v>1000</v>
      </c>
      <c r="D359" s="6">
        <v>16805.0</v>
      </c>
      <c r="E359" s="7" t="str">
        <f t="shared" si="1"/>
        <v>A</v>
      </c>
      <c r="F359" s="7" t="str">
        <f t="shared" si="2"/>
        <v>Transformative change</v>
      </c>
      <c r="G359" s="7" t="str">
        <f t="shared" si="3"/>
        <v>High</v>
      </c>
      <c r="H359" s="7">
        <f t="shared" si="4"/>
        <v>2676382</v>
      </c>
      <c r="I359" s="7">
        <f t="shared" si="5"/>
        <v>1576278.3</v>
      </c>
      <c r="J359" s="7">
        <f t="shared" si="6"/>
        <v>134440</v>
      </c>
      <c r="K359" s="7">
        <f t="shared" si="8"/>
        <v>2231</v>
      </c>
    </row>
    <row r="360">
      <c r="A360" s="5" t="s">
        <v>1001</v>
      </c>
      <c r="B360" s="5" t="s">
        <v>1002</v>
      </c>
      <c r="C360" s="5" t="s">
        <v>74</v>
      </c>
      <c r="D360" s="6">
        <v>11595.0</v>
      </c>
      <c r="E360" s="7" t="str">
        <f t="shared" si="1"/>
        <v>F</v>
      </c>
      <c r="F360" s="7" t="str">
        <f t="shared" si="2"/>
        <v>Transformative change</v>
      </c>
      <c r="G360" s="7" t="str">
        <f t="shared" si="3"/>
        <v>Low</v>
      </c>
      <c r="H360" s="7">
        <f t="shared" si="4"/>
        <v>759407</v>
      </c>
      <c r="I360" s="7">
        <f t="shared" si="5"/>
        <v>427708.8512</v>
      </c>
      <c r="J360" s="7">
        <f t="shared" si="6"/>
        <v>57975</v>
      </c>
      <c r="K360" s="7">
        <f t="shared" si="8"/>
        <v>2231</v>
      </c>
    </row>
    <row r="361">
      <c r="A361" s="5" t="s">
        <v>1003</v>
      </c>
      <c r="B361" s="5" t="s">
        <v>1004</v>
      </c>
      <c r="C361" s="5" t="s">
        <v>74</v>
      </c>
      <c r="D361" s="6">
        <v>10888.0</v>
      </c>
      <c r="E361" s="7" t="str">
        <f t="shared" si="1"/>
        <v>A</v>
      </c>
      <c r="F361" s="7" t="str">
        <f t="shared" si="2"/>
        <v>Transformative change</v>
      </c>
      <c r="G361" s="7" t="str">
        <f t="shared" si="3"/>
        <v>Medium</v>
      </c>
      <c r="H361" s="7">
        <f t="shared" si="4"/>
        <v>3350992</v>
      </c>
      <c r="I361" s="7">
        <f t="shared" si="5"/>
        <v>1327985.66</v>
      </c>
      <c r="J361" s="7">
        <f t="shared" si="6"/>
        <v>141544</v>
      </c>
      <c r="K361" s="7">
        <f t="shared" si="8"/>
        <v>10034.95235</v>
      </c>
    </row>
    <row r="362">
      <c r="A362" s="5" t="s">
        <v>1005</v>
      </c>
      <c r="B362" s="5" t="s">
        <v>1006</v>
      </c>
      <c r="C362" s="5" t="s">
        <v>653</v>
      </c>
      <c r="D362" s="6">
        <v>40163.0</v>
      </c>
      <c r="E362" s="7" t="str">
        <f t="shared" si="1"/>
        <v>F</v>
      </c>
      <c r="F362" s="7" t="str">
        <f t="shared" si="2"/>
        <v>Transformative change</v>
      </c>
      <c r="G362" s="7" t="str">
        <f t="shared" si="3"/>
        <v>Medium</v>
      </c>
      <c r="H362" s="7">
        <f t="shared" si="4"/>
        <v>2137393</v>
      </c>
      <c r="I362" s="7">
        <f t="shared" si="5"/>
        <v>571835.6516</v>
      </c>
      <c r="J362" s="7">
        <f t="shared" si="6"/>
        <v>281141</v>
      </c>
      <c r="K362" s="7">
        <f t="shared" si="8"/>
        <v>1889.934044</v>
      </c>
    </row>
    <row r="363">
      <c r="A363" s="5" t="s">
        <v>1007</v>
      </c>
      <c r="B363" s="5" t="s">
        <v>1008</v>
      </c>
      <c r="C363" s="5" t="s">
        <v>1009</v>
      </c>
      <c r="D363" s="6">
        <v>59726.0</v>
      </c>
      <c r="E363" s="7" t="str">
        <f t="shared" si="1"/>
        <v>A</v>
      </c>
      <c r="F363" s="7" t="str">
        <f t="shared" si="2"/>
        <v>Transformative change</v>
      </c>
      <c r="G363" s="7" t="str">
        <f t="shared" si="3"/>
        <v>Medium</v>
      </c>
      <c r="H363" s="7">
        <f t="shared" si="4"/>
        <v>3340777</v>
      </c>
      <c r="I363" s="7">
        <f t="shared" si="5"/>
        <v>3110899.732</v>
      </c>
      <c r="J363" s="7">
        <f t="shared" si="6"/>
        <v>597260</v>
      </c>
      <c r="K363" s="7">
        <f t="shared" si="8"/>
        <v>24289.17695</v>
      </c>
    </row>
    <row r="364">
      <c r="A364" s="5" t="s">
        <v>1010</v>
      </c>
      <c r="B364" s="5" t="s">
        <v>1011</v>
      </c>
      <c r="C364" s="5" t="s">
        <v>1012</v>
      </c>
      <c r="D364" s="6">
        <v>19009.0</v>
      </c>
      <c r="E364" s="7" t="str">
        <f t="shared" si="1"/>
        <v>G</v>
      </c>
      <c r="F364" s="7" t="str">
        <f t="shared" si="2"/>
        <v>Transformative change</v>
      </c>
      <c r="G364" s="7" t="str">
        <f t="shared" si="3"/>
        <v>Medium</v>
      </c>
      <c r="H364" s="7">
        <f t="shared" si="4"/>
        <v>3399323</v>
      </c>
      <c r="I364" s="7">
        <f t="shared" si="5"/>
        <v>561258.2312</v>
      </c>
      <c r="J364" s="7">
        <f t="shared" si="6"/>
        <v>95045</v>
      </c>
      <c r="K364" s="7">
        <f t="shared" si="8"/>
        <v>2231</v>
      </c>
    </row>
    <row r="365">
      <c r="A365" s="5" t="s">
        <v>1013</v>
      </c>
      <c r="B365" s="5" t="s">
        <v>1014</v>
      </c>
      <c r="C365" s="5" t="s">
        <v>74</v>
      </c>
      <c r="D365" s="6">
        <v>19681.0</v>
      </c>
      <c r="E365" s="7" t="str">
        <f t="shared" si="1"/>
        <v>B</v>
      </c>
      <c r="F365" s="7" t="str">
        <f t="shared" si="2"/>
        <v>Transformative change</v>
      </c>
      <c r="G365" s="7" t="str">
        <f t="shared" si="3"/>
        <v>Low</v>
      </c>
      <c r="H365" s="7">
        <f t="shared" si="4"/>
        <v>2193426</v>
      </c>
      <c r="I365" s="7">
        <f t="shared" si="5"/>
        <v>1527273.343</v>
      </c>
      <c r="J365" s="7">
        <f t="shared" si="6"/>
        <v>275534</v>
      </c>
      <c r="K365" s="7">
        <f t="shared" si="8"/>
        <v>23390.23332</v>
      </c>
    </row>
    <row r="366">
      <c r="A366" s="5" t="s">
        <v>1015</v>
      </c>
      <c r="B366" s="5" t="s">
        <v>1016</v>
      </c>
      <c r="C366" s="5" t="s">
        <v>1017</v>
      </c>
      <c r="D366" s="6">
        <v>304271.0</v>
      </c>
      <c r="E366" s="7" t="str">
        <f t="shared" si="1"/>
        <v>G</v>
      </c>
      <c r="F366" s="7" t="str">
        <f t="shared" si="2"/>
        <v>Transformative change</v>
      </c>
      <c r="G366" s="7" t="str">
        <f t="shared" si="3"/>
        <v>High</v>
      </c>
      <c r="H366" s="7">
        <f t="shared" si="4"/>
        <v>1634710</v>
      </c>
      <c r="I366" s="7">
        <f t="shared" si="5"/>
        <v>1343339.566</v>
      </c>
      <c r="J366" s="7">
        <f t="shared" si="6"/>
        <v>2738439</v>
      </c>
      <c r="K366" s="7">
        <f t="shared" si="8"/>
        <v>1.823075776</v>
      </c>
    </row>
    <row r="367">
      <c r="A367" s="5" t="s">
        <v>1018</v>
      </c>
      <c r="B367" s="5" t="s">
        <v>1019</v>
      </c>
      <c r="C367" s="5" t="s">
        <v>1020</v>
      </c>
      <c r="D367" s="6">
        <v>18474.0</v>
      </c>
      <c r="E367" s="7" t="str">
        <f t="shared" si="1"/>
        <v>D</v>
      </c>
      <c r="F367" s="7" t="str">
        <f t="shared" si="2"/>
        <v>Transformative change</v>
      </c>
      <c r="G367" s="7" t="str">
        <f t="shared" si="3"/>
        <v>High</v>
      </c>
      <c r="H367" s="7">
        <f t="shared" si="4"/>
        <v>1606801</v>
      </c>
      <c r="I367" s="7">
        <f t="shared" si="5"/>
        <v>847149.3922</v>
      </c>
      <c r="J367" s="7">
        <f t="shared" si="6"/>
        <v>129318</v>
      </c>
      <c r="K367" s="7">
        <f t="shared" si="8"/>
        <v>32759.72843</v>
      </c>
    </row>
    <row r="368">
      <c r="A368" s="5" t="s">
        <v>1021</v>
      </c>
      <c r="B368" s="5" t="s">
        <v>1022</v>
      </c>
      <c r="C368" s="5" t="s">
        <v>1023</v>
      </c>
      <c r="D368" s="6">
        <v>9325.0</v>
      </c>
      <c r="E368" s="7" t="str">
        <f t="shared" si="1"/>
        <v>E</v>
      </c>
      <c r="F368" s="7" t="str">
        <f t="shared" si="2"/>
        <v>Transformative change</v>
      </c>
      <c r="G368" s="7" t="str">
        <f t="shared" si="3"/>
        <v>Medium</v>
      </c>
      <c r="H368" s="7">
        <f t="shared" si="4"/>
        <v>1545695</v>
      </c>
      <c r="I368" s="7">
        <f t="shared" si="5"/>
        <v>254277.6009</v>
      </c>
      <c r="J368" s="7">
        <f t="shared" si="6"/>
        <v>74600</v>
      </c>
      <c r="K368" s="7">
        <f t="shared" si="8"/>
        <v>2231</v>
      </c>
    </row>
    <row r="369">
      <c r="A369" s="5" t="s">
        <v>1024</v>
      </c>
      <c r="B369" s="5" t="s">
        <v>1025</v>
      </c>
      <c r="C369" s="5" t="s">
        <v>1026</v>
      </c>
      <c r="D369" s="6">
        <v>26751.0</v>
      </c>
      <c r="E369" s="7" t="str">
        <f t="shared" si="1"/>
        <v>C</v>
      </c>
      <c r="F369" s="7" t="str">
        <f t="shared" si="2"/>
        <v>Transformative change</v>
      </c>
      <c r="G369" s="7" t="str">
        <f t="shared" si="3"/>
        <v>High</v>
      </c>
      <c r="H369" s="7">
        <f t="shared" si="4"/>
        <v>3947304</v>
      </c>
      <c r="I369" s="7">
        <f t="shared" si="5"/>
        <v>3138621.453</v>
      </c>
      <c r="J369" s="7">
        <f t="shared" si="6"/>
        <v>321012</v>
      </c>
      <c r="K369" s="7">
        <f t="shared" si="8"/>
        <v>119305.8923</v>
      </c>
    </row>
    <row r="370">
      <c r="A370" s="5" t="s">
        <v>1027</v>
      </c>
      <c r="B370" s="5" t="s">
        <v>1028</v>
      </c>
      <c r="C370" s="5" t="s">
        <v>1029</v>
      </c>
      <c r="D370" s="6">
        <v>19645.0</v>
      </c>
      <c r="E370" s="7" t="str">
        <f t="shared" si="1"/>
        <v>F</v>
      </c>
      <c r="F370" s="7" t="str">
        <f t="shared" si="2"/>
        <v>Transformative change</v>
      </c>
      <c r="G370" s="7" t="str">
        <f t="shared" si="3"/>
        <v>High</v>
      </c>
      <c r="H370" s="7">
        <f t="shared" si="4"/>
        <v>357363</v>
      </c>
      <c r="I370" s="7">
        <f t="shared" si="5"/>
        <v>265098.5386</v>
      </c>
      <c r="J370" s="7">
        <f t="shared" si="6"/>
        <v>196450</v>
      </c>
      <c r="K370" s="7">
        <f t="shared" si="8"/>
        <v>2231</v>
      </c>
    </row>
    <row r="371">
      <c r="A371" s="5" t="s">
        <v>1030</v>
      </c>
      <c r="B371" s="5" t="s">
        <v>1031</v>
      </c>
      <c r="C371" s="5" t="s">
        <v>1032</v>
      </c>
      <c r="D371" s="6">
        <v>428394.0</v>
      </c>
      <c r="E371" s="7" t="str">
        <f t="shared" si="1"/>
        <v>A</v>
      </c>
      <c r="F371" s="7" t="str">
        <f t="shared" si="2"/>
        <v>Transformative change</v>
      </c>
      <c r="G371" s="7" t="str">
        <f t="shared" si="3"/>
        <v>High</v>
      </c>
      <c r="H371" s="7">
        <f t="shared" si="4"/>
        <v>1964752</v>
      </c>
      <c r="I371" s="7">
        <f t="shared" si="5"/>
        <v>85357.50229</v>
      </c>
      <c r="J371" s="7">
        <f t="shared" si="6"/>
        <v>4283940</v>
      </c>
      <c r="K371" s="7">
        <f t="shared" si="8"/>
        <v>3003100.25</v>
      </c>
    </row>
    <row r="372">
      <c r="A372" s="5" t="s">
        <v>1033</v>
      </c>
      <c r="B372" s="5" t="s">
        <v>1034</v>
      </c>
      <c r="C372" s="5" t="s">
        <v>1035</v>
      </c>
      <c r="D372" s="6">
        <v>5570.0</v>
      </c>
      <c r="E372" s="7" t="str">
        <f t="shared" si="1"/>
        <v>A</v>
      </c>
      <c r="F372" s="7" t="str">
        <f t="shared" si="2"/>
        <v>Transformative change</v>
      </c>
      <c r="G372" s="7" t="str">
        <f t="shared" si="3"/>
        <v>High</v>
      </c>
      <c r="H372" s="7">
        <f t="shared" si="4"/>
        <v>3826640</v>
      </c>
      <c r="I372" s="7">
        <f t="shared" si="5"/>
        <v>2681672.566</v>
      </c>
      <c r="J372" s="7">
        <f t="shared" si="6"/>
        <v>61270</v>
      </c>
      <c r="K372" s="7">
        <f t="shared" si="8"/>
        <v>2231</v>
      </c>
    </row>
    <row r="373">
      <c r="A373" s="5" t="s">
        <v>1036</v>
      </c>
      <c r="B373" s="5" t="s">
        <v>1037</v>
      </c>
      <c r="C373" s="5" t="s">
        <v>1038</v>
      </c>
      <c r="D373" s="6">
        <v>141755.0</v>
      </c>
      <c r="E373" s="7" t="str">
        <f t="shared" si="1"/>
        <v>E</v>
      </c>
      <c r="F373" s="7" t="str">
        <f t="shared" si="2"/>
        <v>Transformative change</v>
      </c>
      <c r="G373" s="7" t="str">
        <f t="shared" si="3"/>
        <v>High</v>
      </c>
      <c r="H373" s="7">
        <f t="shared" si="4"/>
        <v>1289472</v>
      </c>
      <c r="I373" s="7">
        <f t="shared" si="5"/>
        <v>491725.9836</v>
      </c>
      <c r="J373" s="7">
        <f t="shared" si="6"/>
        <v>1842815</v>
      </c>
      <c r="K373" s="7">
        <f t="shared" si="8"/>
        <v>0.06674653501</v>
      </c>
    </row>
    <row r="374">
      <c r="A374" s="5" t="s">
        <v>1039</v>
      </c>
      <c r="B374" s="5" t="s">
        <v>1040</v>
      </c>
      <c r="C374" s="5" t="s">
        <v>1041</v>
      </c>
      <c r="D374" s="6">
        <v>13521.0</v>
      </c>
      <c r="E374" s="7" t="str">
        <f t="shared" si="1"/>
        <v>F</v>
      </c>
      <c r="F374" s="7" t="str">
        <f t="shared" si="2"/>
        <v>Transformative change</v>
      </c>
      <c r="G374" s="7" t="str">
        <f t="shared" si="3"/>
        <v>High</v>
      </c>
      <c r="H374" s="7">
        <f t="shared" si="4"/>
        <v>1853086</v>
      </c>
      <c r="I374" s="7">
        <f t="shared" si="5"/>
        <v>1218756.221</v>
      </c>
      <c r="J374" s="7">
        <f t="shared" si="6"/>
        <v>148731</v>
      </c>
      <c r="K374" s="7">
        <f t="shared" si="8"/>
        <v>2231</v>
      </c>
    </row>
    <row r="375">
      <c r="A375" s="5" t="s">
        <v>100</v>
      </c>
      <c r="B375" s="5" t="s">
        <v>1042</v>
      </c>
      <c r="C375" s="5" t="s">
        <v>1043</v>
      </c>
      <c r="D375" s="6">
        <v>464599.0</v>
      </c>
      <c r="E375" s="7" t="str">
        <f t="shared" si="1"/>
        <v>B</v>
      </c>
      <c r="F375" s="7" t="str">
        <f t="shared" si="2"/>
        <v>Transformative change</v>
      </c>
      <c r="G375" s="7" t="str">
        <f t="shared" si="3"/>
        <v>Low</v>
      </c>
      <c r="H375" s="7">
        <f t="shared" si="4"/>
        <v>3219082</v>
      </c>
      <c r="I375" s="7">
        <f t="shared" si="5"/>
        <v>2113321.046</v>
      </c>
      <c r="J375" s="7">
        <f t="shared" si="6"/>
        <v>5575188</v>
      </c>
      <c r="K375" s="7">
        <f t="shared" si="8"/>
        <v>2231</v>
      </c>
    </row>
    <row r="376">
      <c r="A376" s="5" t="s">
        <v>1044</v>
      </c>
      <c r="B376" s="5" t="s">
        <v>1045</v>
      </c>
      <c r="C376" s="5" t="s">
        <v>1046</v>
      </c>
      <c r="D376" s="6">
        <v>9542.0</v>
      </c>
      <c r="E376" s="7" t="str">
        <f t="shared" si="1"/>
        <v>E</v>
      </c>
      <c r="F376" s="7" t="str">
        <f t="shared" si="2"/>
        <v>Transformative change</v>
      </c>
      <c r="G376" s="7" t="str">
        <f t="shared" si="3"/>
        <v>High</v>
      </c>
      <c r="H376" s="7">
        <f t="shared" si="4"/>
        <v>204874</v>
      </c>
      <c r="I376" s="7">
        <f t="shared" si="5"/>
        <v>194207.1504</v>
      </c>
      <c r="J376" s="7">
        <f t="shared" si="6"/>
        <v>66794</v>
      </c>
      <c r="K376" s="7">
        <f t="shared" si="8"/>
        <v>2231</v>
      </c>
    </row>
    <row r="377">
      <c r="A377" s="5" t="s">
        <v>1047</v>
      </c>
      <c r="B377" s="5" t="s">
        <v>1048</v>
      </c>
      <c r="C377" s="5" t="s">
        <v>1049</v>
      </c>
      <c r="D377" s="6">
        <v>15563.0</v>
      </c>
      <c r="E377" s="7" t="str">
        <f t="shared" si="1"/>
        <v>E</v>
      </c>
      <c r="F377" s="7" t="str">
        <f t="shared" si="2"/>
        <v>Transformative change</v>
      </c>
      <c r="G377" s="7" t="str">
        <f t="shared" si="3"/>
        <v>Medium</v>
      </c>
      <c r="H377" s="7">
        <f t="shared" si="4"/>
        <v>1670606</v>
      </c>
      <c r="I377" s="7">
        <f t="shared" si="5"/>
        <v>1000476.782</v>
      </c>
      <c r="J377" s="7">
        <f t="shared" si="6"/>
        <v>62252</v>
      </c>
      <c r="K377" s="7">
        <f t="shared" si="8"/>
        <v>9.898210255</v>
      </c>
    </row>
    <row r="378">
      <c r="A378" s="5" t="s">
        <v>1050</v>
      </c>
      <c r="B378" s="5" t="s">
        <v>1051</v>
      </c>
      <c r="C378" s="5" t="s">
        <v>1052</v>
      </c>
      <c r="D378" s="6">
        <v>16296.0</v>
      </c>
      <c r="E378" s="7" t="str">
        <f t="shared" si="1"/>
        <v>F</v>
      </c>
      <c r="F378" s="7" t="str">
        <f t="shared" si="2"/>
        <v>Transformative change</v>
      </c>
      <c r="G378" s="7" t="str">
        <f t="shared" si="3"/>
        <v>Medium</v>
      </c>
      <c r="H378" s="7">
        <f t="shared" si="4"/>
        <v>1509416</v>
      </c>
      <c r="I378" s="7">
        <f t="shared" si="5"/>
        <v>29992.6633</v>
      </c>
      <c r="J378" s="7">
        <f t="shared" si="6"/>
        <v>228144</v>
      </c>
      <c r="K378" s="7">
        <f t="shared" si="8"/>
        <v>26483.5593</v>
      </c>
    </row>
    <row r="379">
      <c r="A379" s="5" t="s">
        <v>1053</v>
      </c>
      <c r="B379" s="5" t="s">
        <v>692</v>
      </c>
      <c r="C379" s="5" t="s">
        <v>1054</v>
      </c>
      <c r="D379" s="6">
        <v>12170.0</v>
      </c>
      <c r="E379" s="7" t="str">
        <f t="shared" si="1"/>
        <v>E</v>
      </c>
      <c r="F379" s="7" t="str">
        <f t="shared" si="2"/>
        <v>Transformative change</v>
      </c>
      <c r="G379" s="7" t="str">
        <f t="shared" si="3"/>
        <v>Medium</v>
      </c>
      <c r="H379" s="7">
        <f t="shared" si="4"/>
        <v>3147840</v>
      </c>
      <c r="I379" s="7">
        <f t="shared" si="5"/>
        <v>2407167.699</v>
      </c>
      <c r="J379" s="7">
        <f t="shared" si="6"/>
        <v>133870</v>
      </c>
      <c r="K379" s="7">
        <f t="shared" si="8"/>
        <v>2231</v>
      </c>
    </row>
    <row r="380">
      <c r="A380" s="5" t="s">
        <v>1055</v>
      </c>
      <c r="B380" s="5" t="s">
        <v>1056</v>
      </c>
      <c r="C380" s="5" t="s">
        <v>1057</v>
      </c>
      <c r="D380" s="6">
        <v>6997.0</v>
      </c>
      <c r="E380" s="7" t="str">
        <f t="shared" si="1"/>
        <v>A</v>
      </c>
      <c r="F380" s="7" t="str">
        <f t="shared" si="2"/>
        <v>Transformative change</v>
      </c>
      <c r="G380" s="7" t="str">
        <f t="shared" si="3"/>
        <v>Low</v>
      </c>
      <c r="H380" s="7">
        <f t="shared" si="4"/>
        <v>2360614</v>
      </c>
      <c r="I380" s="7">
        <f t="shared" si="5"/>
        <v>2322374.517</v>
      </c>
      <c r="J380" s="7">
        <f t="shared" si="6"/>
        <v>83964</v>
      </c>
      <c r="K380" s="7">
        <f t="shared" si="8"/>
        <v>31794.49759</v>
      </c>
    </row>
    <row r="381">
      <c r="A381" s="5" t="s">
        <v>1058</v>
      </c>
      <c r="B381" s="5" t="s">
        <v>1059</v>
      </c>
      <c r="C381" s="5" t="s">
        <v>1060</v>
      </c>
      <c r="D381" s="6">
        <v>12751.0</v>
      </c>
      <c r="E381" s="7" t="str">
        <f t="shared" si="1"/>
        <v>A</v>
      </c>
      <c r="F381" s="7" t="str">
        <f t="shared" si="2"/>
        <v>Transformative change</v>
      </c>
      <c r="G381" s="7" t="str">
        <f t="shared" si="3"/>
        <v>Medium</v>
      </c>
      <c r="H381" s="7">
        <f t="shared" si="4"/>
        <v>754483</v>
      </c>
      <c r="I381" s="7">
        <f t="shared" si="5"/>
        <v>163438.7083</v>
      </c>
      <c r="J381" s="7">
        <f t="shared" si="6"/>
        <v>140261</v>
      </c>
      <c r="K381" s="7">
        <f t="shared" si="8"/>
        <v>20.24333271</v>
      </c>
    </row>
    <row r="382">
      <c r="A382" s="5" t="s">
        <v>1061</v>
      </c>
      <c r="B382" s="5" t="s">
        <v>780</v>
      </c>
      <c r="C382" s="5" t="s">
        <v>74</v>
      </c>
      <c r="D382" s="6">
        <v>56086.0</v>
      </c>
      <c r="E382" s="7" t="str">
        <f t="shared" si="1"/>
        <v>C</v>
      </c>
      <c r="F382" s="7" t="str">
        <f t="shared" si="2"/>
        <v>Transformative change</v>
      </c>
      <c r="G382" s="7" t="str">
        <f t="shared" si="3"/>
        <v>High</v>
      </c>
      <c r="H382" s="7">
        <f t="shared" si="4"/>
        <v>2443386</v>
      </c>
      <c r="I382" s="7">
        <f t="shared" si="5"/>
        <v>1328047.497</v>
      </c>
      <c r="J382" s="7">
        <f t="shared" si="6"/>
        <v>841290</v>
      </c>
      <c r="K382" s="7">
        <f t="shared" si="8"/>
        <v>290882.7821</v>
      </c>
    </row>
    <row r="383">
      <c r="A383" s="5" t="s">
        <v>1062</v>
      </c>
      <c r="B383" s="5" t="s">
        <v>1063</v>
      </c>
      <c r="C383" s="5" t="s">
        <v>1064</v>
      </c>
      <c r="D383" s="6">
        <v>937345.0</v>
      </c>
      <c r="E383" s="7" t="str">
        <f t="shared" si="1"/>
        <v>B</v>
      </c>
      <c r="F383" s="7" t="str">
        <f t="shared" si="2"/>
        <v>Transformative change</v>
      </c>
      <c r="G383" s="7" t="str">
        <f t="shared" si="3"/>
        <v>High</v>
      </c>
      <c r="H383" s="7">
        <f t="shared" si="4"/>
        <v>3830420</v>
      </c>
      <c r="I383" s="7">
        <f t="shared" si="5"/>
        <v>1726375.343</v>
      </c>
      <c r="J383" s="7">
        <f t="shared" si="6"/>
        <v>11248140</v>
      </c>
      <c r="K383" s="7">
        <f t="shared" si="8"/>
        <v>97807.72514</v>
      </c>
    </row>
    <row r="384">
      <c r="A384" s="5" t="s">
        <v>1065</v>
      </c>
      <c r="B384" s="5" t="s">
        <v>1066</v>
      </c>
      <c r="C384" s="5" t="s">
        <v>1067</v>
      </c>
      <c r="D384" s="6">
        <v>17411.0</v>
      </c>
      <c r="E384" s="7" t="str">
        <f t="shared" si="1"/>
        <v>B</v>
      </c>
      <c r="F384" s="7" t="str">
        <f t="shared" si="2"/>
        <v>Transformative change</v>
      </c>
      <c r="G384" s="7" t="str">
        <f t="shared" si="3"/>
        <v>Low</v>
      </c>
      <c r="H384" s="7">
        <f t="shared" si="4"/>
        <v>2971077</v>
      </c>
      <c r="I384" s="7">
        <f t="shared" si="5"/>
        <v>2145814.967</v>
      </c>
      <c r="J384" s="7">
        <f t="shared" si="6"/>
        <v>139288</v>
      </c>
      <c r="K384" s="7">
        <f t="shared" si="8"/>
        <v>75427.95863</v>
      </c>
    </row>
    <row r="385">
      <c r="A385" s="5" t="s">
        <v>1068</v>
      </c>
      <c r="B385" s="5" t="s">
        <v>1069</v>
      </c>
      <c r="C385" s="5" t="s">
        <v>74</v>
      </c>
      <c r="D385" s="6">
        <v>16834.0</v>
      </c>
      <c r="E385" s="7" t="str">
        <f t="shared" si="1"/>
        <v>B</v>
      </c>
      <c r="F385" s="7" t="str">
        <f t="shared" si="2"/>
        <v>Transformative change</v>
      </c>
      <c r="G385" s="7" t="str">
        <f t="shared" si="3"/>
        <v>Low</v>
      </c>
      <c r="H385" s="7">
        <f t="shared" si="4"/>
        <v>2181572</v>
      </c>
      <c r="I385" s="7">
        <f t="shared" si="5"/>
        <v>273652.9239</v>
      </c>
      <c r="J385" s="7">
        <f t="shared" si="6"/>
        <v>101004</v>
      </c>
      <c r="K385" s="7">
        <f t="shared" si="8"/>
        <v>275.4096204</v>
      </c>
    </row>
    <row r="386">
      <c r="A386" s="5" t="s">
        <v>1070</v>
      </c>
      <c r="B386" s="5" t="s">
        <v>1071</v>
      </c>
      <c r="C386" s="5" t="s">
        <v>74</v>
      </c>
      <c r="D386" s="6">
        <v>159598.0</v>
      </c>
      <c r="E386" s="7" t="str">
        <f t="shared" si="1"/>
        <v>F</v>
      </c>
      <c r="F386" s="7" t="str">
        <f t="shared" si="2"/>
        <v>Transformative change</v>
      </c>
      <c r="G386" s="7" t="str">
        <f t="shared" si="3"/>
        <v>Medium</v>
      </c>
      <c r="H386" s="7">
        <f t="shared" si="4"/>
        <v>1512608</v>
      </c>
      <c r="I386" s="7">
        <f t="shared" si="5"/>
        <v>1433771.36</v>
      </c>
      <c r="J386" s="7">
        <f t="shared" si="6"/>
        <v>1436382</v>
      </c>
      <c r="K386" s="7">
        <f t="shared" si="8"/>
        <v>450864.8443</v>
      </c>
    </row>
    <row r="387">
      <c r="A387" s="5" t="s">
        <v>1072</v>
      </c>
      <c r="B387" s="5" t="s">
        <v>1073</v>
      </c>
      <c r="C387" s="5" t="s">
        <v>1074</v>
      </c>
      <c r="D387" s="6">
        <v>9603.0</v>
      </c>
      <c r="E387" s="7" t="str">
        <f t="shared" si="1"/>
        <v>A</v>
      </c>
      <c r="F387" s="7" t="str">
        <f t="shared" si="2"/>
        <v>Transformative change</v>
      </c>
      <c r="G387" s="7" t="str">
        <f t="shared" si="3"/>
        <v>Low</v>
      </c>
      <c r="H387" s="7">
        <f t="shared" si="4"/>
        <v>3273124</v>
      </c>
      <c r="I387" s="7">
        <f t="shared" si="5"/>
        <v>2161023.252</v>
      </c>
      <c r="J387" s="7">
        <f t="shared" si="6"/>
        <v>48015</v>
      </c>
      <c r="K387" s="7">
        <f t="shared" si="8"/>
        <v>2231</v>
      </c>
    </row>
    <row r="388">
      <c r="A388" s="5" t="s">
        <v>1075</v>
      </c>
      <c r="B388" s="5" t="s">
        <v>1076</v>
      </c>
      <c r="C388" s="5" t="s">
        <v>74</v>
      </c>
      <c r="D388" s="6">
        <v>7334.0</v>
      </c>
      <c r="E388" s="7" t="str">
        <f t="shared" si="1"/>
        <v>A</v>
      </c>
      <c r="F388" s="7" t="str">
        <f t="shared" si="2"/>
        <v>Transformative change</v>
      </c>
      <c r="G388" s="7" t="str">
        <f t="shared" si="3"/>
        <v>Low</v>
      </c>
      <c r="H388" s="7">
        <f t="shared" si="4"/>
        <v>1133641</v>
      </c>
      <c r="I388" s="7">
        <f t="shared" si="5"/>
        <v>210075.4862</v>
      </c>
      <c r="J388" s="7">
        <f t="shared" si="6"/>
        <v>66006</v>
      </c>
      <c r="K388" s="7">
        <f t="shared" si="8"/>
        <v>61023.0744</v>
      </c>
    </row>
    <row r="389">
      <c r="A389" s="5" t="s">
        <v>1077</v>
      </c>
      <c r="B389" s="5" t="s">
        <v>1078</v>
      </c>
      <c r="C389" s="5" t="s">
        <v>1079</v>
      </c>
      <c r="D389" s="6">
        <v>11022.0</v>
      </c>
      <c r="E389" s="7" t="str">
        <f t="shared" si="1"/>
        <v>G</v>
      </c>
      <c r="F389" s="7" t="str">
        <f t="shared" si="2"/>
        <v>High ambition</v>
      </c>
      <c r="G389" s="7" t="str">
        <f t="shared" si="3"/>
        <v>Medium</v>
      </c>
      <c r="H389" s="7">
        <f t="shared" si="4"/>
        <v>481470</v>
      </c>
      <c r="I389" s="7">
        <f t="shared" si="5"/>
        <v>362252.833</v>
      </c>
      <c r="J389" s="7">
        <f t="shared" si="6"/>
        <v>99198</v>
      </c>
      <c r="K389" s="7">
        <f t="shared" si="8"/>
        <v>565.5522562</v>
      </c>
    </row>
    <row r="390">
      <c r="A390" s="5" t="s">
        <v>1080</v>
      </c>
      <c r="B390" s="5" t="s">
        <v>931</v>
      </c>
      <c r="C390" s="5" t="s">
        <v>1081</v>
      </c>
      <c r="D390" s="6">
        <v>17705.0</v>
      </c>
      <c r="E390" s="7" t="str">
        <f t="shared" si="1"/>
        <v>F</v>
      </c>
      <c r="F390" s="7" t="str">
        <f t="shared" si="2"/>
        <v>Transformative change</v>
      </c>
      <c r="G390" s="7" t="str">
        <f t="shared" si="3"/>
        <v>Low</v>
      </c>
      <c r="H390" s="7">
        <f t="shared" si="4"/>
        <v>129767</v>
      </c>
      <c r="I390" s="7">
        <f t="shared" si="5"/>
        <v>115901.1773</v>
      </c>
      <c r="J390" s="7">
        <f t="shared" si="6"/>
        <v>88525</v>
      </c>
      <c r="K390" s="7">
        <f t="shared" si="8"/>
        <v>2231</v>
      </c>
    </row>
    <row r="391">
      <c r="A391" s="5" t="s">
        <v>1082</v>
      </c>
      <c r="B391" s="5" t="s">
        <v>1083</v>
      </c>
      <c r="C391" s="5" t="s">
        <v>1084</v>
      </c>
      <c r="D391" s="6">
        <v>63457.0</v>
      </c>
      <c r="E391" s="7" t="str">
        <f t="shared" si="1"/>
        <v>G</v>
      </c>
      <c r="F391" s="7" t="str">
        <f t="shared" si="2"/>
        <v>Transformative change</v>
      </c>
      <c r="G391" s="7" t="str">
        <f t="shared" si="3"/>
        <v>Low</v>
      </c>
      <c r="H391" s="7">
        <f t="shared" si="4"/>
        <v>3512104</v>
      </c>
      <c r="I391" s="7">
        <f t="shared" si="5"/>
        <v>1095445.033</v>
      </c>
      <c r="J391" s="7">
        <f t="shared" si="6"/>
        <v>634570</v>
      </c>
      <c r="K391" s="7">
        <f t="shared" si="8"/>
        <v>2231</v>
      </c>
    </row>
    <row r="392">
      <c r="A392" s="5" t="s">
        <v>1085</v>
      </c>
      <c r="B392" s="5" t="s">
        <v>1086</v>
      </c>
      <c r="C392" s="5" t="s">
        <v>91</v>
      </c>
      <c r="D392" s="6">
        <v>10291.0</v>
      </c>
      <c r="E392" s="7" t="str">
        <f t="shared" si="1"/>
        <v>A</v>
      </c>
      <c r="F392" s="7" t="str">
        <f t="shared" si="2"/>
        <v>Transformative change</v>
      </c>
      <c r="G392" s="7" t="str">
        <f t="shared" si="3"/>
        <v>Low</v>
      </c>
      <c r="H392" s="7">
        <f t="shared" si="4"/>
        <v>609690</v>
      </c>
      <c r="I392" s="7">
        <f t="shared" si="5"/>
        <v>392074.4579</v>
      </c>
      <c r="J392" s="7">
        <f t="shared" si="6"/>
        <v>51455</v>
      </c>
      <c r="K392" s="7">
        <f t="shared" si="8"/>
        <v>2231</v>
      </c>
    </row>
    <row r="393">
      <c r="A393" s="5" t="s">
        <v>1087</v>
      </c>
      <c r="B393" s="5" t="s">
        <v>1088</v>
      </c>
      <c r="C393" s="5" t="s">
        <v>1089</v>
      </c>
      <c r="D393" s="6">
        <v>8806.0</v>
      </c>
      <c r="E393" s="7" t="str">
        <f t="shared" si="1"/>
        <v>F</v>
      </c>
      <c r="F393" s="7" t="str">
        <f t="shared" si="2"/>
        <v>Transformative change</v>
      </c>
      <c r="G393" s="7" t="str">
        <f t="shared" si="3"/>
        <v>High</v>
      </c>
      <c r="H393" s="7">
        <f t="shared" si="4"/>
        <v>3348719</v>
      </c>
      <c r="I393" s="7">
        <f t="shared" si="5"/>
        <v>777619.4089</v>
      </c>
      <c r="J393" s="7">
        <f t="shared" si="6"/>
        <v>96866</v>
      </c>
      <c r="K393" s="7">
        <f t="shared" si="8"/>
        <v>2231</v>
      </c>
    </row>
    <row r="394">
      <c r="A394" s="5" t="s">
        <v>1090</v>
      </c>
      <c r="B394" s="5" t="s">
        <v>1091</v>
      </c>
      <c r="C394" s="5" t="s">
        <v>1092</v>
      </c>
      <c r="D394" s="6">
        <v>75602.0</v>
      </c>
      <c r="E394" s="7" t="str">
        <f t="shared" si="1"/>
        <v>B</v>
      </c>
      <c r="F394" s="7" t="str">
        <f t="shared" si="2"/>
        <v>High ambition</v>
      </c>
      <c r="G394" s="7" t="str">
        <f t="shared" si="3"/>
        <v>High</v>
      </c>
      <c r="H394" s="7">
        <f t="shared" si="4"/>
        <v>512565</v>
      </c>
      <c r="I394" s="7">
        <f t="shared" si="5"/>
        <v>137068.0465</v>
      </c>
      <c r="J394" s="7">
        <f t="shared" si="6"/>
        <v>302408</v>
      </c>
      <c r="K394" s="7">
        <f t="shared" si="8"/>
        <v>165653.9836</v>
      </c>
    </row>
    <row r="395">
      <c r="A395" s="5" t="s">
        <v>1093</v>
      </c>
      <c r="B395" s="5" t="s">
        <v>1094</v>
      </c>
      <c r="C395" s="5" t="s">
        <v>1095</v>
      </c>
      <c r="D395" s="6">
        <v>5906.0</v>
      </c>
      <c r="E395" s="7" t="str">
        <f t="shared" si="1"/>
        <v>C</v>
      </c>
      <c r="F395" s="7" t="str">
        <f t="shared" si="2"/>
        <v>Transformative change</v>
      </c>
      <c r="G395" s="7" t="str">
        <f t="shared" si="3"/>
        <v>High</v>
      </c>
      <c r="H395" s="7">
        <f t="shared" si="4"/>
        <v>3003176</v>
      </c>
      <c r="I395" s="7">
        <f t="shared" si="5"/>
        <v>2410825.416</v>
      </c>
      <c r="J395" s="7">
        <f t="shared" si="6"/>
        <v>41342</v>
      </c>
      <c r="K395" s="7">
        <f t="shared" si="8"/>
        <v>0.0007099320892</v>
      </c>
    </row>
    <row r="396">
      <c r="A396" s="5" t="s">
        <v>1096</v>
      </c>
      <c r="B396" s="5" t="s">
        <v>1097</v>
      </c>
      <c r="C396" s="5" t="s">
        <v>74</v>
      </c>
      <c r="D396" s="6">
        <v>16650.0</v>
      </c>
      <c r="E396" s="7" t="str">
        <f t="shared" si="1"/>
        <v>D</v>
      </c>
      <c r="F396" s="7" t="str">
        <f t="shared" si="2"/>
        <v>Transformative change</v>
      </c>
      <c r="G396" s="7" t="str">
        <f t="shared" si="3"/>
        <v>High</v>
      </c>
      <c r="H396" s="7">
        <f t="shared" si="4"/>
        <v>3396159</v>
      </c>
      <c r="I396" s="7">
        <f t="shared" si="5"/>
        <v>1352034.393</v>
      </c>
      <c r="J396" s="7">
        <f t="shared" si="6"/>
        <v>166500</v>
      </c>
      <c r="K396" s="7">
        <f t="shared" si="8"/>
        <v>2231</v>
      </c>
    </row>
    <row r="397">
      <c r="A397" s="5" t="s">
        <v>1098</v>
      </c>
      <c r="B397" s="5" t="s">
        <v>1099</v>
      </c>
      <c r="C397" s="5" t="s">
        <v>1100</v>
      </c>
      <c r="D397" s="6">
        <v>20381.0</v>
      </c>
      <c r="E397" s="7" t="str">
        <f t="shared" si="1"/>
        <v>B</v>
      </c>
      <c r="F397" s="7" t="str">
        <f t="shared" si="2"/>
        <v>Transformative change</v>
      </c>
      <c r="G397" s="7" t="str">
        <f t="shared" si="3"/>
        <v>Low</v>
      </c>
      <c r="H397" s="7">
        <f t="shared" si="4"/>
        <v>206514</v>
      </c>
      <c r="I397" s="7">
        <f t="shared" si="5"/>
        <v>87919.57292</v>
      </c>
      <c r="J397" s="7">
        <f t="shared" si="6"/>
        <v>203810</v>
      </c>
      <c r="K397" s="7">
        <f t="shared" si="8"/>
        <v>30492.56317</v>
      </c>
    </row>
    <row r="398">
      <c r="A398" s="5" t="s">
        <v>1101</v>
      </c>
      <c r="B398" s="5" t="s">
        <v>421</v>
      </c>
      <c r="C398" s="5" t="s">
        <v>1102</v>
      </c>
      <c r="D398" s="6">
        <v>16866.0</v>
      </c>
      <c r="E398" s="7" t="str">
        <f t="shared" si="1"/>
        <v>F</v>
      </c>
      <c r="F398" s="7" t="str">
        <f t="shared" si="2"/>
        <v>Transformative change</v>
      </c>
      <c r="G398" s="7" t="str">
        <f t="shared" si="3"/>
        <v>Low</v>
      </c>
      <c r="H398" s="7">
        <f t="shared" si="4"/>
        <v>471138</v>
      </c>
      <c r="I398" s="7">
        <f t="shared" si="5"/>
        <v>106361.827</v>
      </c>
      <c r="J398" s="7">
        <f t="shared" si="6"/>
        <v>84330</v>
      </c>
      <c r="K398" s="7">
        <f t="shared" si="8"/>
        <v>2231</v>
      </c>
    </row>
    <row r="399">
      <c r="A399" s="5" t="s">
        <v>1103</v>
      </c>
      <c r="B399" s="5" t="s">
        <v>1104</v>
      </c>
      <c r="C399" s="5" t="s">
        <v>74</v>
      </c>
      <c r="D399" s="6">
        <v>11250.0</v>
      </c>
      <c r="E399" s="7" t="str">
        <f t="shared" si="1"/>
        <v>D</v>
      </c>
      <c r="F399" s="7" t="str">
        <f t="shared" si="2"/>
        <v>Transformative change</v>
      </c>
      <c r="G399" s="7" t="str">
        <f t="shared" si="3"/>
        <v>High</v>
      </c>
      <c r="H399" s="7">
        <f t="shared" si="4"/>
        <v>1498077</v>
      </c>
      <c r="I399" s="7">
        <f t="shared" si="5"/>
        <v>935528.4909</v>
      </c>
      <c r="J399" s="7">
        <f t="shared" si="6"/>
        <v>146250</v>
      </c>
      <c r="K399" s="7">
        <f t="shared" si="8"/>
        <v>16848.07441</v>
      </c>
    </row>
    <row r="400">
      <c r="A400" s="5" t="s">
        <v>1105</v>
      </c>
      <c r="B400" s="5" t="s">
        <v>1106</v>
      </c>
      <c r="C400" s="5" t="s">
        <v>1107</v>
      </c>
      <c r="D400" s="6">
        <v>6928.0</v>
      </c>
      <c r="E400" s="7" t="str">
        <f t="shared" si="1"/>
        <v>G</v>
      </c>
      <c r="F400" s="7" t="str">
        <f t="shared" si="2"/>
        <v>Transformative change</v>
      </c>
      <c r="G400" s="7" t="str">
        <f t="shared" si="3"/>
        <v>Low</v>
      </c>
      <c r="H400" s="7">
        <f t="shared" si="4"/>
        <v>2321835</v>
      </c>
      <c r="I400" s="7">
        <f t="shared" si="5"/>
        <v>562589.1633</v>
      </c>
      <c r="J400" s="7">
        <f t="shared" si="6"/>
        <v>34640</v>
      </c>
      <c r="K400" s="7">
        <f t="shared" si="8"/>
        <v>2231</v>
      </c>
    </row>
    <row r="401">
      <c r="A401" s="5" t="s">
        <v>1108</v>
      </c>
      <c r="B401" s="5" t="s">
        <v>1109</v>
      </c>
      <c r="C401" s="5" t="s">
        <v>1110</v>
      </c>
      <c r="D401" s="6">
        <v>81393.0</v>
      </c>
      <c r="E401" s="7" t="str">
        <f t="shared" si="1"/>
        <v>B</v>
      </c>
      <c r="F401" s="7" t="str">
        <f t="shared" si="2"/>
        <v>Transformative change</v>
      </c>
      <c r="G401" s="7" t="str">
        <f t="shared" si="3"/>
        <v>Medium</v>
      </c>
      <c r="H401" s="7">
        <f t="shared" si="4"/>
        <v>2772875</v>
      </c>
      <c r="I401" s="7">
        <f t="shared" si="5"/>
        <v>346851.9167</v>
      </c>
      <c r="J401" s="7">
        <f t="shared" si="6"/>
        <v>325572</v>
      </c>
      <c r="K401" s="7">
        <f t="shared" si="8"/>
        <v>85581.07593</v>
      </c>
    </row>
    <row r="402">
      <c r="A402" s="5" t="s">
        <v>1111</v>
      </c>
      <c r="B402" s="5" t="s">
        <v>1112</v>
      </c>
      <c r="C402" s="5" t="s">
        <v>1113</v>
      </c>
      <c r="D402" s="6">
        <v>29138.0</v>
      </c>
      <c r="E402" s="7" t="str">
        <f t="shared" si="1"/>
        <v>E</v>
      </c>
      <c r="F402" s="7" t="str">
        <f t="shared" si="2"/>
        <v>Transformative change</v>
      </c>
      <c r="G402" s="7" t="str">
        <f t="shared" si="3"/>
        <v>Medium</v>
      </c>
      <c r="H402" s="7">
        <f t="shared" si="4"/>
        <v>824986</v>
      </c>
      <c r="I402" s="7">
        <f t="shared" si="5"/>
        <v>522999.954</v>
      </c>
      <c r="J402" s="7">
        <f t="shared" si="6"/>
        <v>291380</v>
      </c>
      <c r="K402" s="7">
        <f t="shared" si="8"/>
        <v>286690.0496</v>
      </c>
    </row>
    <row r="403">
      <c r="A403" s="5" t="s">
        <v>1114</v>
      </c>
      <c r="B403" s="5" t="s">
        <v>1115</v>
      </c>
      <c r="C403" s="5" t="s">
        <v>1116</v>
      </c>
      <c r="D403" s="6">
        <v>14588.0</v>
      </c>
      <c r="E403" s="7" t="str">
        <f t="shared" si="1"/>
        <v>D</v>
      </c>
      <c r="F403" s="7" t="str">
        <f t="shared" si="2"/>
        <v>High ambition</v>
      </c>
      <c r="G403" s="7" t="str">
        <f t="shared" si="3"/>
        <v>High</v>
      </c>
      <c r="H403" s="7">
        <f t="shared" si="4"/>
        <v>3036661</v>
      </c>
      <c r="I403" s="7">
        <f t="shared" si="5"/>
        <v>167518.5726</v>
      </c>
      <c r="J403" s="7">
        <f t="shared" si="6"/>
        <v>189644</v>
      </c>
      <c r="K403" s="7">
        <f t="shared" si="8"/>
        <v>71017.38407</v>
      </c>
    </row>
    <row r="404">
      <c r="A404" s="5" t="s">
        <v>1117</v>
      </c>
      <c r="B404" s="5" t="s">
        <v>1118</v>
      </c>
      <c r="C404" s="5" t="s">
        <v>238</v>
      </c>
      <c r="D404" s="6">
        <v>12118.0</v>
      </c>
      <c r="E404" s="7" t="str">
        <f t="shared" si="1"/>
        <v>E</v>
      </c>
      <c r="F404" s="7" t="str">
        <f t="shared" si="2"/>
        <v>Transformative change</v>
      </c>
      <c r="G404" s="7" t="str">
        <f t="shared" si="3"/>
        <v>High</v>
      </c>
      <c r="H404" s="7">
        <f t="shared" si="4"/>
        <v>1115427</v>
      </c>
      <c r="I404" s="7">
        <f t="shared" si="5"/>
        <v>962758.0486</v>
      </c>
      <c r="J404" s="7">
        <f t="shared" si="6"/>
        <v>48472</v>
      </c>
      <c r="K404" s="7">
        <f t="shared" si="8"/>
        <v>2231</v>
      </c>
    </row>
    <row r="405">
      <c r="A405" s="5" t="s">
        <v>1119</v>
      </c>
      <c r="B405" s="5" t="s">
        <v>1120</v>
      </c>
      <c r="C405" s="5" t="s">
        <v>1121</v>
      </c>
      <c r="D405" s="6">
        <v>237340.0</v>
      </c>
      <c r="E405" s="7" t="str">
        <f t="shared" si="1"/>
        <v>A</v>
      </c>
      <c r="F405" s="7" t="str">
        <f t="shared" si="2"/>
        <v>Transformative change</v>
      </c>
      <c r="G405" s="7" t="str">
        <f t="shared" si="3"/>
        <v>Low</v>
      </c>
      <c r="H405" s="7">
        <f t="shared" si="4"/>
        <v>3173765</v>
      </c>
      <c r="I405" s="7">
        <f t="shared" si="5"/>
        <v>113205.5213</v>
      </c>
      <c r="J405" s="7">
        <f t="shared" si="6"/>
        <v>1424040</v>
      </c>
      <c r="K405" s="7">
        <f t="shared" si="8"/>
        <v>0.000002736046133</v>
      </c>
    </row>
    <row r="406">
      <c r="A406" s="5" t="s">
        <v>1122</v>
      </c>
      <c r="B406" s="5" t="s">
        <v>1123</v>
      </c>
      <c r="C406" s="5" t="s">
        <v>1124</v>
      </c>
      <c r="D406" s="6">
        <v>10126.0</v>
      </c>
      <c r="E406" s="7" t="str">
        <f t="shared" si="1"/>
        <v>G</v>
      </c>
      <c r="F406" s="7" t="str">
        <f t="shared" si="2"/>
        <v>Transformative change</v>
      </c>
      <c r="G406" s="7" t="str">
        <f t="shared" si="3"/>
        <v>Low</v>
      </c>
      <c r="H406" s="7">
        <f t="shared" si="4"/>
        <v>931446</v>
      </c>
      <c r="I406" s="7">
        <f t="shared" si="5"/>
        <v>763010.217</v>
      </c>
      <c r="J406" s="7">
        <f t="shared" si="6"/>
        <v>50630</v>
      </c>
      <c r="K406" s="7">
        <f t="shared" si="8"/>
        <v>2231</v>
      </c>
    </row>
    <row r="407">
      <c r="A407" s="5" t="s">
        <v>1125</v>
      </c>
      <c r="B407" s="5" t="s">
        <v>1126</v>
      </c>
      <c r="C407" s="5" t="s">
        <v>1127</v>
      </c>
      <c r="D407" s="6">
        <v>16726.0</v>
      </c>
      <c r="E407" s="7" t="str">
        <f t="shared" si="1"/>
        <v>A</v>
      </c>
      <c r="F407" s="7" t="str">
        <f t="shared" si="2"/>
        <v>Transformative change</v>
      </c>
      <c r="G407" s="7" t="str">
        <f t="shared" si="3"/>
        <v>Low</v>
      </c>
      <c r="H407" s="7">
        <f t="shared" si="4"/>
        <v>3674590</v>
      </c>
      <c r="I407" s="7">
        <f t="shared" si="5"/>
        <v>519311.5137</v>
      </c>
      <c r="J407" s="7">
        <f t="shared" si="6"/>
        <v>183986</v>
      </c>
      <c r="K407" s="7">
        <f t="shared" si="8"/>
        <v>153.5710323</v>
      </c>
    </row>
    <row r="408">
      <c r="A408" s="5" t="s">
        <v>1128</v>
      </c>
      <c r="B408" s="5" t="s">
        <v>1129</v>
      </c>
      <c r="C408" s="5" t="s">
        <v>1130</v>
      </c>
      <c r="D408" s="6">
        <v>8266.0</v>
      </c>
      <c r="E408" s="7" t="str">
        <f t="shared" si="1"/>
        <v>F</v>
      </c>
      <c r="F408" s="7" t="str">
        <f t="shared" si="2"/>
        <v>Transformative change</v>
      </c>
      <c r="G408" s="7" t="str">
        <f t="shared" si="3"/>
        <v>Low</v>
      </c>
      <c r="H408" s="7">
        <f t="shared" si="4"/>
        <v>302439</v>
      </c>
      <c r="I408" s="7">
        <f t="shared" si="5"/>
        <v>219806.2961</v>
      </c>
      <c r="J408" s="7">
        <f t="shared" si="6"/>
        <v>41330</v>
      </c>
      <c r="K408" s="7">
        <f t="shared" si="8"/>
        <v>2231</v>
      </c>
    </row>
    <row r="409">
      <c r="A409" s="5" t="s">
        <v>1131</v>
      </c>
      <c r="B409" s="5" t="s">
        <v>1132</v>
      </c>
      <c r="C409" s="5" t="s">
        <v>1133</v>
      </c>
      <c r="D409" s="6">
        <v>12733.0</v>
      </c>
      <c r="E409" s="7" t="str">
        <f t="shared" si="1"/>
        <v>E</v>
      </c>
      <c r="F409" s="7" t="str">
        <f t="shared" si="2"/>
        <v>High ambition</v>
      </c>
      <c r="G409" s="7" t="str">
        <f t="shared" si="3"/>
        <v>Low</v>
      </c>
      <c r="H409" s="7">
        <f t="shared" si="4"/>
        <v>1057728</v>
      </c>
      <c r="I409" s="7">
        <f t="shared" si="5"/>
        <v>396163.2909</v>
      </c>
      <c r="J409" s="7">
        <f t="shared" si="6"/>
        <v>114597</v>
      </c>
      <c r="K409" s="7">
        <f t="shared" si="8"/>
        <v>3349.071073</v>
      </c>
    </row>
    <row r="410">
      <c r="A410" s="5" t="s">
        <v>1134</v>
      </c>
      <c r="B410" s="5" t="s">
        <v>1135</v>
      </c>
      <c r="C410" s="5" t="s">
        <v>1136</v>
      </c>
      <c r="D410" s="6">
        <v>71022.0</v>
      </c>
      <c r="E410" s="7" t="str">
        <f t="shared" si="1"/>
        <v>B</v>
      </c>
      <c r="F410" s="7" t="str">
        <f t="shared" si="2"/>
        <v>Transformative change</v>
      </c>
      <c r="G410" s="7" t="str">
        <f t="shared" si="3"/>
        <v>High</v>
      </c>
      <c r="H410" s="7">
        <f t="shared" si="4"/>
        <v>2357732</v>
      </c>
      <c r="I410" s="7">
        <f t="shared" si="5"/>
        <v>1838833.953</v>
      </c>
      <c r="J410" s="7">
        <f t="shared" si="6"/>
        <v>497154</v>
      </c>
      <c r="K410" s="7">
        <f t="shared" si="8"/>
        <v>2231</v>
      </c>
    </row>
    <row r="411">
      <c r="A411" s="5" t="s">
        <v>1137</v>
      </c>
      <c r="B411" s="5" t="s">
        <v>1138</v>
      </c>
      <c r="C411" s="5" t="s">
        <v>74</v>
      </c>
      <c r="D411" s="6">
        <v>12576.0</v>
      </c>
      <c r="E411" s="7" t="str">
        <f t="shared" si="1"/>
        <v>B</v>
      </c>
      <c r="F411" s="7" t="str">
        <f t="shared" si="2"/>
        <v>Transformative change</v>
      </c>
      <c r="G411" s="7" t="str">
        <f t="shared" si="3"/>
        <v>Medium</v>
      </c>
      <c r="H411" s="7">
        <f t="shared" si="4"/>
        <v>3036037</v>
      </c>
      <c r="I411" s="7">
        <f t="shared" si="5"/>
        <v>1321296.06</v>
      </c>
      <c r="J411" s="7">
        <f t="shared" si="6"/>
        <v>88032</v>
      </c>
      <c r="K411" s="7">
        <f t="shared" si="8"/>
        <v>2231</v>
      </c>
    </row>
    <row r="412">
      <c r="A412" s="5" t="s">
        <v>1139</v>
      </c>
      <c r="B412" s="5" t="s">
        <v>1140</v>
      </c>
      <c r="C412" s="5" t="s">
        <v>1141</v>
      </c>
      <c r="D412" s="6">
        <v>9477.0</v>
      </c>
      <c r="E412" s="7" t="str">
        <f t="shared" si="1"/>
        <v>D</v>
      </c>
      <c r="F412" s="7" t="str">
        <f t="shared" si="2"/>
        <v>Transformative change</v>
      </c>
      <c r="G412" s="7" t="str">
        <f t="shared" si="3"/>
        <v>High</v>
      </c>
      <c r="H412" s="7">
        <f t="shared" si="4"/>
        <v>3117893</v>
      </c>
      <c r="I412" s="7">
        <f t="shared" si="5"/>
        <v>672004.0001</v>
      </c>
      <c r="J412" s="7">
        <f t="shared" si="6"/>
        <v>132678</v>
      </c>
      <c r="K412" s="7">
        <f t="shared" si="8"/>
        <v>3.268799071</v>
      </c>
    </row>
    <row r="413">
      <c r="A413" s="5" t="s">
        <v>1142</v>
      </c>
      <c r="B413" s="5" t="s">
        <v>1143</v>
      </c>
      <c r="C413" s="5" t="s">
        <v>74</v>
      </c>
      <c r="D413" s="6">
        <v>16716.0</v>
      </c>
      <c r="E413" s="7" t="str">
        <f t="shared" si="1"/>
        <v>E</v>
      </c>
      <c r="F413" s="7" t="str">
        <f t="shared" si="2"/>
        <v>Transformative change</v>
      </c>
      <c r="G413" s="7" t="str">
        <f t="shared" si="3"/>
        <v>Low</v>
      </c>
      <c r="H413" s="7">
        <f t="shared" si="4"/>
        <v>2676547</v>
      </c>
      <c r="I413" s="7">
        <f t="shared" si="5"/>
        <v>469038.6066</v>
      </c>
      <c r="J413" s="7">
        <f t="shared" si="6"/>
        <v>66864</v>
      </c>
      <c r="K413" s="7">
        <f t="shared" si="8"/>
        <v>25897.80764</v>
      </c>
    </row>
    <row r="414">
      <c r="A414" s="5" t="s">
        <v>259</v>
      </c>
      <c r="B414" s="5" t="s">
        <v>1144</v>
      </c>
      <c r="C414" s="5" t="s">
        <v>1145</v>
      </c>
      <c r="D414" s="6">
        <v>14804.0</v>
      </c>
      <c r="E414" s="7" t="str">
        <f t="shared" si="1"/>
        <v>B</v>
      </c>
      <c r="F414" s="7" t="str">
        <f t="shared" si="2"/>
        <v>Transformative change</v>
      </c>
      <c r="G414" s="7" t="str">
        <f t="shared" si="3"/>
        <v>Low</v>
      </c>
      <c r="H414" s="7">
        <f t="shared" si="4"/>
        <v>2118580</v>
      </c>
      <c r="I414" s="7">
        <f t="shared" si="5"/>
        <v>545835.682</v>
      </c>
      <c r="J414" s="7">
        <f t="shared" si="6"/>
        <v>118432</v>
      </c>
      <c r="K414" s="7">
        <f t="shared" si="8"/>
        <v>2231</v>
      </c>
    </row>
    <row r="415">
      <c r="A415" s="5" t="s">
        <v>1146</v>
      </c>
      <c r="B415" s="5" t="s">
        <v>1147</v>
      </c>
      <c r="C415" s="5" t="s">
        <v>1148</v>
      </c>
      <c r="D415" s="6">
        <v>15044.0</v>
      </c>
      <c r="E415" s="7" t="str">
        <f t="shared" si="1"/>
        <v>G</v>
      </c>
      <c r="F415" s="7" t="str">
        <f t="shared" si="2"/>
        <v>High ambition</v>
      </c>
      <c r="G415" s="7" t="str">
        <f t="shared" si="3"/>
        <v>Low</v>
      </c>
      <c r="H415" s="7">
        <f t="shared" si="4"/>
        <v>570945</v>
      </c>
      <c r="I415" s="7">
        <f t="shared" si="5"/>
        <v>115354.7187</v>
      </c>
      <c r="J415" s="7">
        <f t="shared" si="6"/>
        <v>120352</v>
      </c>
      <c r="K415" s="7">
        <f t="shared" si="8"/>
        <v>58392.31897</v>
      </c>
    </row>
    <row r="416">
      <c r="A416" s="5" t="s">
        <v>1149</v>
      </c>
      <c r="B416" s="5" t="s">
        <v>1150</v>
      </c>
      <c r="C416" s="5" t="s">
        <v>1151</v>
      </c>
      <c r="D416" s="6">
        <v>11945.0</v>
      </c>
      <c r="E416" s="7" t="str">
        <f t="shared" si="1"/>
        <v>B</v>
      </c>
      <c r="F416" s="7" t="str">
        <f t="shared" si="2"/>
        <v>Transformative change</v>
      </c>
      <c r="G416" s="7" t="str">
        <f t="shared" si="3"/>
        <v>High</v>
      </c>
      <c r="H416" s="7">
        <f t="shared" si="4"/>
        <v>1571902</v>
      </c>
      <c r="I416" s="7">
        <f t="shared" si="5"/>
        <v>73354.45791</v>
      </c>
      <c r="J416" s="7">
        <f t="shared" si="6"/>
        <v>131395</v>
      </c>
      <c r="K416" s="7">
        <f t="shared" si="8"/>
        <v>2231</v>
      </c>
    </row>
    <row r="417">
      <c r="A417" s="5" t="s">
        <v>1152</v>
      </c>
      <c r="B417" s="5" t="s">
        <v>1153</v>
      </c>
      <c r="C417" s="5" t="s">
        <v>1154</v>
      </c>
      <c r="D417" s="6">
        <v>20385.0</v>
      </c>
      <c r="E417" s="7" t="str">
        <f t="shared" si="1"/>
        <v>B</v>
      </c>
      <c r="F417" s="7" t="str">
        <f t="shared" si="2"/>
        <v>Transformative change</v>
      </c>
      <c r="G417" s="7" t="str">
        <f t="shared" si="3"/>
        <v>High</v>
      </c>
      <c r="H417" s="7">
        <f t="shared" si="4"/>
        <v>2806473</v>
      </c>
      <c r="I417" s="7">
        <f t="shared" si="5"/>
        <v>1792681.126</v>
      </c>
      <c r="J417" s="7">
        <f t="shared" si="6"/>
        <v>81540</v>
      </c>
      <c r="K417" s="7">
        <f t="shared" si="8"/>
        <v>11165.30971</v>
      </c>
    </row>
    <row r="418">
      <c r="A418" s="5" t="s">
        <v>1155</v>
      </c>
      <c r="B418" s="5" t="s">
        <v>1156</v>
      </c>
      <c r="C418" s="5" t="s">
        <v>1157</v>
      </c>
      <c r="D418" s="6">
        <v>19573.0</v>
      </c>
      <c r="E418" s="7" t="str">
        <f t="shared" si="1"/>
        <v>E</v>
      </c>
      <c r="F418" s="7" t="str">
        <f t="shared" si="2"/>
        <v>Transformative change</v>
      </c>
      <c r="G418" s="7" t="str">
        <f t="shared" si="3"/>
        <v>Medium</v>
      </c>
      <c r="H418" s="7">
        <f t="shared" si="4"/>
        <v>1451525</v>
      </c>
      <c r="I418" s="7">
        <f t="shared" si="5"/>
        <v>467820.8695</v>
      </c>
      <c r="J418" s="7">
        <f t="shared" si="6"/>
        <v>215303</v>
      </c>
      <c r="K418" s="7">
        <f t="shared" si="8"/>
        <v>183680.8975</v>
      </c>
    </row>
    <row r="419">
      <c r="A419" s="5" t="s">
        <v>1158</v>
      </c>
      <c r="B419" s="5" t="s">
        <v>1159</v>
      </c>
      <c r="C419" s="5" t="s">
        <v>1160</v>
      </c>
      <c r="D419" s="6">
        <v>6907.0</v>
      </c>
      <c r="E419" s="7" t="str">
        <f t="shared" si="1"/>
        <v>D</v>
      </c>
      <c r="F419" s="7" t="str">
        <f t="shared" si="2"/>
        <v>Transformative change</v>
      </c>
      <c r="G419" s="7" t="str">
        <f t="shared" si="3"/>
        <v>Medium</v>
      </c>
      <c r="H419" s="7">
        <f t="shared" si="4"/>
        <v>1746355</v>
      </c>
      <c r="I419" s="7">
        <f t="shared" si="5"/>
        <v>108695.693</v>
      </c>
      <c r="J419" s="7">
        <f t="shared" si="6"/>
        <v>96698</v>
      </c>
      <c r="K419" s="7">
        <f t="shared" si="8"/>
        <v>3165.364365</v>
      </c>
    </row>
    <row r="420">
      <c r="A420" s="5" t="s">
        <v>1161</v>
      </c>
      <c r="B420" s="5" t="s">
        <v>1162</v>
      </c>
      <c r="C420" s="5" t="s">
        <v>1163</v>
      </c>
      <c r="D420" s="6">
        <v>93180.0</v>
      </c>
      <c r="E420" s="7" t="str">
        <f t="shared" si="1"/>
        <v>C</v>
      </c>
      <c r="F420" s="7" t="str">
        <f t="shared" si="2"/>
        <v>Transformative change</v>
      </c>
      <c r="G420" s="7" t="str">
        <f t="shared" si="3"/>
        <v>Medium</v>
      </c>
      <c r="H420" s="7">
        <f t="shared" si="4"/>
        <v>2795161</v>
      </c>
      <c r="I420" s="7">
        <f t="shared" si="5"/>
        <v>699555.5963</v>
      </c>
      <c r="J420" s="7">
        <f t="shared" si="6"/>
        <v>1024980</v>
      </c>
      <c r="K420" s="7">
        <f t="shared" si="8"/>
        <v>2231</v>
      </c>
    </row>
    <row r="421">
      <c r="A421" s="5" t="s">
        <v>1164</v>
      </c>
      <c r="B421" s="5" t="s">
        <v>1165</v>
      </c>
      <c r="C421" s="5" t="s">
        <v>1166</v>
      </c>
      <c r="D421" s="6">
        <v>18192.0</v>
      </c>
      <c r="E421" s="7" t="str">
        <f t="shared" si="1"/>
        <v>D</v>
      </c>
      <c r="F421" s="7" t="str">
        <f t="shared" si="2"/>
        <v>Transformative change</v>
      </c>
      <c r="G421" s="7" t="str">
        <f t="shared" si="3"/>
        <v>High</v>
      </c>
      <c r="H421" s="7">
        <f t="shared" si="4"/>
        <v>974547</v>
      </c>
      <c r="I421" s="7">
        <f t="shared" si="5"/>
        <v>117563.7933</v>
      </c>
      <c r="J421" s="7">
        <f t="shared" si="6"/>
        <v>90960</v>
      </c>
      <c r="K421" s="7">
        <f t="shared" si="8"/>
        <v>0.2126821172</v>
      </c>
    </row>
    <row r="422">
      <c r="A422" s="5" t="s">
        <v>1167</v>
      </c>
      <c r="B422" s="5" t="s">
        <v>1168</v>
      </c>
      <c r="C422" s="5" t="s">
        <v>1169</v>
      </c>
      <c r="D422" s="6">
        <v>12848.0</v>
      </c>
      <c r="E422" s="7" t="str">
        <f t="shared" si="1"/>
        <v>F</v>
      </c>
      <c r="F422" s="7" t="str">
        <f t="shared" si="2"/>
        <v>Transformative change</v>
      </c>
      <c r="G422" s="7" t="str">
        <f t="shared" si="3"/>
        <v>Medium</v>
      </c>
      <c r="H422" s="7">
        <f t="shared" si="4"/>
        <v>1651850</v>
      </c>
      <c r="I422" s="7">
        <f t="shared" si="5"/>
        <v>618166.3895</v>
      </c>
      <c r="J422" s="7">
        <f t="shared" si="6"/>
        <v>167024</v>
      </c>
      <c r="K422" s="7">
        <f t="shared" si="8"/>
        <v>1505.664708</v>
      </c>
    </row>
    <row r="423">
      <c r="A423" s="5" t="s">
        <v>1170</v>
      </c>
      <c r="B423" s="5" t="s">
        <v>1171</v>
      </c>
      <c r="C423" s="5" t="s">
        <v>1172</v>
      </c>
      <c r="D423" s="6">
        <v>19603.0</v>
      </c>
      <c r="E423" s="7" t="str">
        <f t="shared" si="1"/>
        <v>E</v>
      </c>
      <c r="F423" s="7" t="str">
        <f t="shared" si="2"/>
        <v>Transformative change</v>
      </c>
      <c r="G423" s="7" t="str">
        <f t="shared" si="3"/>
        <v>Medium</v>
      </c>
      <c r="H423" s="7">
        <f t="shared" si="4"/>
        <v>991349</v>
      </c>
      <c r="I423" s="7">
        <f t="shared" si="5"/>
        <v>280806.0572</v>
      </c>
      <c r="J423" s="7">
        <f t="shared" si="6"/>
        <v>254839</v>
      </c>
      <c r="K423" s="7">
        <f t="shared" si="8"/>
        <v>2.459779972</v>
      </c>
    </row>
    <row r="424">
      <c r="A424" s="5" t="s">
        <v>1173</v>
      </c>
      <c r="B424" s="5" t="s">
        <v>1174</v>
      </c>
      <c r="C424" s="5" t="s">
        <v>74</v>
      </c>
      <c r="D424" s="6">
        <v>349060.0</v>
      </c>
      <c r="E424" s="7" t="str">
        <f t="shared" si="1"/>
        <v>G</v>
      </c>
      <c r="F424" s="7" t="str">
        <f t="shared" si="2"/>
        <v>High ambition</v>
      </c>
      <c r="G424" s="7" t="str">
        <f t="shared" si="3"/>
        <v>High</v>
      </c>
      <c r="H424" s="7">
        <f t="shared" si="4"/>
        <v>2341355</v>
      </c>
      <c r="I424" s="7">
        <f t="shared" si="5"/>
        <v>546269.1716</v>
      </c>
      <c r="J424" s="7">
        <f t="shared" si="6"/>
        <v>4537780</v>
      </c>
      <c r="K424" s="7">
        <f t="shared" si="8"/>
        <v>623752.5616</v>
      </c>
    </row>
    <row r="425">
      <c r="A425" s="5" t="s">
        <v>1175</v>
      </c>
      <c r="B425" s="5" t="s">
        <v>1176</v>
      </c>
      <c r="C425" s="5" t="s">
        <v>1177</v>
      </c>
      <c r="D425" s="6">
        <v>66352.0</v>
      </c>
      <c r="E425" s="7" t="str">
        <f t="shared" si="1"/>
        <v>F</v>
      </c>
      <c r="F425" s="7" t="str">
        <f t="shared" si="2"/>
        <v>Transformative change</v>
      </c>
      <c r="G425" s="7" t="str">
        <f t="shared" si="3"/>
        <v>Medium</v>
      </c>
      <c r="H425" s="7">
        <f t="shared" si="4"/>
        <v>1484552</v>
      </c>
      <c r="I425" s="7">
        <f t="shared" si="5"/>
        <v>881532.4837</v>
      </c>
      <c r="J425" s="7">
        <f t="shared" si="6"/>
        <v>995280</v>
      </c>
      <c r="K425" s="7">
        <f t="shared" si="8"/>
        <v>451611.3264</v>
      </c>
    </row>
    <row r="426">
      <c r="A426" s="5" t="s">
        <v>1178</v>
      </c>
      <c r="B426" s="5" t="s">
        <v>1179</v>
      </c>
      <c r="C426" s="5" t="s">
        <v>74</v>
      </c>
      <c r="D426" s="6">
        <v>8350.0</v>
      </c>
      <c r="E426" s="7" t="str">
        <f t="shared" si="1"/>
        <v>B</v>
      </c>
      <c r="F426" s="7" t="str">
        <f t="shared" si="2"/>
        <v>Transformative change</v>
      </c>
      <c r="G426" s="7" t="str">
        <f t="shared" si="3"/>
        <v>Medium</v>
      </c>
      <c r="H426" s="7">
        <f t="shared" si="4"/>
        <v>3039224</v>
      </c>
      <c r="I426" s="7">
        <f t="shared" si="5"/>
        <v>2172241.758</v>
      </c>
      <c r="J426" s="7">
        <f t="shared" si="6"/>
        <v>33400</v>
      </c>
      <c r="K426" s="7">
        <f t="shared" si="8"/>
        <v>337.2168285</v>
      </c>
    </row>
    <row r="427">
      <c r="A427" s="5" t="s">
        <v>1180</v>
      </c>
      <c r="B427" s="5" t="s">
        <v>1181</v>
      </c>
      <c r="C427" s="5" t="s">
        <v>1182</v>
      </c>
      <c r="D427" s="6">
        <v>7531.0</v>
      </c>
      <c r="E427" s="7" t="str">
        <f t="shared" si="1"/>
        <v>G</v>
      </c>
      <c r="F427" s="7" t="str">
        <f t="shared" si="2"/>
        <v>Transformative change</v>
      </c>
      <c r="G427" s="7" t="str">
        <f t="shared" si="3"/>
        <v>Low</v>
      </c>
      <c r="H427" s="7">
        <f t="shared" si="4"/>
        <v>285141</v>
      </c>
      <c r="I427" s="7">
        <f t="shared" si="5"/>
        <v>53046.73599</v>
      </c>
      <c r="J427" s="7">
        <f t="shared" si="6"/>
        <v>82841</v>
      </c>
      <c r="K427" s="7">
        <f t="shared" si="8"/>
        <v>2231</v>
      </c>
    </row>
    <row r="428">
      <c r="A428" s="5" t="s">
        <v>1183</v>
      </c>
      <c r="B428" s="5" t="s">
        <v>1184</v>
      </c>
      <c r="C428" s="5" t="s">
        <v>1185</v>
      </c>
      <c r="D428" s="6">
        <v>15188.0</v>
      </c>
      <c r="E428" s="7" t="str">
        <f t="shared" si="1"/>
        <v>E</v>
      </c>
      <c r="F428" s="7" t="str">
        <f t="shared" si="2"/>
        <v>High ambition</v>
      </c>
      <c r="G428" s="7" t="str">
        <f t="shared" si="3"/>
        <v>Medium</v>
      </c>
      <c r="H428" s="7">
        <f t="shared" si="4"/>
        <v>2193541</v>
      </c>
      <c r="I428" s="7">
        <f t="shared" si="5"/>
        <v>1551386.789</v>
      </c>
      <c r="J428" s="7">
        <f t="shared" si="6"/>
        <v>151880</v>
      </c>
      <c r="K428" s="7">
        <f t="shared" si="8"/>
        <v>1.807639459</v>
      </c>
    </row>
    <row r="429">
      <c r="A429" s="5" t="s">
        <v>1186</v>
      </c>
      <c r="B429" s="5" t="s">
        <v>1187</v>
      </c>
      <c r="C429" s="5" t="s">
        <v>74</v>
      </c>
      <c r="D429" s="6">
        <v>30767.0</v>
      </c>
      <c r="E429" s="7" t="str">
        <f t="shared" si="1"/>
        <v>F</v>
      </c>
      <c r="F429" s="7" t="str">
        <f t="shared" si="2"/>
        <v>Transformative change</v>
      </c>
      <c r="G429" s="7" t="str">
        <f t="shared" si="3"/>
        <v>Low</v>
      </c>
      <c r="H429" s="7">
        <f t="shared" si="4"/>
        <v>3167112</v>
      </c>
      <c r="I429" s="7">
        <f t="shared" si="5"/>
        <v>2145250.522</v>
      </c>
      <c r="J429" s="7">
        <f t="shared" si="6"/>
        <v>184602</v>
      </c>
      <c r="K429" s="7">
        <f t="shared" si="8"/>
        <v>2231</v>
      </c>
    </row>
    <row r="430">
      <c r="A430" s="5" t="s">
        <v>1188</v>
      </c>
      <c r="B430" s="5" t="s">
        <v>1174</v>
      </c>
      <c r="C430" s="5" t="s">
        <v>1189</v>
      </c>
      <c r="D430" s="6">
        <v>8720.0</v>
      </c>
      <c r="E430" s="7" t="str">
        <f t="shared" si="1"/>
        <v>B</v>
      </c>
      <c r="F430" s="7" t="str">
        <f t="shared" si="2"/>
        <v>Transformative change</v>
      </c>
      <c r="G430" s="7" t="str">
        <f t="shared" si="3"/>
        <v>Low</v>
      </c>
      <c r="H430" s="7">
        <f t="shared" si="4"/>
        <v>358073</v>
      </c>
      <c r="I430" s="7">
        <f t="shared" si="5"/>
        <v>31382.07537</v>
      </c>
      <c r="J430" s="7">
        <f t="shared" si="6"/>
        <v>34880</v>
      </c>
      <c r="K430" s="7">
        <f t="shared" si="8"/>
        <v>50.67332301</v>
      </c>
    </row>
    <row r="431">
      <c r="A431" s="5" t="s">
        <v>1190</v>
      </c>
      <c r="B431" s="5" t="s">
        <v>1191</v>
      </c>
      <c r="C431" s="5" t="s">
        <v>1192</v>
      </c>
      <c r="D431" s="6">
        <v>5872.0</v>
      </c>
      <c r="E431" s="7" t="str">
        <f t="shared" si="1"/>
        <v>A</v>
      </c>
      <c r="F431" s="7" t="str">
        <f t="shared" si="2"/>
        <v>Transformative change</v>
      </c>
      <c r="G431" s="7" t="str">
        <f t="shared" si="3"/>
        <v>High</v>
      </c>
      <c r="H431" s="7">
        <f t="shared" si="4"/>
        <v>507836</v>
      </c>
      <c r="I431" s="7">
        <f t="shared" si="5"/>
        <v>193426.3192</v>
      </c>
      <c r="J431" s="7">
        <f t="shared" si="6"/>
        <v>46976</v>
      </c>
      <c r="K431" s="7">
        <f t="shared" si="8"/>
        <v>3260.373455</v>
      </c>
    </row>
    <row r="432">
      <c r="A432" s="5" t="s">
        <v>1193</v>
      </c>
      <c r="B432" s="5" t="s">
        <v>1194</v>
      </c>
      <c r="C432" s="5" t="s">
        <v>74</v>
      </c>
      <c r="D432" s="6">
        <v>17068.0</v>
      </c>
      <c r="E432" s="7" t="str">
        <f t="shared" si="1"/>
        <v>C</v>
      </c>
      <c r="F432" s="7" t="str">
        <f t="shared" si="2"/>
        <v>High ambition</v>
      </c>
      <c r="G432" s="7" t="str">
        <f t="shared" si="3"/>
        <v>High</v>
      </c>
      <c r="H432" s="7">
        <f t="shared" si="4"/>
        <v>1931515</v>
      </c>
      <c r="I432" s="7">
        <f t="shared" si="5"/>
        <v>978582.8292</v>
      </c>
      <c r="J432" s="7">
        <f t="shared" si="6"/>
        <v>221884</v>
      </c>
      <c r="K432" s="7">
        <f t="shared" si="8"/>
        <v>2231</v>
      </c>
    </row>
    <row r="433">
      <c r="A433" s="5" t="s">
        <v>1195</v>
      </c>
      <c r="B433" s="5" t="s">
        <v>1196</v>
      </c>
      <c r="C433" s="5" t="s">
        <v>1197</v>
      </c>
      <c r="D433" s="6">
        <v>11905.0</v>
      </c>
      <c r="E433" s="7" t="str">
        <f t="shared" si="1"/>
        <v>C</v>
      </c>
      <c r="F433" s="7" t="str">
        <f t="shared" si="2"/>
        <v>Transformative change</v>
      </c>
      <c r="G433" s="7" t="str">
        <f t="shared" si="3"/>
        <v>Medium</v>
      </c>
      <c r="H433" s="7">
        <f t="shared" si="4"/>
        <v>1608493</v>
      </c>
      <c r="I433" s="7">
        <f t="shared" si="5"/>
        <v>918004.848</v>
      </c>
      <c r="J433" s="7">
        <f t="shared" si="6"/>
        <v>142860</v>
      </c>
      <c r="K433" s="7">
        <f t="shared" si="8"/>
        <v>2231</v>
      </c>
    </row>
    <row r="434">
      <c r="A434" s="5" t="s">
        <v>1198</v>
      </c>
      <c r="B434" s="5" t="s">
        <v>1199</v>
      </c>
      <c r="C434" s="5" t="s">
        <v>1200</v>
      </c>
      <c r="D434" s="6">
        <v>7566.0</v>
      </c>
      <c r="E434" s="7" t="str">
        <f t="shared" si="1"/>
        <v>C</v>
      </c>
      <c r="F434" s="7" t="str">
        <f t="shared" si="2"/>
        <v>High ambition</v>
      </c>
      <c r="G434" s="7" t="str">
        <f t="shared" si="3"/>
        <v>Medium</v>
      </c>
      <c r="H434" s="7">
        <f t="shared" si="4"/>
        <v>583707</v>
      </c>
      <c r="I434" s="7">
        <f t="shared" si="5"/>
        <v>492763.1805</v>
      </c>
      <c r="J434" s="7">
        <f t="shared" si="6"/>
        <v>60528</v>
      </c>
      <c r="K434" s="7">
        <f t="shared" si="8"/>
        <v>2231</v>
      </c>
    </row>
    <row r="435">
      <c r="A435" s="5" t="s">
        <v>1201</v>
      </c>
      <c r="B435" s="5" t="s">
        <v>1202</v>
      </c>
      <c r="C435" s="5" t="s">
        <v>1203</v>
      </c>
      <c r="D435" s="6">
        <v>734141.0</v>
      </c>
      <c r="E435" s="7" t="str">
        <f t="shared" si="1"/>
        <v>G</v>
      </c>
      <c r="F435" s="7" t="str">
        <f t="shared" si="2"/>
        <v>Transformative change</v>
      </c>
      <c r="G435" s="7" t="str">
        <f t="shared" si="3"/>
        <v>Medium</v>
      </c>
      <c r="H435" s="7">
        <f t="shared" si="4"/>
        <v>2663389</v>
      </c>
      <c r="I435" s="7">
        <f t="shared" si="5"/>
        <v>2124193.022</v>
      </c>
      <c r="J435" s="7">
        <f t="shared" si="6"/>
        <v>5873128</v>
      </c>
      <c r="K435" s="7">
        <f t="shared" si="8"/>
        <v>66820.74804</v>
      </c>
    </row>
    <row r="436">
      <c r="A436" s="5" t="s">
        <v>1204</v>
      </c>
      <c r="B436" s="5" t="s">
        <v>1205</v>
      </c>
      <c r="C436" s="5" t="s">
        <v>74</v>
      </c>
      <c r="D436" s="6">
        <v>866873.0</v>
      </c>
      <c r="E436" s="7" t="str">
        <f t="shared" si="1"/>
        <v>D</v>
      </c>
      <c r="F436" s="7" t="str">
        <f t="shared" si="2"/>
        <v>Transformative change</v>
      </c>
      <c r="G436" s="7" t="str">
        <f t="shared" si="3"/>
        <v>Medium</v>
      </c>
      <c r="H436" s="7">
        <f t="shared" si="4"/>
        <v>3387207</v>
      </c>
      <c r="I436" s="7">
        <f t="shared" si="5"/>
        <v>1950873.116</v>
      </c>
      <c r="J436" s="7">
        <f t="shared" si="6"/>
        <v>6934984</v>
      </c>
      <c r="K436" s="7">
        <f t="shared" si="8"/>
        <v>826.6949692</v>
      </c>
    </row>
    <row r="437">
      <c r="A437" s="5" t="s">
        <v>1206</v>
      </c>
      <c r="B437" s="5" t="s">
        <v>1207</v>
      </c>
      <c r="C437" s="5" t="s">
        <v>1208</v>
      </c>
      <c r="D437" s="6">
        <v>44856.0</v>
      </c>
      <c r="E437" s="7" t="str">
        <f t="shared" si="1"/>
        <v>G</v>
      </c>
      <c r="F437" s="7" t="str">
        <f t="shared" si="2"/>
        <v>Transformative change</v>
      </c>
      <c r="G437" s="7" t="str">
        <f t="shared" si="3"/>
        <v>High</v>
      </c>
      <c r="H437" s="7">
        <f t="shared" si="4"/>
        <v>3842617</v>
      </c>
      <c r="I437" s="7">
        <f t="shared" si="5"/>
        <v>1857515.297</v>
      </c>
      <c r="J437" s="7">
        <f t="shared" si="6"/>
        <v>493416</v>
      </c>
      <c r="K437" s="7">
        <f t="shared" si="8"/>
        <v>2231</v>
      </c>
    </row>
    <row r="438">
      <c r="A438" s="5" t="s">
        <v>1209</v>
      </c>
      <c r="B438" s="5" t="s">
        <v>1210</v>
      </c>
      <c r="C438" s="5" t="s">
        <v>1211</v>
      </c>
      <c r="D438" s="6">
        <v>79811.0</v>
      </c>
      <c r="E438" s="7" t="str">
        <f t="shared" si="1"/>
        <v>G</v>
      </c>
      <c r="F438" s="7" t="str">
        <f t="shared" si="2"/>
        <v>Transformative change</v>
      </c>
      <c r="G438" s="7" t="str">
        <f t="shared" si="3"/>
        <v>Low</v>
      </c>
      <c r="H438" s="7">
        <f t="shared" si="4"/>
        <v>2976244</v>
      </c>
      <c r="I438" s="7">
        <f t="shared" si="5"/>
        <v>1886033.462</v>
      </c>
      <c r="J438" s="7">
        <f t="shared" si="6"/>
        <v>478866</v>
      </c>
      <c r="K438" s="7">
        <f t="shared" si="8"/>
        <v>2231</v>
      </c>
    </row>
    <row r="439">
      <c r="A439" s="5" t="s">
        <v>1212</v>
      </c>
      <c r="B439" s="5" t="s">
        <v>1213</v>
      </c>
      <c r="C439" s="5" t="s">
        <v>1214</v>
      </c>
      <c r="D439" s="6">
        <v>7761.0</v>
      </c>
      <c r="E439" s="7" t="str">
        <f t="shared" si="1"/>
        <v>G</v>
      </c>
      <c r="F439" s="7" t="str">
        <f t="shared" si="2"/>
        <v>Transformative change</v>
      </c>
      <c r="G439" s="7" t="str">
        <f t="shared" si="3"/>
        <v>High</v>
      </c>
      <c r="H439" s="7">
        <f t="shared" si="4"/>
        <v>1634307</v>
      </c>
      <c r="I439" s="7">
        <f t="shared" si="5"/>
        <v>1183982.834</v>
      </c>
      <c r="J439" s="7">
        <f t="shared" si="6"/>
        <v>62088</v>
      </c>
      <c r="K439" s="7">
        <f t="shared" si="8"/>
        <v>2231</v>
      </c>
    </row>
    <row r="440">
      <c r="A440" s="5" t="s">
        <v>1215</v>
      </c>
      <c r="B440" s="5" t="s">
        <v>1216</v>
      </c>
      <c r="C440" s="5" t="s">
        <v>74</v>
      </c>
      <c r="D440" s="6">
        <v>8653.0</v>
      </c>
      <c r="E440" s="7" t="str">
        <f t="shared" si="1"/>
        <v>F</v>
      </c>
      <c r="F440" s="7" t="str">
        <f t="shared" si="2"/>
        <v>High ambition</v>
      </c>
      <c r="G440" s="7" t="str">
        <f t="shared" si="3"/>
        <v>Medium</v>
      </c>
      <c r="H440" s="7">
        <f t="shared" si="4"/>
        <v>2785133</v>
      </c>
      <c r="I440" s="7">
        <f t="shared" si="5"/>
        <v>1816073.072</v>
      </c>
      <c r="J440" s="7">
        <f t="shared" si="6"/>
        <v>69224</v>
      </c>
      <c r="K440" s="7">
        <f t="shared" si="8"/>
        <v>42.45736793</v>
      </c>
    </row>
    <row r="441">
      <c r="A441" s="5" t="s">
        <v>1217</v>
      </c>
      <c r="B441" s="5" t="s">
        <v>1218</v>
      </c>
      <c r="C441" s="5" t="s">
        <v>1219</v>
      </c>
      <c r="D441" s="6">
        <v>7791.0</v>
      </c>
      <c r="E441" s="7" t="str">
        <f t="shared" si="1"/>
        <v>C</v>
      </c>
      <c r="F441" s="7" t="str">
        <f t="shared" si="2"/>
        <v>Transformative change</v>
      </c>
      <c r="G441" s="7" t="str">
        <f t="shared" si="3"/>
        <v>Low</v>
      </c>
      <c r="H441" s="7">
        <f t="shared" si="4"/>
        <v>1040829</v>
      </c>
      <c r="I441" s="7">
        <f t="shared" si="5"/>
        <v>416157.6154</v>
      </c>
      <c r="J441" s="7">
        <f t="shared" si="6"/>
        <v>70119</v>
      </c>
      <c r="K441" s="7">
        <f t="shared" si="8"/>
        <v>0.00204592314</v>
      </c>
    </row>
    <row r="442">
      <c r="A442" s="5" t="s">
        <v>1220</v>
      </c>
      <c r="B442" s="5" t="s">
        <v>1221</v>
      </c>
      <c r="C442" s="5" t="s">
        <v>1222</v>
      </c>
      <c r="D442" s="6">
        <v>17131.0</v>
      </c>
      <c r="E442" s="7" t="str">
        <f t="shared" si="1"/>
        <v>D</v>
      </c>
      <c r="F442" s="7" t="str">
        <f t="shared" si="2"/>
        <v>Transformative change</v>
      </c>
      <c r="G442" s="7" t="str">
        <f t="shared" si="3"/>
        <v>Low</v>
      </c>
      <c r="H442" s="7">
        <f t="shared" si="4"/>
        <v>1014341</v>
      </c>
      <c r="I442" s="7">
        <f t="shared" si="5"/>
        <v>783206.7524</v>
      </c>
      <c r="J442" s="7">
        <f t="shared" si="6"/>
        <v>222703</v>
      </c>
      <c r="K442" s="7">
        <f t="shared" si="8"/>
        <v>58176.81811</v>
      </c>
    </row>
    <row r="443">
      <c r="A443" s="5" t="s">
        <v>1223</v>
      </c>
      <c r="B443" s="5" t="s">
        <v>1224</v>
      </c>
      <c r="C443" s="5" t="s">
        <v>1225</v>
      </c>
      <c r="D443" s="6">
        <v>483341.0</v>
      </c>
      <c r="E443" s="7" t="str">
        <f t="shared" si="1"/>
        <v>D</v>
      </c>
      <c r="F443" s="7" t="str">
        <f t="shared" si="2"/>
        <v>Transformative change</v>
      </c>
      <c r="G443" s="7" t="str">
        <f t="shared" si="3"/>
        <v>Medium</v>
      </c>
      <c r="H443" s="7">
        <f t="shared" si="4"/>
        <v>3637623</v>
      </c>
      <c r="I443" s="7">
        <f t="shared" si="5"/>
        <v>1170566.652</v>
      </c>
      <c r="J443" s="7">
        <f t="shared" si="6"/>
        <v>2900046</v>
      </c>
      <c r="K443" s="7">
        <f t="shared" si="8"/>
        <v>188075.1793</v>
      </c>
    </row>
    <row r="444">
      <c r="A444" s="5" t="s">
        <v>1226</v>
      </c>
      <c r="B444" s="5" t="s">
        <v>1227</v>
      </c>
      <c r="C444" s="5" t="s">
        <v>1228</v>
      </c>
      <c r="D444" s="6">
        <v>7144.0</v>
      </c>
      <c r="E444" s="7" t="str">
        <f t="shared" si="1"/>
        <v>B</v>
      </c>
      <c r="F444" s="7" t="str">
        <f t="shared" si="2"/>
        <v>Transformative change</v>
      </c>
      <c r="G444" s="7" t="str">
        <f t="shared" si="3"/>
        <v>Medium</v>
      </c>
      <c r="H444" s="7">
        <f t="shared" si="4"/>
        <v>794935</v>
      </c>
      <c r="I444" s="7">
        <f t="shared" si="5"/>
        <v>333588.9257</v>
      </c>
      <c r="J444" s="7">
        <f t="shared" si="6"/>
        <v>92872</v>
      </c>
      <c r="K444" s="7">
        <f t="shared" si="8"/>
        <v>2231</v>
      </c>
    </row>
    <row r="445">
      <c r="A445" s="5" t="s">
        <v>201</v>
      </c>
      <c r="B445" s="5" t="s">
        <v>1229</v>
      </c>
      <c r="C445" s="5" t="s">
        <v>1230</v>
      </c>
      <c r="D445" s="6">
        <v>91903.0</v>
      </c>
      <c r="E445" s="7" t="str">
        <f t="shared" si="1"/>
        <v>D</v>
      </c>
      <c r="F445" s="7" t="str">
        <f t="shared" si="2"/>
        <v>Transformative change</v>
      </c>
      <c r="G445" s="7" t="str">
        <f t="shared" si="3"/>
        <v>Low</v>
      </c>
      <c r="H445" s="7">
        <f t="shared" si="4"/>
        <v>163947</v>
      </c>
      <c r="I445" s="7">
        <f t="shared" si="5"/>
        <v>44184.42502</v>
      </c>
      <c r="J445" s="7">
        <f t="shared" si="6"/>
        <v>367612</v>
      </c>
      <c r="K445" s="7">
        <f t="shared" si="8"/>
        <v>366640.2966</v>
      </c>
    </row>
    <row r="446">
      <c r="A446" s="5" t="s">
        <v>1231</v>
      </c>
      <c r="B446" s="5" t="s">
        <v>1232</v>
      </c>
      <c r="C446" s="5" t="s">
        <v>74</v>
      </c>
      <c r="D446" s="6">
        <v>10233.0</v>
      </c>
      <c r="E446" s="7" t="str">
        <f t="shared" si="1"/>
        <v>A</v>
      </c>
      <c r="F446" s="7" t="str">
        <f t="shared" si="2"/>
        <v>Transformative change</v>
      </c>
      <c r="G446" s="7" t="str">
        <f t="shared" si="3"/>
        <v>High</v>
      </c>
      <c r="H446" s="7">
        <f t="shared" si="4"/>
        <v>3470803</v>
      </c>
      <c r="I446" s="7">
        <f t="shared" si="5"/>
        <v>2399133.826</v>
      </c>
      <c r="J446" s="7">
        <f t="shared" si="6"/>
        <v>143262</v>
      </c>
      <c r="K446" s="7">
        <f t="shared" si="8"/>
        <v>73.11230084</v>
      </c>
    </row>
    <row r="447">
      <c r="A447" s="5" t="s">
        <v>1233</v>
      </c>
      <c r="B447" s="5" t="s">
        <v>1234</v>
      </c>
      <c r="C447" s="5" t="s">
        <v>1235</v>
      </c>
      <c r="D447" s="6">
        <v>18442.0</v>
      </c>
      <c r="E447" s="7" t="str">
        <f t="shared" si="1"/>
        <v>G</v>
      </c>
      <c r="F447" s="7" t="str">
        <f t="shared" si="2"/>
        <v>Transformative change</v>
      </c>
      <c r="G447" s="7" t="str">
        <f t="shared" si="3"/>
        <v>Medium</v>
      </c>
      <c r="H447" s="7">
        <f t="shared" si="4"/>
        <v>541648</v>
      </c>
      <c r="I447" s="7">
        <f t="shared" si="5"/>
        <v>175212.9784</v>
      </c>
      <c r="J447" s="7">
        <f t="shared" si="6"/>
        <v>165978</v>
      </c>
      <c r="K447" s="7">
        <f t="shared" si="8"/>
        <v>14037.98751</v>
      </c>
    </row>
    <row r="448">
      <c r="A448" s="5" t="s">
        <v>1236</v>
      </c>
      <c r="B448" s="5" t="s">
        <v>1237</v>
      </c>
      <c r="C448" s="5" t="s">
        <v>1238</v>
      </c>
      <c r="D448" s="6">
        <v>65892.0</v>
      </c>
      <c r="E448" s="7" t="str">
        <f t="shared" si="1"/>
        <v>C</v>
      </c>
      <c r="F448" s="7" t="str">
        <f t="shared" si="2"/>
        <v>Transformative change</v>
      </c>
      <c r="G448" s="7" t="str">
        <f t="shared" si="3"/>
        <v>Medium</v>
      </c>
      <c r="H448" s="7">
        <f t="shared" si="4"/>
        <v>2513036</v>
      </c>
      <c r="I448" s="7">
        <f t="shared" si="5"/>
        <v>419509.4034</v>
      </c>
      <c r="J448" s="7">
        <f t="shared" si="6"/>
        <v>395352</v>
      </c>
      <c r="K448" s="7">
        <f t="shared" si="8"/>
        <v>12344.86953</v>
      </c>
    </row>
    <row r="449">
      <c r="A449" s="5" t="s">
        <v>1239</v>
      </c>
      <c r="B449" s="5" t="s">
        <v>1240</v>
      </c>
      <c r="C449" s="5" t="s">
        <v>74</v>
      </c>
      <c r="D449" s="6">
        <v>12813.0</v>
      </c>
      <c r="E449" s="7" t="str">
        <f t="shared" si="1"/>
        <v>F</v>
      </c>
      <c r="F449" s="7" t="str">
        <f t="shared" si="2"/>
        <v>Transformative change</v>
      </c>
      <c r="G449" s="7" t="str">
        <f t="shared" si="3"/>
        <v>High</v>
      </c>
      <c r="H449" s="7">
        <f t="shared" si="4"/>
        <v>2691128</v>
      </c>
      <c r="I449" s="7">
        <f t="shared" si="5"/>
        <v>2588632.669</v>
      </c>
      <c r="J449" s="7">
        <f t="shared" si="6"/>
        <v>153756</v>
      </c>
      <c r="K449" s="7">
        <f t="shared" si="8"/>
        <v>0.002649599518</v>
      </c>
    </row>
    <row r="450">
      <c r="A450" s="5" t="s">
        <v>302</v>
      </c>
      <c r="B450" s="5" t="s">
        <v>1241</v>
      </c>
      <c r="C450" s="5" t="s">
        <v>1242</v>
      </c>
      <c r="D450" s="6">
        <v>18154.0</v>
      </c>
      <c r="E450" s="7" t="str">
        <f t="shared" si="1"/>
        <v>C</v>
      </c>
      <c r="F450" s="7" t="str">
        <f t="shared" si="2"/>
        <v>Transformative change</v>
      </c>
      <c r="G450" s="7" t="str">
        <f t="shared" si="3"/>
        <v>High</v>
      </c>
      <c r="H450" s="7">
        <f t="shared" si="4"/>
        <v>1602044</v>
      </c>
      <c r="I450" s="7">
        <f t="shared" si="5"/>
        <v>192582.9485</v>
      </c>
      <c r="J450" s="7">
        <f t="shared" si="6"/>
        <v>90770</v>
      </c>
      <c r="K450" s="7">
        <f t="shared" si="8"/>
        <v>12431.66418</v>
      </c>
    </row>
    <row r="451">
      <c r="A451" s="5" t="s">
        <v>1243</v>
      </c>
      <c r="B451" s="5" t="s">
        <v>1244</v>
      </c>
      <c r="C451" s="5" t="s">
        <v>726</v>
      </c>
      <c r="D451" s="6">
        <v>26442.0</v>
      </c>
      <c r="E451" s="7" t="str">
        <f t="shared" si="1"/>
        <v>A</v>
      </c>
      <c r="F451" s="7" t="str">
        <f t="shared" si="2"/>
        <v>Transformative change</v>
      </c>
      <c r="G451" s="7" t="str">
        <f t="shared" si="3"/>
        <v>Medium</v>
      </c>
      <c r="H451" s="7">
        <f t="shared" si="4"/>
        <v>1513079</v>
      </c>
      <c r="I451" s="7">
        <f t="shared" si="5"/>
        <v>1350698.958</v>
      </c>
      <c r="J451" s="7">
        <f t="shared" si="6"/>
        <v>132210</v>
      </c>
      <c r="K451" s="7">
        <f t="shared" si="8"/>
        <v>2231</v>
      </c>
    </row>
    <row r="452">
      <c r="A452" s="5" t="s">
        <v>1245</v>
      </c>
      <c r="B452" s="5" t="s">
        <v>1246</v>
      </c>
      <c r="C452" s="5" t="s">
        <v>1247</v>
      </c>
      <c r="D452" s="6">
        <v>15098.0</v>
      </c>
      <c r="E452" s="7" t="str">
        <f t="shared" si="1"/>
        <v>F</v>
      </c>
      <c r="F452" s="7" t="str">
        <f t="shared" si="2"/>
        <v>Transformative change</v>
      </c>
      <c r="G452" s="7" t="str">
        <f t="shared" si="3"/>
        <v>Medium</v>
      </c>
      <c r="H452" s="7">
        <f t="shared" si="4"/>
        <v>180446</v>
      </c>
      <c r="I452" s="7">
        <f t="shared" si="5"/>
        <v>39533.21921</v>
      </c>
      <c r="J452" s="7">
        <f t="shared" si="6"/>
        <v>90588</v>
      </c>
      <c r="K452" s="7">
        <f t="shared" si="8"/>
        <v>2231</v>
      </c>
    </row>
    <row r="453">
      <c r="A453" s="5" t="s">
        <v>1248</v>
      </c>
      <c r="B453" s="5" t="s">
        <v>1249</v>
      </c>
      <c r="C453" s="5" t="s">
        <v>1250</v>
      </c>
      <c r="D453" s="6">
        <v>14110.0</v>
      </c>
      <c r="E453" s="7" t="str">
        <f t="shared" si="1"/>
        <v>C</v>
      </c>
      <c r="F453" s="7" t="str">
        <f t="shared" si="2"/>
        <v>Transformative change</v>
      </c>
      <c r="G453" s="7" t="str">
        <f t="shared" si="3"/>
        <v>Low</v>
      </c>
      <c r="H453" s="7">
        <f t="shared" si="4"/>
        <v>1690070</v>
      </c>
      <c r="I453" s="7">
        <f t="shared" si="5"/>
        <v>974126.9608</v>
      </c>
      <c r="J453" s="7">
        <f t="shared" si="6"/>
        <v>84660</v>
      </c>
      <c r="K453" s="7">
        <f t="shared" si="8"/>
        <v>2231</v>
      </c>
    </row>
    <row r="454">
      <c r="A454" s="5" t="s">
        <v>1251</v>
      </c>
      <c r="B454" s="5" t="s">
        <v>1252</v>
      </c>
      <c r="C454" s="5" t="s">
        <v>1253</v>
      </c>
      <c r="D454" s="6">
        <v>16620.0</v>
      </c>
      <c r="E454" s="7" t="str">
        <f t="shared" si="1"/>
        <v>F</v>
      </c>
      <c r="F454" s="7" t="str">
        <f t="shared" si="2"/>
        <v>Transformative change</v>
      </c>
      <c r="G454" s="7" t="str">
        <f t="shared" si="3"/>
        <v>Medium</v>
      </c>
      <c r="H454" s="7">
        <f t="shared" si="4"/>
        <v>493497</v>
      </c>
      <c r="I454" s="7">
        <f t="shared" si="5"/>
        <v>445434.5389</v>
      </c>
      <c r="J454" s="7">
        <f t="shared" si="6"/>
        <v>149580</v>
      </c>
      <c r="K454" s="7">
        <f t="shared" si="8"/>
        <v>36764.79097</v>
      </c>
    </row>
    <row r="455">
      <c r="A455" s="5" t="s">
        <v>1254</v>
      </c>
      <c r="B455" s="5" t="s">
        <v>1255</v>
      </c>
      <c r="C455" s="5" t="s">
        <v>74</v>
      </c>
      <c r="D455" s="6">
        <v>40659.0</v>
      </c>
      <c r="E455" s="7" t="str">
        <f t="shared" si="1"/>
        <v>F</v>
      </c>
      <c r="F455" s="7" t="str">
        <f t="shared" si="2"/>
        <v>High ambition</v>
      </c>
      <c r="G455" s="7" t="str">
        <f t="shared" si="3"/>
        <v>High</v>
      </c>
      <c r="H455" s="7">
        <f t="shared" si="4"/>
        <v>1693948</v>
      </c>
      <c r="I455" s="7">
        <f t="shared" si="5"/>
        <v>1432794.262</v>
      </c>
      <c r="J455" s="7">
        <f t="shared" si="6"/>
        <v>203295</v>
      </c>
      <c r="K455" s="7">
        <f t="shared" si="8"/>
        <v>2231</v>
      </c>
    </row>
    <row r="456">
      <c r="A456" s="5" t="s">
        <v>1256</v>
      </c>
      <c r="B456" s="5" t="s">
        <v>1257</v>
      </c>
      <c r="C456" s="5" t="s">
        <v>1258</v>
      </c>
      <c r="D456" s="6">
        <v>19547.0</v>
      </c>
      <c r="E456" s="7" t="str">
        <f t="shared" si="1"/>
        <v>A</v>
      </c>
      <c r="F456" s="7" t="str">
        <f t="shared" si="2"/>
        <v>Transformative change</v>
      </c>
      <c r="G456" s="7" t="str">
        <f t="shared" si="3"/>
        <v>Medium</v>
      </c>
      <c r="H456" s="7">
        <f t="shared" si="4"/>
        <v>3713759</v>
      </c>
      <c r="I456" s="7">
        <f t="shared" si="5"/>
        <v>2512560.424</v>
      </c>
      <c r="J456" s="7">
        <f t="shared" si="6"/>
        <v>156376</v>
      </c>
      <c r="K456" s="7">
        <f t="shared" si="8"/>
        <v>35186.55822</v>
      </c>
    </row>
    <row r="457">
      <c r="A457" s="5" t="s">
        <v>1259</v>
      </c>
      <c r="B457" s="5" t="s">
        <v>1260</v>
      </c>
      <c r="C457" s="5" t="s">
        <v>1261</v>
      </c>
      <c r="D457" s="6">
        <v>18807.0</v>
      </c>
      <c r="E457" s="7" t="str">
        <f t="shared" si="1"/>
        <v>A</v>
      </c>
      <c r="F457" s="7" t="str">
        <f t="shared" si="2"/>
        <v>Transformative change</v>
      </c>
      <c r="G457" s="7" t="str">
        <f t="shared" si="3"/>
        <v>Medium</v>
      </c>
      <c r="H457" s="7">
        <f t="shared" si="4"/>
        <v>2163105</v>
      </c>
      <c r="I457" s="7">
        <f t="shared" si="5"/>
        <v>2047365.108</v>
      </c>
      <c r="J457" s="7">
        <f t="shared" si="6"/>
        <v>206877</v>
      </c>
      <c r="K457" s="7">
        <f t="shared" si="8"/>
        <v>56302.3033</v>
      </c>
    </row>
    <row r="458">
      <c r="A458" s="5" t="s">
        <v>1262</v>
      </c>
      <c r="B458" s="5" t="s">
        <v>1263</v>
      </c>
      <c r="C458" s="5" t="s">
        <v>455</v>
      </c>
      <c r="D458" s="6">
        <v>90526.0</v>
      </c>
      <c r="E458" s="7" t="str">
        <f t="shared" si="1"/>
        <v>A</v>
      </c>
      <c r="F458" s="7" t="str">
        <f t="shared" si="2"/>
        <v>Transformative change</v>
      </c>
      <c r="G458" s="7" t="str">
        <f t="shared" si="3"/>
        <v>Medium</v>
      </c>
      <c r="H458" s="7">
        <f t="shared" si="4"/>
        <v>3912946</v>
      </c>
      <c r="I458" s="7">
        <f t="shared" si="5"/>
        <v>2349880.555</v>
      </c>
      <c r="J458" s="7">
        <f t="shared" si="6"/>
        <v>1086312</v>
      </c>
      <c r="K458" s="7">
        <f t="shared" si="8"/>
        <v>10.11045887</v>
      </c>
    </row>
    <row r="459">
      <c r="A459" s="5" t="s">
        <v>1264</v>
      </c>
      <c r="B459" s="5" t="s">
        <v>1265</v>
      </c>
      <c r="C459" s="5" t="s">
        <v>74</v>
      </c>
      <c r="D459" s="6">
        <v>24582.0</v>
      </c>
      <c r="E459" s="7" t="str">
        <f t="shared" si="1"/>
        <v>D</v>
      </c>
      <c r="F459" s="7" t="str">
        <f t="shared" si="2"/>
        <v>Transformative change</v>
      </c>
      <c r="G459" s="7" t="str">
        <f t="shared" si="3"/>
        <v>Low</v>
      </c>
      <c r="H459" s="7">
        <f t="shared" si="4"/>
        <v>2237969</v>
      </c>
      <c r="I459" s="7">
        <f t="shared" si="5"/>
        <v>1588857.764</v>
      </c>
      <c r="J459" s="7">
        <f t="shared" si="6"/>
        <v>294984</v>
      </c>
      <c r="K459" s="7">
        <f t="shared" si="8"/>
        <v>5024.338419</v>
      </c>
    </row>
    <row r="460">
      <c r="A460" s="5" t="s">
        <v>1266</v>
      </c>
      <c r="B460" s="5" t="s">
        <v>1267</v>
      </c>
      <c r="C460" s="5" t="s">
        <v>74</v>
      </c>
      <c r="D460" s="6">
        <v>7169.0</v>
      </c>
      <c r="E460" s="7" t="str">
        <f t="shared" si="1"/>
        <v>A</v>
      </c>
      <c r="F460" s="7" t="str">
        <f t="shared" si="2"/>
        <v>Transformative change</v>
      </c>
      <c r="G460" s="7" t="str">
        <f t="shared" si="3"/>
        <v>High</v>
      </c>
      <c r="H460" s="7">
        <f t="shared" si="4"/>
        <v>2956338</v>
      </c>
      <c r="I460" s="7">
        <f t="shared" si="5"/>
        <v>697095.7227</v>
      </c>
      <c r="J460" s="7">
        <f t="shared" si="6"/>
        <v>35845</v>
      </c>
      <c r="K460" s="7">
        <f t="shared" si="8"/>
        <v>2231</v>
      </c>
    </row>
    <row r="461">
      <c r="A461" s="5" t="s">
        <v>1268</v>
      </c>
      <c r="B461" s="5" t="s">
        <v>1269</v>
      </c>
      <c r="C461" s="5" t="s">
        <v>1270</v>
      </c>
      <c r="D461" s="6">
        <v>9052.0</v>
      </c>
      <c r="E461" s="7" t="str">
        <f t="shared" si="1"/>
        <v>B</v>
      </c>
      <c r="F461" s="7" t="str">
        <f t="shared" si="2"/>
        <v>Transformative change</v>
      </c>
      <c r="G461" s="7" t="str">
        <f t="shared" si="3"/>
        <v>Medium</v>
      </c>
      <c r="H461" s="7">
        <f t="shared" si="4"/>
        <v>3273689</v>
      </c>
      <c r="I461" s="7">
        <f t="shared" si="5"/>
        <v>1404457.703</v>
      </c>
      <c r="J461" s="7">
        <f t="shared" si="6"/>
        <v>45260</v>
      </c>
      <c r="K461" s="7">
        <f t="shared" si="8"/>
        <v>17805.00534</v>
      </c>
    </row>
    <row r="462">
      <c r="A462" s="5" t="s">
        <v>1271</v>
      </c>
      <c r="B462" s="5" t="s">
        <v>1272</v>
      </c>
      <c r="C462" s="5" t="s">
        <v>1273</v>
      </c>
      <c r="D462" s="6">
        <v>8289.0</v>
      </c>
      <c r="E462" s="7" t="str">
        <f t="shared" si="1"/>
        <v>C</v>
      </c>
      <c r="F462" s="7" t="str">
        <f t="shared" si="2"/>
        <v>Transformative change</v>
      </c>
      <c r="G462" s="7" t="str">
        <f t="shared" si="3"/>
        <v>High</v>
      </c>
      <c r="H462" s="7">
        <f t="shared" si="4"/>
        <v>1413842</v>
      </c>
      <c r="I462" s="7">
        <f t="shared" si="5"/>
        <v>408172.3682</v>
      </c>
      <c r="J462" s="7">
        <f t="shared" si="6"/>
        <v>33156</v>
      </c>
      <c r="K462" s="7">
        <f t="shared" si="8"/>
        <v>19615.17995</v>
      </c>
    </row>
    <row r="463">
      <c r="A463" s="5" t="s">
        <v>1274</v>
      </c>
      <c r="B463" s="5" t="s">
        <v>1275</v>
      </c>
      <c r="C463" s="5" t="s">
        <v>74</v>
      </c>
      <c r="D463" s="6">
        <v>12674.0</v>
      </c>
      <c r="E463" s="7" t="str">
        <f t="shared" si="1"/>
        <v>A</v>
      </c>
      <c r="F463" s="7" t="str">
        <f t="shared" si="2"/>
        <v>Transformative change</v>
      </c>
      <c r="G463" s="7" t="str">
        <f t="shared" si="3"/>
        <v>Low</v>
      </c>
      <c r="H463" s="7">
        <f t="shared" si="4"/>
        <v>2985811</v>
      </c>
      <c r="I463" s="7">
        <f t="shared" si="5"/>
        <v>979817.7473</v>
      </c>
      <c r="J463" s="7">
        <f t="shared" si="6"/>
        <v>88718</v>
      </c>
      <c r="K463" s="7">
        <f t="shared" si="8"/>
        <v>2231</v>
      </c>
    </row>
    <row r="464">
      <c r="A464" s="5" t="s">
        <v>663</v>
      </c>
      <c r="B464" s="5" t="s">
        <v>1276</v>
      </c>
      <c r="C464" s="5" t="s">
        <v>1277</v>
      </c>
      <c r="D464" s="6">
        <v>19759.0</v>
      </c>
      <c r="E464" s="7" t="str">
        <f t="shared" si="1"/>
        <v>D</v>
      </c>
      <c r="F464" s="7" t="str">
        <f t="shared" si="2"/>
        <v>High ambition</v>
      </c>
      <c r="G464" s="7" t="str">
        <f t="shared" si="3"/>
        <v>High</v>
      </c>
      <c r="H464" s="7">
        <f t="shared" si="4"/>
        <v>3946776</v>
      </c>
      <c r="I464" s="7">
        <f t="shared" si="5"/>
        <v>472296.1838</v>
      </c>
      <c r="J464" s="7">
        <f t="shared" si="6"/>
        <v>237108</v>
      </c>
      <c r="K464" s="7">
        <f t="shared" si="8"/>
        <v>2231</v>
      </c>
    </row>
    <row r="465">
      <c r="A465" s="5" t="s">
        <v>1278</v>
      </c>
      <c r="B465" s="5" t="s">
        <v>931</v>
      </c>
      <c r="C465" s="5" t="s">
        <v>1279</v>
      </c>
      <c r="D465" s="6">
        <v>8746.0</v>
      </c>
      <c r="E465" s="7" t="str">
        <f t="shared" si="1"/>
        <v>A</v>
      </c>
      <c r="F465" s="7" t="str">
        <f t="shared" si="2"/>
        <v>Transformative change</v>
      </c>
      <c r="G465" s="7" t="str">
        <f t="shared" si="3"/>
        <v>Medium</v>
      </c>
      <c r="H465" s="7">
        <f t="shared" si="4"/>
        <v>847831</v>
      </c>
      <c r="I465" s="7">
        <f t="shared" si="5"/>
        <v>268887.6525</v>
      </c>
      <c r="J465" s="7">
        <f t="shared" si="6"/>
        <v>52476</v>
      </c>
      <c r="K465" s="7">
        <f t="shared" si="8"/>
        <v>6224.780168</v>
      </c>
    </row>
    <row r="466">
      <c r="A466" s="5" t="s">
        <v>1280</v>
      </c>
      <c r="B466" s="5" t="s">
        <v>1281</v>
      </c>
      <c r="C466" s="5" t="s">
        <v>1282</v>
      </c>
      <c r="D466" s="6">
        <v>61543.0</v>
      </c>
      <c r="E466" s="7" t="str">
        <f t="shared" si="1"/>
        <v>B</v>
      </c>
      <c r="F466" s="7" t="str">
        <f t="shared" si="2"/>
        <v>Transformative change</v>
      </c>
      <c r="G466" s="7" t="str">
        <f t="shared" si="3"/>
        <v>Medium</v>
      </c>
      <c r="H466" s="7">
        <f t="shared" si="4"/>
        <v>3460639</v>
      </c>
      <c r="I466" s="7">
        <f t="shared" si="5"/>
        <v>659103.7807</v>
      </c>
      <c r="J466" s="7">
        <f t="shared" si="6"/>
        <v>307715</v>
      </c>
      <c r="K466" s="7">
        <f t="shared" si="8"/>
        <v>63290.95448</v>
      </c>
    </row>
    <row r="467">
      <c r="A467" s="5" t="s">
        <v>1283</v>
      </c>
      <c r="B467" s="5" t="s">
        <v>1284</v>
      </c>
      <c r="C467" s="5" t="s">
        <v>1148</v>
      </c>
      <c r="D467" s="6">
        <v>16008.0</v>
      </c>
      <c r="E467" s="7" t="str">
        <f t="shared" si="1"/>
        <v>D</v>
      </c>
      <c r="F467" s="7" t="str">
        <f t="shared" si="2"/>
        <v>High ambition</v>
      </c>
      <c r="G467" s="7" t="str">
        <f t="shared" si="3"/>
        <v>High</v>
      </c>
      <c r="H467" s="7">
        <f t="shared" si="4"/>
        <v>928827</v>
      </c>
      <c r="I467" s="7">
        <f t="shared" si="5"/>
        <v>908489.2196</v>
      </c>
      <c r="J467" s="7">
        <f t="shared" si="6"/>
        <v>240120</v>
      </c>
      <c r="K467" s="7">
        <f t="shared" si="8"/>
        <v>2231</v>
      </c>
    </row>
    <row r="468">
      <c r="A468" s="5" t="s">
        <v>1285</v>
      </c>
      <c r="B468" s="5" t="s">
        <v>1286</v>
      </c>
      <c r="C468" s="5" t="s">
        <v>1287</v>
      </c>
      <c r="D468" s="6">
        <v>271828.0</v>
      </c>
      <c r="E468" s="7" t="str">
        <f t="shared" si="1"/>
        <v>E</v>
      </c>
      <c r="F468" s="7" t="str">
        <f t="shared" si="2"/>
        <v>High ambition</v>
      </c>
      <c r="G468" s="7" t="str">
        <f t="shared" si="3"/>
        <v>Medium</v>
      </c>
      <c r="H468" s="7">
        <f t="shared" si="4"/>
        <v>1331603</v>
      </c>
      <c r="I468" s="7">
        <f t="shared" si="5"/>
        <v>525745.5682</v>
      </c>
      <c r="J468" s="7">
        <f t="shared" si="6"/>
        <v>2990108</v>
      </c>
      <c r="K468" s="7">
        <f t="shared" si="8"/>
        <v>2515532.015</v>
      </c>
    </row>
    <row r="469">
      <c r="A469" s="5" t="s">
        <v>1288</v>
      </c>
      <c r="B469" s="5" t="s">
        <v>1289</v>
      </c>
      <c r="C469" s="5" t="s">
        <v>1290</v>
      </c>
      <c r="D469" s="6">
        <v>16445.0</v>
      </c>
      <c r="E469" s="7" t="str">
        <f t="shared" si="1"/>
        <v>A</v>
      </c>
      <c r="F469" s="7" t="str">
        <f t="shared" si="2"/>
        <v>High ambition</v>
      </c>
      <c r="G469" s="7" t="str">
        <f t="shared" si="3"/>
        <v>Medium</v>
      </c>
      <c r="H469" s="7">
        <f t="shared" si="4"/>
        <v>2215003</v>
      </c>
      <c r="I469" s="7">
        <f t="shared" si="5"/>
        <v>1036538.995</v>
      </c>
      <c r="J469" s="7">
        <f t="shared" si="6"/>
        <v>197340</v>
      </c>
      <c r="K469" s="7">
        <f t="shared" si="8"/>
        <v>4.815877113</v>
      </c>
    </row>
    <row r="470">
      <c r="A470" s="5" t="s">
        <v>835</v>
      </c>
      <c r="B470" s="5" t="s">
        <v>1291</v>
      </c>
      <c r="C470" s="5" t="s">
        <v>1292</v>
      </c>
      <c r="D470" s="6">
        <v>13125.0</v>
      </c>
      <c r="E470" s="7" t="str">
        <f t="shared" si="1"/>
        <v>B</v>
      </c>
      <c r="F470" s="7" t="str">
        <f t="shared" si="2"/>
        <v>Transformative change</v>
      </c>
      <c r="G470" s="7" t="str">
        <f t="shared" si="3"/>
        <v>Low</v>
      </c>
      <c r="H470" s="7">
        <f t="shared" si="4"/>
        <v>1058158</v>
      </c>
      <c r="I470" s="7">
        <f t="shared" si="5"/>
        <v>61833.68449</v>
      </c>
      <c r="J470" s="7">
        <f t="shared" si="6"/>
        <v>65625</v>
      </c>
      <c r="K470" s="7">
        <f t="shared" si="8"/>
        <v>2231</v>
      </c>
    </row>
    <row r="471">
      <c r="A471" s="5" t="s">
        <v>1293</v>
      </c>
      <c r="B471" s="5" t="s">
        <v>1294</v>
      </c>
      <c r="C471" s="5" t="s">
        <v>1295</v>
      </c>
      <c r="D471" s="6">
        <v>317778.0</v>
      </c>
      <c r="E471" s="7" t="str">
        <f t="shared" si="1"/>
        <v>B</v>
      </c>
      <c r="F471" s="7" t="str">
        <f t="shared" si="2"/>
        <v>Transformative change</v>
      </c>
      <c r="G471" s="7" t="str">
        <f t="shared" si="3"/>
        <v>Medium</v>
      </c>
      <c r="H471" s="7">
        <f t="shared" si="4"/>
        <v>880760</v>
      </c>
      <c r="I471" s="7">
        <f t="shared" si="5"/>
        <v>192309.3709</v>
      </c>
      <c r="J471" s="7">
        <f t="shared" si="6"/>
        <v>2224446</v>
      </c>
      <c r="K471" s="7">
        <f t="shared" si="8"/>
        <v>2231</v>
      </c>
    </row>
    <row r="472">
      <c r="A472" s="5" t="s">
        <v>434</v>
      </c>
      <c r="B472" s="5" t="s">
        <v>1296</v>
      </c>
      <c r="C472" s="5" t="s">
        <v>1297</v>
      </c>
      <c r="D472" s="6">
        <v>7501.0</v>
      </c>
      <c r="E472" s="7" t="str">
        <f t="shared" si="1"/>
        <v>E</v>
      </c>
      <c r="F472" s="7" t="str">
        <f t="shared" si="2"/>
        <v>Transformative change</v>
      </c>
      <c r="G472" s="7" t="str">
        <f t="shared" si="3"/>
        <v>Medium</v>
      </c>
      <c r="H472" s="7">
        <f t="shared" si="4"/>
        <v>3479322</v>
      </c>
      <c r="I472" s="7">
        <f t="shared" si="5"/>
        <v>708071.1957</v>
      </c>
      <c r="J472" s="7">
        <f t="shared" si="6"/>
        <v>90012</v>
      </c>
      <c r="K472" s="7">
        <f t="shared" si="8"/>
        <v>26398.43432</v>
      </c>
    </row>
    <row r="473">
      <c r="A473" s="5" t="s">
        <v>296</v>
      </c>
      <c r="B473" s="5" t="s">
        <v>1298</v>
      </c>
      <c r="C473" s="5" t="s">
        <v>1299</v>
      </c>
      <c r="D473" s="6">
        <v>5838.0</v>
      </c>
      <c r="E473" s="7" t="str">
        <f t="shared" si="1"/>
        <v>B</v>
      </c>
      <c r="F473" s="7" t="str">
        <f t="shared" si="2"/>
        <v>Transformative change</v>
      </c>
      <c r="G473" s="7" t="str">
        <f t="shared" si="3"/>
        <v>Low</v>
      </c>
      <c r="H473" s="7">
        <f t="shared" si="4"/>
        <v>2883037</v>
      </c>
      <c r="I473" s="7">
        <f t="shared" si="5"/>
        <v>2836419.889</v>
      </c>
      <c r="J473" s="7">
        <f t="shared" si="6"/>
        <v>23352</v>
      </c>
      <c r="K473" s="7">
        <f t="shared" si="8"/>
        <v>2231</v>
      </c>
    </row>
    <row r="474">
      <c r="A474" s="5" t="s">
        <v>1300</v>
      </c>
      <c r="B474" s="5" t="s">
        <v>1234</v>
      </c>
      <c r="C474" s="5" t="s">
        <v>1301</v>
      </c>
      <c r="D474" s="6">
        <v>16667.0</v>
      </c>
      <c r="E474" s="7" t="str">
        <f t="shared" si="1"/>
        <v>C</v>
      </c>
      <c r="F474" s="7" t="str">
        <f t="shared" si="2"/>
        <v>Transformative change</v>
      </c>
      <c r="G474" s="7" t="str">
        <f t="shared" si="3"/>
        <v>Medium</v>
      </c>
      <c r="H474" s="7">
        <f t="shared" si="4"/>
        <v>597027</v>
      </c>
      <c r="I474" s="7">
        <f t="shared" si="5"/>
        <v>269753.3713</v>
      </c>
      <c r="J474" s="7">
        <f t="shared" si="6"/>
        <v>100002</v>
      </c>
      <c r="K474" s="7">
        <f t="shared" si="8"/>
        <v>3.703219594</v>
      </c>
    </row>
    <row r="475">
      <c r="A475" s="5" t="s">
        <v>1302</v>
      </c>
      <c r="B475" s="5" t="s">
        <v>1303</v>
      </c>
      <c r="C475" s="5" t="s">
        <v>1304</v>
      </c>
      <c r="D475" s="6">
        <v>82527.0</v>
      </c>
      <c r="E475" s="7" t="str">
        <f t="shared" si="1"/>
        <v>G</v>
      </c>
      <c r="F475" s="7" t="str">
        <f t="shared" si="2"/>
        <v>High ambition</v>
      </c>
      <c r="G475" s="7" t="str">
        <f t="shared" si="3"/>
        <v>Medium</v>
      </c>
      <c r="H475" s="7">
        <f t="shared" si="4"/>
        <v>2206975</v>
      </c>
      <c r="I475" s="7">
        <f t="shared" si="5"/>
        <v>2046609.601</v>
      </c>
      <c r="J475" s="7">
        <f t="shared" si="6"/>
        <v>1155378</v>
      </c>
      <c r="K475" s="7">
        <f t="shared" si="8"/>
        <v>9286.209388</v>
      </c>
    </row>
    <row r="476">
      <c r="A476" s="5" t="s">
        <v>1305</v>
      </c>
      <c r="B476" s="5" t="s">
        <v>1306</v>
      </c>
      <c r="C476" s="5" t="s">
        <v>1307</v>
      </c>
      <c r="D476" s="6">
        <v>7692.0</v>
      </c>
      <c r="E476" s="7" t="str">
        <f t="shared" si="1"/>
        <v>E</v>
      </c>
      <c r="F476" s="7" t="str">
        <f t="shared" si="2"/>
        <v>Transformative change</v>
      </c>
      <c r="G476" s="7" t="str">
        <f t="shared" si="3"/>
        <v>High</v>
      </c>
      <c r="H476" s="7">
        <f t="shared" si="4"/>
        <v>2122760</v>
      </c>
      <c r="I476" s="7">
        <f t="shared" si="5"/>
        <v>1458443.173</v>
      </c>
      <c r="J476" s="7">
        <f t="shared" si="6"/>
        <v>99996</v>
      </c>
      <c r="K476" s="7">
        <f t="shared" si="8"/>
        <v>34510.07242</v>
      </c>
    </row>
    <row r="477">
      <c r="A477" s="5" t="s">
        <v>1308</v>
      </c>
      <c r="B477" s="5" t="s">
        <v>1309</v>
      </c>
      <c r="C477" s="5" t="s">
        <v>1310</v>
      </c>
      <c r="D477" s="6">
        <v>8147.0</v>
      </c>
      <c r="E477" s="7" t="str">
        <f t="shared" si="1"/>
        <v>A</v>
      </c>
      <c r="F477" s="7" t="str">
        <f t="shared" si="2"/>
        <v>Transformative change</v>
      </c>
      <c r="G477" s="7" t="str">
        <f t="shared" si="3"/>
        <v>Medium</v>
      </c>
      <c r="H477" s="7">
        <f t="shared" si="4"/>
        <v>2251562</v>
      </c>
      <c r="I477" s="7">
        <f t="shared" si="5"/>
        <v>84946.12127</v>
      </c>
      <c r="J477" s="7">
        <f t="shared" si="6"/>
        <v>65176</v>
      </c>
      <c r="K477" s="7">
        <f t="shared" si="8"/>
        <v>2231</v>
      </c>
    </row>
    <row r="478">
      <c r="A478" s="5" t="s">
        <v>1311</v>
      </c>
      <c r="B478" s="5" t="s">
        <v>1312</v>
      </c>
      <c r="C478" s="5" t="s">
        <v>74</v>
      </c>
      <c r="D478" s="6">
        <v>7035.0</v>
      </c>
      <c r="E478" s="7" t="str">
        <f t="shared" si="1"/>
        <v>A</v>
      </c>
      <c r="F478" s="7" t="str">
        <f t="shared" si="2"/>
        <v>Transformative change</v>
      </c>
      <c r="G478" s="7" t="str">
        <f t="shared" si="3"/>
        <v>High</v>
      </c>
      <c r="H478" s="7">
        <f t="shared" si="4"/>
        <v>497227</v>
      </c>
      <c r="I478" s="7">
        <f t="shared" si="5"/>
        <v>155576.7281</v>
      </c>
      <c r="J478" s="7">
        <f t="shared" si="6"/>
        <v>49245</v>
      </c>
      <c r="K478" s="7">
        <f t="shared" si="8"/>
        <v>2231</v>
      </c>
    </row>
    <row r="479">
      <c r="A479" s="5" t="s">
        <v>1313</v>
      </c>
      <c r="B479" s="5" t="s">
        <v>410</v>
      </c>
      <c r="C479" s="5" t="s">
        <v>1314</v>
      </c>
      <c r="D479" s="6">
        <v>16799.0</v>
      </c>
      <c r="E479" s="7" t="str">
        <f t="shared" si="1"/>
        <v>C</v>
      </c>
      <c r="F479" s="7" t="str">
        <f t="shared" si="2"/>
        <v>Transformative change</v>
      </c>
      <c r="G479" s="7" t="str">
        <f t="shared" si="3"/>
        <v>Medium</v>
      </c>
      <c r="H479" s="7">
        <f t="shared" si="4"/>
        <v>1690734</v>
      </c>
      <c r="I479" s="7">
        <f t="shared" si="5"/>
        <v>422662.7304</v>
      </c>
      <c r="J479" s="7">
        <f t="shared" si="6"/>
        <v>117593</v>
      </c>
      <c r="K479" s="7">
        <f t="shared" si="8"/>
        <v>26794.17303</v>
      </c>
    </row>
    <row r="480">
      <c r="A480" s="5" t="s">
        <v>1315</v>
      </c>
      <c r="B480" s="5" t="s">
        <v>1316</v>
      </c>
      <c r="C480" s="5" t="s">
        <v>1317</v>
      </c>
      <c r="D480" s="6">
        <v>10922.0</v>
      </c>
      <c r="E480" s="7" t="str">
        <f t="shared" si="1"/>
        <v>F</v>
      </c>
      <c r="F480" s="7" t="str">
        <f t="shared" si="2"/>
        <v>Transformative change</v>
      </c>
      <c r="G480" s="7" t="str">
        <f t="shared" si="3"/>
        <v>High</v>
      </c>
      <c r="H480" s="7">
        <f t="shared" si="4"/>
        <v>1106810</v>
      </c>
      <c r="I480" s="7">
        <f t="shared" si="5"/>
        <v>695514.9261</v>
      </c>
      <c r="J480" s="7">
        <f t="shared" si="6"/>
        <v>141986</v>
      </c>
      <c r="K480" s="7">
        <f t="shared" si="8"/>
        <v>31871.81139</v>
      </c>
    </row>
    <row r="481">
      <c r="A481" s="5" t="s">
        <v>1318</v>
      </c>
      <c r="B481" s="5" t="s">
        <v>1319</v>
      </c>
      <c r="C481" s="5" t="s">
        <v>1320</v>
      </c>
      <c r="D481" s="6">
        <v>15337.0</v>
      </c>
      <c r="E481" s="7" t="str">
        <f t="shared" si="1"/>
        <v>E</v>
      </c>
      <c r="F481" s="7" t="str">
        <f t="shared" si="2"/>
        <v>Transformative change</v>
      </c>
      <c r="G481" s="7" t="str">
        <f t="shared" si="3"/>
        <v>Medium</v>
      </c>
      <c r="H481" s="7">
        <f t="shared" si="4"/>
        <v>1918509</v>
      </c>
      <c r="I481" s="7">
        <f t="shared" si="5"/>
        <v>349630.6895</v>
      </c>
      <c r="J481" s="7">
        <f t="shared" si="6"/>
        <v>107359</v>
      </c>
      <c r="K481" s="7">
        <f t="shared" si="8"/>
        <v>2231</v>
      </c>
    </row>
    <row r="482">
      <c r="A482" s="5" t="s">
        <v>1321</v>
      </c>
      <c r="B482" s="5" t="s">
        <v>1322</v>
      </c>
      <c r="C482" s="5" t="s">
        <v>1323</v>
      </c>
      <c r="D482" s="6">
        <v>5357.0</v>
      </c>
      <c r="E482" s="7" t="str">
        <f t="shared" si="1"/>
        <v>C</v>
      </c>
      <c r="F482" s="7" t="str">
        <f t="shared" si="2"/>
        <v>Transformative change</v>
      </c>
      <c r="G482" s="7" t="str">
        <f t="shared" si="3"/>
        <v>High</v>
      </c>
      <c r="H482" s="7">
        <f t="shared" si="4"/>
        <v>2941764</v>
      </c>
      <c r="I482" s="7">
        <f t="shared" si="5"/>
        <v>1455827.568</v>
      </c>
      <c r="J482" s="7">
        <f t="shared" si="6"/>
        <v>69641</v>
      </c>
      <c r="K482" s="7">
        <f t="shared" si="8"/>
        <v>2231</v>
      </c>
    </row>
    <row r="483">
      <c r="A483" s="5" t="s">
        <v>1324</v>
      </c>
      <c r="B483" s="5" t="s">
        <v>1325</v>
      </c>
      <c r="C483" s="5" t="s">
        <v>1326</v>
      </c>
      <c r="D483" s="6">
        <v>19536.0</v>
      </c>
      <c r="E483" s="7" t="str">
        <f t="shared" si="1"/>
        <v>D</v>
      </c>
      <c r="F483" s="7" t="str">
        <f t="shared" si="2"/>
        <v>High ambition</v>
      </c>
      <c r="G483" s="7" t="str">
        <f t="shared" si="3"/>
        <v>Low</v>
      </c>
      <c r="H483" s="7">
        <f t="shared" si="4"/>
        <v>2126056</v>
      </c>
      <c r="I483" s="7">
        <f t="shared" si="5"/>
        <v>885669.2728</v>
      </c>
      <c r="J483" s="7">
        <f t="shared" si="6"/>
        <v>156288</v>
      </c>
      <c r="K483" s="7">
        <f t="shared" si="8"/>
        <v>2231</v>
      </c>
    </row>
    <row r="484">
      <c r="A484" s="5" t="s">
        <v>1327</v>
      </c>
      <c r="B484" s="5" t="s">
        <v>1328</v>
      </c>
      <c r="C484" s="5" t="s">
        <v>1329</v>
      </c>
      <c r="D484" s="6">
        <v>59418.0</v>
      </c>
      <c r="E484" s="7" t="str">
        <f t="shared" si="1"/>
        <v>D</v>
      </c>
      <c r="F484" s="7" t="str">
        <f t="shared" si="2"/>
        <v>Transformative change</v>
      </c>
      <c r="G484" s="7" t="str">
        <f t="shared" si="3"/>
        <v>Low</v>
      </c>
      <c r="H484" s="7">
        <f t="shared" si="4"/>
        <v>2008558</v>
      </c>
      <c r="I484" s="7">
        <f t="shared" si="5"/>
        <v>182906.3458</v>
      </c>
      <c r="J484" s="7">
        <f t="shared" si="6"/>
        <v>594180</v>
      </c>
      <c r="K484" s="7">
        <f t="shared" si="8"/>
        <v>80268.76149</v>
      </c>
    </row>
    <row r="485">
      <c r="A485" s="5" t="s">
        <v>1330</v>
      </c>
      <c r="B485" s="5" t="s">
        <v>1331</v>
      </c>
      <c r="C485" s="5" t="s">
        <v>74</v>
      </c>
      <c r="D485" s="6">
        <v>19598.0</v>
      </c>
      <c r="E485" s="7" t="str">
        <f t="shared" si="1"/>
        <v>F</v>
      </c>
      <c r="F485" s="7" t="str">
        <f t="shared" si="2"/>
        <v>Transformative change</v>
      </c>
      <c r="G485" s="7" t="str">
        <f t="shared" si="3"/>
        <v>Medium</v>
      </c>
      <c r="H485" s="7">
        <f t="shared" si="4"/>
        <v>2404201</v>
      </c>
      <c r="I485" s="7">
        <f t="shared" si="5"/>
        <v>1760161.209</v>
      </c>
      <c r="J485" s="7">
        <f t="shared" si="6"/>
        <v>156784</v>
      </c>
      <c r="K485" s="7">
        <f t="shared" si="8"/>
        <v>2231</v>
      </c>
    </row>
    <row r="486">
      <c r="A486" s="5" t="s">
        <v>1332</v>
      </c>
      <c r="B486" s="5" t="s">
        <v>1333</v>
      </c>
      <c r="C486" s="5" t="s">
        <v>1334</v>
      </c>
      <c r="D486" s="6">
        <v>5871.0</v>
      </c>
      <c r="E486" s="7" t="str">
        <f t="shared" si="1"/>
        <v>D</v>
      </c>
      <c r="F486" s="7" t="str">
        <f t="shared" si="2"/>
        <v>Transformative change</v>
      </c>
      <c r="G486" s="7" t="str">
        <f t="shared" si="3"/>
        <v>Medium</v>
      </c>
      <c r="H486" s="7">
        <f t="shared" si="4"/>
        <v>542518</v>
      </c>
      <c r="I486" s="7">
        <f t="shared" si="5"/>
        <v>78045.46424</v>
      </c>
      <c r="J486" s="7">
        <f t="shared" si="6"/>
        <v>29355</v>
      </c>
      <c r="K486" s="7">
        <f t="shared" si="8"/>
        <v>2231</v>
      </c>
    </row>
    <row r="487">
      <c r="A487" s="5" t="s">
        <v>1335</v>
      </c>
      <c r="B487" s="5" t="s">
        <v>1336</v>
      </c>
      <c r="C487" s="5" t="s">
        <v>74</v>
      </c>
      <c r="D487" s="6">
        <v>8190.0</v>
      </c>
      <c r="E487" s="7" t="str">
        <f t="shared" si="1"/>
        <v>A</v>
      </c>
      <c r="F487" s="7" t="str">
        <f t="shared" si="2"/>
        <v>Transformative change</v>
      </c>
      <c r="G487" s="7" t="str">
        <f t="shared" si="3"/>
        <v>Low</v>
      </c>
      <c r="H487" s="7">
        <f t="shared" si="4"/>
        <v>1376682</v>
      </c>
      <c r="I487" s="7">
        <f t="shared" si="5"/>
        <v>893339.439</v>
      </c>
      <c r="J487" s="7">
        <f t="shared" si="6"/>
        <v>122850</v>
      </c>
      <c r="K487" s="7">
        <f t="shared" si="8"/>
        <v>17654.62971</v>
      </c>
    </row>
    <row r="488">
      <c r="A488" s="5" t="s">
        <v>1337</v>
      </c>
      <c r="B488" s="5" t="s">
        <v>1338</v>
      </c>
      <c r="C488" s="5" t="s">
        <v>1339</v>
      </c>
      <c r="D488" s="6">
        <v>11180.0</v>
      </c>
      <c r="E488" s="7" t="str">
        <f t="shared" si="1"/>
        <v>A</v>
      </c>
      <c r="F488" s="7" t="str">
        <f t="shared" si="2"/>
        <v>Transformative change</v>
      </c>
      <c r="G488" s="7" t="str">
        <f t="shared" si="3"/>
        <v>Medium</v>
      </c>
      <c r="H488" s="7">
        <f t="shared" si="4"/>
        <v>3786842</v>
      </c>
      <c r="I488" s="7">
        <f t="shared" si="5"/>
        <v>2203298.503</v>
      </c>
      <c r="J488" s="7">
        <f t="shared" si="6"/>
        <v>78260</v>
      </c>
      <c r="K488" s="7">
        <f t="shared" si="8"/>
        <v>0.002940868299</v>
      </c>
    </row>
    <row r="489">
      <c r="A489" s="5" t="s">
        <v>1340</v>
      </c>
      <c r="B489" s="5" t="s">
        <v>1341</v>
      </c>
      <c r="C489" s="5" t="s">
        <v>74</v>
      </c>
      <c r="D489" s="6">
        <v>19622.0</v>
      </c>
      <c r="E489" s="7" t="str">
        <f t="shared" si="1"/>
        <v>G</v>
      </c>
      <c r="F489" s="7" t="str">
        <f t="shared" si="2"/>
        <v>High ambition</v>
      </c>
      <c r="G489" s="7" t="str">
        <f t="shared" si="3"/>
        <v>Low</v>
      </c>
      <c r="H489" s="7">
        <f t="shared" si="4"/>
        <v>3227581</v>
      </c>
      <c r="I489" s="7">
        <f t="shared" si="5"/>
        <v>194353.393</v>
      </c>
      <c r="J489" s="7">
        <f t="shared" si="6"/>
        <v>215842</v>
      </c>
      <c r="K489" s="7">
        <f t="shared" si="8"/>
        <v>2231</v>
      </c>
    </row>
    <row r="490">
      <c r="A490" s="5" t="s">
        <v>1342</v>
      </c>
      <c r="B490" s="5" t="s">
        <v>1343</v>
      </c>
      <c r="C490" s="5" t="s">
        <v>1344</v>
      </c>
      <c r="D490" s="6">
        <v>9021.0</v>
      </c>
      <c r="E490" s="7" t="str">
        <f t="shared" si="1"/>
        <v>B</v>
      </c>
      <c r="F490" s="7" t="str">
        <f t="shared" si="2"/>
        <v>Transformative change</v>
      </c>
      <c r="G490" s="7" t="str">
        <f t="shared" si="3"/>
        <v>Low</v>
      </c>
      <c r="H490" s="7">
        <f t="shared" si="4"/>
        <v>1530282</v>
      </c>
      <c r="I490" s="7">
        <f t="shared" si="5"/>
        <v>132501.512</v>
      </c>
      <c r="J490" s="7">
        <f t="shared" si="6"/>
        <v>63147</v>
      </c>
      <c r="K490" s="7">
        <f t="shared" si="8"/>
        <v>7161.135292</v>
      </c>
    </row>
    <row r="491">
      <c r="A491" s="5" t="s">
        <v>1345</v>
      </c>
      <c r="B491" s="5" t="s">
        <v>1346</v>
      </c>
      <c r="C491" s="5" t="s">
        <v>1347</v>
      </c>
      <c r="D491" s="6">
        <v>375458.0</v>
      </c>
      <c r="E491" s="7" t="str">
        <f t="shared" si="1"/>
        <v>F</v>
      </c>
      <c r="F491" s="7" t="str">
        <f t="shared" si="2"/>
        <v>High ambition</v>
      </c>
      <c r="G491" s="7" t="str">
        <f t="shared" si="3"/>
        <v>Low</v>
      </c>
      <c r="H491" s="7">
        <f t="shared" si="4"/>
        <v>990683</v>
      </c>
      <c r="I491" s="7">
        <f t="shared" si="5"/>
        <v>612732.4144</v>
      </c>
      <c r="J491" s="7">
        <f t="shared" si="6"/>
        <v>1877290</v>
      </c>
      <c r="K491" s="7">
        <f t="shared" si="8"/>
        <v>887437.5428</v>
      </c>
    </row>
    <row r="492">
      <c r="A492" s="5" t="s">
        <v>1348</v>
      </c>
      <c r="B492" s="5" t="s">
        <v>1349</v>
      </c>
      <c r="C492" s="5" t="s">
        <v>884</v>
      </c>
      <c r="D492" s="6">
        <v>82336.0</v>
      </c>
      <c r="E492" s="7" t="str">
        <f t="shared" si="1"/>
        <v>G</v>
      </c>
      <c r="F492" s="7" t="str">
        <f t="shared" si="2"/>
        <v>Transformative change</v>
      </c>
      <c r="G492" s="7" t="str">
        <f t="shared" si="3"/>
        <v>Medium</v>
      </c>
      <c r="H492" s="7">
        <f t="shared" si="4"/>
        <v>3328285</v>
      </c>
      <c r="I492" s="7">
        <f t="shared" si="5"/>
        <v>1712421.793</v>
      </c>
      <c r="J492" s="7">
        <f t="shared" si="6"/>
        <v>329344</v>
      </c>
      <c r="K492" s="7">
        <f t="shared" si="8"/>
        <v>22287.24781</v>
      </c>
    </row>
    <row r="493">
      <c r="A493" s="5" t="s">
        <v>1350</v>
      </c>
      <c r="B493" s="5" t="s">
        <v>1351</v>
      </c>
      <c r="C493" s="5" t="s">
        <v>1352</v>
      </c>
      <c r="D493" s="6">
        <v>9169.0</v>
      </c>
      <c r="E493" s="7" t="str">
        <f t="shared" si="1"/>
        <v>E</v>
      </c>
      <c r="F493" s="7" t="str">
        <f t="shared" si="2"/>
        <v>Transformative change</v>
      </c>
      <c r="G493" s="7" t="str">
        <f t="shared" si="3"/>
        <v>Medium</v>
      </c>
      <c r="H493" s="7">
        <f t="shared" si="4"/>
        <v>379085</v>
      </c>
      <c r="I493" s="7">
        <f t="shared" si="5"/>
        <v>339914.5115</v>
      </c>
      <c r="J493" s="7">
        <f t="shared" si="6"/>
        <v>36676</v>
      </c>
      <c r="K493" s="7">
        <f t="shared" si="8"/>
        <v>2231</v>
      </c>
    </row>
    <row r="494">
      <c r="A494" s="5" t="s">
        <v>1353</v>
      </c>
      <c r="B494" s="5" t="s">
        <v>1354</v>
      </c>
      <c r="C494" s="5" t="s">
        <v>1355</v>
      </c>
      <c r="D494" s="6">
        <v>15479.0</v>
      </c>
      <c r="E494" s="7" t="str">
        <f t="shared" si="1"/>
        <v>E</v>
      </c>
      <c r="F494" s="7" t="str">
        <f t="shared" si="2"/>
        <v>Transformative change</v>
      </c>
      <c r="G494" s="7" t="str">
        <f t="shared" si="3"/>
        <v>Low</v>
      </c>
      <c r="H494" s="7">
        <f t="shared" si="4"/>
        <v>3611026</v>
      </c>
      <c r="I494" s="7">
        <f t="shared" si="5"/>
        <v>2264147.135</v>
      </c>
      <c r="J494" s="7">
        <f t="shared" si="6"/>
        <v>108353</v>
      </c>
      <c r="K494" s="7">
        <f t="shared" si="8"/>
        <v>2231</v>
      </c>
    </row>
    <row r="495">
      <c r="A495" s="5" t="s">
        <v>1356</v>
      </c>
      <c r="B495" s="5" t="s">
        <v>1357</v>
      </c>
      <c r="C495" s="5" t="s">
        <v>1358</v>
      </c>
      <c r="D495" s="6">
        <v>251125.0</v>
      </c>
      <c r="E495" s="7" t="str">
        <f t="shared" si="1"/>
        <v>B</v>
      </c>
      <c r="F495" s="7" t="str">
        <f t="shared" si="2"/>
        <v>Transformative change</v>
      </c>
      <c r="G495" s="7" t="str">
        <f t="shared" si="3"/>
        <v>Low</v>
      </c>
      <c r="H495" s="7">
        <f t="shared" si="4"/>
        <v>3170247</v>
      </c>
      <c r="I495" s="7">
        <f t="shared" si="5"/>
        <v>544312.6919</v>
      </c>
      <c r="J495" s="7">
        <f t="shared" si="6"/>
        <v>3013500</v>
      </c>
      <c r="K495" s="7">
        <f t="shared" si="8"/>
        <v>146.2098371</v>
      </c>
    </row>
    <row r="496">
      <c r="A496" s="5" t="s">
        <v>1359</v>
      </c>
      <c r="B496" s="5" t="s">
        <v>1360</v>
      </c>
      <c r="C496" s="5" t="s">
        <v>1361</v>
      </c>
      <c r="D496" s="6">
        <v>447956.0</v>
      </c>
      <c r="E496" s="7" t="str">
        <f t="shared" si="1"/>
        <v>D</v>
      </c>
      <c r="F496" s="7" t="str">
        <f t="shared" si="2"/>
        <v>Transformative change</v>
      </c>
      <c r="G496" s="7" t="str">
        <f t="shared" si="3"/>
        <v>Medium</v>
      </c>
      <c r="H496" s="7">
        <f t="shared" si="4"/>
        <v>586805</v>
      </c>
      <c r="I496" s="7">
        <f t="shared" si="5"/>
        <v>1255.031397</v>
      </c>
      <c r="J496" s="7">
        <f t="shared" si="6"/>
        <v>2239780</v>
      </c>
      <c r="K496" s="7">
        <f t="shared" si="8"/>
        <v>2231</v>
      </c>
    </row>
    <row r="497">
      <c r="A497" s="5" t="s">
        <v>1362</v>
      </c>
      <c r="B497" s="5" t="s">
        <v>1363</v>
      </c>
      <c r="C497" s="5" t="s">
        <v>1364</v>
      </c>
      <c r="D497" s="6">
        <v>18006.0</v>
      </c>
      <c r="E497" s="7" t="str">
        <f t="shared" si="1"/>
        <v>D</v>
      </c>
      <c r="F497" s="7" t="str">
        <f t="shared" si="2"/>
        <v>Transformative change</v>
      </c>
      <c r="G497" s="7" t="str">
        <f t="shared" si="3"/>
        <v>High</v>
      </c>
      <c r="H497" s="7">
        <f t="shared" si="4"/>
        <v>3944719</v>
      </c>
      <c r="I497" s="7">
        <f t="shared" si="5"/>
        <v>3830956.419</v>
      </c>
      <c r="J497" s="7">
        <f t="shared" si="6"/>
        <v>270090</v>
      </c>
      <c r="K497" s="7">
        <f t="shared" si="8"/>
        <v>2231</v>
      </c>
    </row>
    <row r="498">
      <c r="A498" s="5" t="s">
        <v>1365</v>
      </c>
      <c r="B498" s="5" t="s">
        <v>1366</v>
      </c>
      <c r="C498" s="5" t="s">
        <v>74</v>
      </c>
      <c r="D498" s="6">
        <v>14980.0</v>
      </c>
      <c r="E498" s="7" t="str">
        <f t="shared" si="1"/>
        <v>D</v>
      </c>
      <c r="F498" s="7" t="str">
        <f t="shared" si="2"/>
        <v>Transformative change</v>
      </c>
      <c r="G498" s="7" t="str">
        <f t="shared" si="3"/>
        <v>High</v>
      </c>
      <c r="H498" s="7">
        <f t="shared" si="4"/>
        <v>1860427</v>
      </c>
      <c r="I498" s="7">
        <f t="shared" si="5"/>
        <v>750750.9138</v>
      </c>
      <c r="J498" s="7">
        <f t="shared" si="6"/>
        <v>149800</v>
      </c>
      <c r="K498" s="7">
        <f t="shared" si="8"/>
        <v>740.6579418</v>
      </c>
    </row>
    <row r="499">
      <c r="A499" s="5" t="s">
        <v>1367</v>
      </c>
      <c r="B499" s="5" t="s">
        <v>1368</v>
      </c>
      <c r="C499" s="5" t="s">
        <v>1369</v>
      </c>
      <c r="D499" s="6">
        <v>7118.0</v>
      </c>
      <c r="E499" s="7" t="str">
        <f t="shared" si="1"/>
        <v>D</v>
      </c>
      <c r="F499" s="7" t="str">
        <f t="shared" si="2"/>
        <v>Transformative change</v>
      </c>
      <c r="G499" s="7" t="str">
        <f t="shared" si="3"/>
        <v>Low</v>
      </c>
      <c r="H499" s="7">
        <f t="shared" si="4"/>
        <v>1526163</v>
      </c>
      <c r="I499" s="7">
        <f t="shared" si="5"/>
        <v>437329.6033</v>
      </c>
      <c r="J499" s="7">
        <f t="shared" si="6"/>
        <v>28472</v>
      </c>
      <c r="K499" s="7">
        <f t="shared" si="8"/>
        <v>20007.7984</v>
      </c>
    </row>
    <row r="500">
      <c r="A500" s="5" t="s">
        <v>1370</v>
      </c>
      <c r="B500" s="5" t="s">
        <v>1371</v>
      </c>
      <c r="C500" s="5" t="s">
        <v>1372</v>
      </c>
      <c r="D500" s="6">
        <v>7291.0</v>
      </c>
      <c r="E500" s="7" t="str">
        <f t="shared" si="1"/>
        <v>D</v>
      </c>
      <c r="F500" s="7" t="str">
        <f t="shared" si="2"/>
        <v>High ambition</v>
      </c>
      <c r="G500" s="7" t="str">
        <f t="shared" si="3"/>
        <v>Low</v>
      </c>
      <c r="H500" s="7">
        <f t="shared" si="4"/>
        <v>1123670</v>
      </c>
      <c r="I500" s="7">
        <f t="shared" si="5"/>
        <v>286529.1463</v>
      </c>
      <c r="J500" s="7">
        <f t="shared" si="6"/>
        <v>58328</v>
      </c>
      <c r="K500" s="7">
        <f t="shared" si="8"/>
        <v>33192.80045</v>
      </c>
    </row>
    <row r="501">
      <c r="A501" s="5" t="s">
        <v>1373</v>
      </c>
      <c r="B501" s="5" t="s">
        <v>1374</v>
      </c>
      <c r="C501" s="5" t="s">
        <v>74</v>
      </c>
      <c r="D501" s="6">
        <v>87736.0</v>
      </c>
      <c r="E501" s="7" t="str">
        <f t="shared" si="1"/>
        <v>D</v>
      </c>
      <c r="F501" s="7" t="str">
        <f t="shared" si="2"/>
        <v>Transformative change</v>
      </c>
      <c r="G501" s="7" t="str">
        <f t="shared" si="3"/>
        <v>Low</v>
      </c>
      <c r="H501" s="7">
        <f t="shared" si="4"/>
        <v>625837</v>
      </c>
      <c r="I501" s="7">
        <f t="shared" si="5"/>
        <v>368044.3558</v>
      </c>
      <c r="J501" s="7">
        <f t="shared" si="6"/>
        <v>526416</v>
      </c>
      <c r="K501" s="7">
        <f t="shared" si="8"/>
        <v>2595.875502</v>
      </c>
    </row>
  </sheetData>
  <drawing r:id="rId1"/>
</worksheet>
</file>